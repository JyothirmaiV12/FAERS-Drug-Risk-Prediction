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v0646\Documents\CSCE5210 Jyothirmai Vallakati\Final Data (Normalization and Visualization)\"/>
    </mc:Choice>
  </mc:AlternateContent>
  <xr:revisionPtr revIDLastSave="0" documentId="13_ncr:1_{5E40BB87-C738-4740-8A57-212F382836D7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Master" sheetId="18" r:id="rId1"/>
    <sheet name="0-6 yrs" sheetId="2" r:id="rId2"/>
    <sheet name="7-12 yrs" sheetId="4" r:id="rId3"/>
    <sheet name="13-21 yrs" sheetId="6" r:id="rId4"/>
    <sheet name="22-40 yrs" sheetId="7" r:id="rId5"/>
    <sheet name="41-50 yrs" sheetId="10" r:id="rId6"/>
    <sheet name="51-60 yrs" sheetId="12" r:id="rId7"/>
    <sheet name="61-80 yrs" sheetId="14" r:id="rId8"/>
    <sheet name="81+ yrs" sheetId="16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8" l="1"/>
  <c r="C52" i="18"/>
  <c r="C51" i="18"/>
  <c r="B49" i="18"/>
  <c r="C35" i="18"/>
  <c r="C30" i="18"/>
  <c r="C2" i="10"/>
  <c r="C7" i="10"/>
  <c r="B7" i="14"/>
  <c r="C7" i="16"/>
  <c r="C3" i="16"/>
  <c r="C2" i="16"/>
</calcChain>
</file>

<file path=xl/sharedStrings.xml><?xml version="1.0" encoding="utf-8"?>
<sst xmlns="http://schemas.openxmlformats.org/spreadsheetml/2006/main" count="225" uniqueCount="26">
  <si>
    <t>Organ System</t>
  </si>
  <si>
    <t>Endocrine System</t>
  </si>
  <si>
    <t>Nervous System</t>
  </si>
  <si>
    <t>Digestive System</t>
  </si>
  <si>
    <t>Cardiovascular System</t>
  </si>
  <si>
    <t>Respiratory System</t>
  </si>
  <si>
    <t>Urinary System</t>
  </si>
  <si>
    <t>Male</t>
  </si>
  <si>
    <t>Female</t>
  </si>
  <si>
    <t>Liver</t>
  </si>
  <si>
    <t>Age</t>
  </si>
  <si>
    <t>Row Labels</t>
  </si>
  <si>
    <t>Grand Total</t>
  </si>
  <si>
    <t>Sum of Male</t>
  </si>
  <si>
    <t>Sum of Female</t>
  </si>
  <si>
    <t>0-6</t>
  </si>
  <si>
    <t>7-12</t>
  </si>
  <si>
    <t>13-21</t>
  </si>
  <si>
    <t>22-40</t>
  </si>
  <si>
    <t>41-50</t>
  </si>
  <si>
    <t>51-60</t>
  </si>
  <si>
    <t>61-80</t>
  </si>
  <si>
    <t>81+</t>
  </si>
  <si>
    <t>Column Labels</t>
  </si>
  <si>
    <t>Total Sum of Female</t>
  </si>
  <si>
    <t>Total Sum of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</si>
</sst>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[Letrozole.xlsx]Master!PivotTable3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Master!$H$4:$H$6</c:f>
              <c:strCache>
                <c:ptCount val="1"/>
                <c:pt idx="0">
                  <c:v>Sum of Female - Cardiovascular System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Master!$H$7:$H$15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0.16091954022988506</c:v>
                </c:pt>
                <c:pt idx="4">
                  <c:v>0.31094049904030713</c:v>
                </c:pt>
                <c:pt idx="5">
                  <c:v>0.4834318006678654</c:v>
                </c:pt>
                <c:pt idx="6">
                  <c:v>0</c:v>
                </c:pt>
                <c:pt idx="7">
                  <c:v>0.43188854489164086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F-44AF-ADAB-F47D837CCF82}"/>
            </c:ext>
          </c:extLst>
        </c:ser>
        <c:ser>
          <c:idx val="1"/>
          <c:order val="1"/>
          <c:tx>
            <c:strRef>
              <c:f>Master!$I$4:$I$6</c:f>
              <c:strCache>
                <c:ptCount val="1"/>
                <c:pt idx="0">
                  <c:v>Sum of Female - Digestive System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Master!$I$7:$I$15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0.43225806451612903</c:v>
                </c:pt>
                <c:pt idx="3">
                  <c:v>0.51395730706075538</c:v>
                </c:pt>
                <c:pt idx="4">
                  <c:v>0.44465770953294947</c:v>
                </c:pt>
                <c:pt idx="5">
                  <c:v>0.50398150526586183</c:v>
                </c:pt>
                <c:pt idx="6">
                  <c:v>0</c:v>
                </c:pt>
                <c:pt idx="7">
                  <c:v>0.37616099071207432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F-44AF-ADAB-F47D837CCF82}"/>
            </c:ext>
          </c:extLst>
        </c:ser>
        <c:ser>
          <c:idx val="2"/>
          <c:order val="2"/>
          <c:tx>
            <c:strRef>
              <c:f>Master!$J$4:$J$6</c:f>
              <c:strCache>
                <c:ptCount val="1"/>
                <c:pt idx="0">
                  <c:v>Sum of Female - Endocrine System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Master!$J$7:$J$15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4.1935483870967745E-2</c:v>
                </c:pt>
                <c:pt idx="3">
                  <c:v>0.15270935960591134</c:v>
                </c:pt>
                <c:pt idx="4">
                  <c:v>0.14395393474088292</c:v>
                </c:pt>
                <c:pt idx="5">
                  <c:v>0.18725918314924223</c:v>
                </c:pt>
                <c:pt idx="6">
                  <c:v>0</c:v>
                </c:pt>
                <c:pt idx="7">
                  <c:v>3.0959752321981424E-2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95F-44AF-ADAB-F47D837CCF82}"/>
            </c:ext>
          </c:extLst>
        </c:ser>
        <c:ser>
          <c:idx val="3"/>
          <c:order val="3"/>
          <c:tx>
            <c:strRef>
              <c:f>Master!$K$4:$K$6</c:f>
              <c:strCache>
                <c:ptCount val="1"/>
                <c:pt idx="0">
                  <c:v>Sum of Female - Liver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Master!$K$7:$K$15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0.37096774193548387</c:v>
                </c:pt>
                <c:pt idx="3">
                  <c:v>0.24958949096880131</c:v>
                </c:pt>
                <c:pt idx="4">
                  <c:v>0.21049264235444659</c:v>
                </c:pt>
                <c:pt idx="5">
                  <c:v>8.2198818391985614E-3</c:v>
                </c:pt>
                <c:pt idx="6">
                  <c:v>0</c:v>
                </c:pt>
                <c:pt idx="7">
                  <c:v>0.1021671826625387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95F-44AF-ADAB-F47D837CCF82}"/>
            </c:ext>
          </c:extLst>
        </c:ser>
        <c:ser>
          <c:idx val="4"/>
          <c:order val="4"/>
          <c:tx>
            <c:strRef>
              <c:f>Master!$L$4:$L$6</c:f>
              <c:strCache>
                <c:ptCount val="1"/>
                <c:pt idx="0">
                  <c:v>Sum of Female - Nervous System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Master!$L$7:$L$15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0.6967741935483871</c:v>
                </c:pt>
                <c:pt idx="3">
                  <c:v>0.60591133004926112</c:v>
                </c:pt>
                <c:pt idx="4">
                  <c:v>0.73384516954574541</c:v>
                </c:pt>
                <c:pt idx="5">
                  <c:v>0.83868481890572821</c:v>
                </c:pt>
                <c:pt idx="6">
                  <c:v>0</c:v>
                </c:pt>
                <c:pt idx="7">
                  <c:v>0.69195046439628483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95F-44AF-ADAB-F47D837CCF82}"/>
            </c:ext>
          </c:extLst>
        </c:ser>
        <c:ser>
          <c:idx val="5"/>
          <c:order val="5"/>
          <c:tx>
            <c:strRef>
              <c:f>Master!$M$4:$M$6</c:f>
              <c:strCache>
                <c:ptCount val="1"/>
                <c:pt idx="0">
                  <c:v>Sum of Female - Respiratory System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Master!$M$7:$M$15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0.28387096774193549</c:v>
                </c:pt>
                <c:pt idx="3">
                  <c:v>0.33004926108374383</c:v>
                </c:pt>
                <c:pt idx="4">
                  <c:v>0.34740882917466409</c:v>
                </c:pt>
                <c:pt idx="5">
                  <c:v>0.45954276907269459</c:v>
                </c:pt>
                <c:pt idx="6">
                  <c:v>0</c:v>
                </c:pt>
                <c:pt idx="7">
                  <c:v>0.39009287925696595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95F-44AF-ADAB-F47D837CCF82}"/>
            </c:ext>
          </c:extLst>
        </c:ser>
        <c:ser>
          <c:idx val="6"/>
          <c:order val="6"/>
          <c:tx>
            <c:strRef>
              <c:f>Master!$N$4:$N$6</c:f>
              <c:strCache>
                <c:ptCount val="1"/>
                <c:pt idx="0">
                  <c:v>Sum of Female - Urinary System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Master!$N$7:$N$15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0.13225806451612904</c:v>
                </c:pt>
                <c:pt idx="3">
                  <c:v>0.13464696223316913</c:v>
                </c:pt>
                <c:pt idx="4">
                  <c:v>0.1036468330134357</c:v>
                </c:pt>
                <c:pt idx="5">
                  <c:v>0.23067043411250962</c:v>
                </c:pt>
                <c:pt idx="6">
                  <c:v>0</c:v>
                </c:pt>
                <c:pt idx="7">
                  <c:v>0.17182662538699692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95F-44AF-ADAB-F47D837CCF82}"/>
            </c:ext>
          </c:extLst>
        </c:ser>
        <c:ser>
          <c:idx val="7"/>
          <c:order val="7"/>
          <c:tx>
            <c:strRef>
              <c:f>Master!$O$4:$O$6</c:f>
              <c:strCache>
                <c:ptCount val="1"/>
                <c:pt idx="0">
                  <c:v>Sum of Male - Cardiovascular System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Master!$O$7:$O$15</c:f>
              <c:numCache>
                <c:formatCode>General</c:formatCode>
                <c:ptCount val="8"/>
                <c:pt idx="0">
                  <c:v>0</c:v>
                </c:pt>
                <c:pt idx="1">
                  <c:v>0.47368421052631576</c:v>
                </c:pt>
                <c:pt idx="2">
                  <c:v>0</c:v>
                </c:pt>
                <c:pt idx="3">
                  <c:v>2.5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95F-44AF-ADAB-F47D837CCF82}"/>
            </c:ext>
          </c:extLst>
        </c:ser>
        <c:ser>
          <c:idx val="8"/>
          <c:order val="8"/>
          <c:tx>
            <c:strRef>
              <c:f>Master!$P$4:$P$6</c:f>
              <c:strCache>
                <c:ptCount val="1"/>
                <c:pt idx="0">
                  <c:v>Sum of Male - Digestive System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Master!$P$7:$P$15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1.3333333333333333</c:v>
                </c:pt>
                <c:pt idx="5">
                  <c:v>4.1666666666666664E-2</c:v>
                </c:pt>
                <c:pt idx="6">
                  <c:v>0</c:v>
                </c:pt>
                <c:pt idx="7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95F-44AF-ADAB-F47D837CCF82}"/>
            </c:ext>
          </c:extLst>
        </c:ser>
        <c:ser>
          <c:idx val="9"/>
          <c:order val="9"/>
          <c:tx>
            <c:strRef>
              <c:f>Master!$Q$4:$Q$6</c:f>
              <c:strCache>
                <c:ptCount val="1"/>
                <c:pt idx="0">
                  <c:v>Sum of Male - Endocrine System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Master!$Q$7:$Q$15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0.33333333333333331</c:v>
                </c:pt>
                <c:pt idx="5">
                  <c:v>4.1666666666666664E-2</c:v>
                </c:pt>
                <c:pt idx="6">
                  <c:v>1.6666666666666667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95F-44AF-ADAB-F47D837CCF82}"/>
            </c:ext>
          </c:extLst>
        </c:ser>
        <c:ser>
          <c:idx val="10"/>
          <c:order val="10"/>
          <c:tx>
            <c:strRef>
              <c:f>Master!$R$4:$R$6</c:f>
              <c:strCache>
                <c:ptCount val="1"/>
                <c:pt idx="0">
                  <c:v>Sum of Male - Liver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Master!$R$7:$R$15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95F-44AF-ADAB-F47D837CCF82}"/>
            </c:ext>
          </c:extLst>
        </c:ser>
        <c:ser>
          <c:idx val="11"/>
          <c:order val="11"/>
          <c:tx>
            <c:strRef>
              <c:f>Master!$S$4:$S$6</c:f>
              <c:strCache>
                <c:ptCount val="1"/>
                <c:pt idx="0">
                  <c:v>Sum of Male - Nervous System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Master!$S$7:$S$15</c:f>
              <c:numCache>
                <c:formatCode>General</c:formatCode>
                <c:ptCount val="8"/>
                <c:pt idx="0">
                  <c:v>0</c:v>
                </c:pt>
                <c:pt idx="1">
                  <c:v>0.63157894736842102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95F-44AF-ADAB-F47D837CCF82}"/>
            </c:ext>
          </c:extLst>
        </c:ser>
        <c:ser>
          <c:idx val="12"/>
          <c:order val="12"/>
          <c:tx>
            <c:strRef>
              <c:f>Master!$T$4:$T$6</c:f>
              <c:strCache>
                <c:ptCount val="1"/>
                <c:pt idx="0">
                  <c:v>Sum of Male - Respiratory System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Master!$T$7:$T$15</c:f>
              <c:numCache>
                <c:formatCode>General</c:formatCode>
                <c:ptCount val="8"/>
                <c:pt idx="0">
                  <c:v>0</c:v>
                </c:pt>
                <c:pt idx="1">
                  <c:v>5.2631578947368418E-2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4.1666666666666664E-2</c:v>
                </c:pt>
                <c:pt idx="6">
                  <c:v>0.33333333333333331</c:v>
                </c:pt>
                <c:pt idx="7">
                  <c:v>1.4285714285714286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95F-44AF-ADAB-F47D837CCF82}"/>
            </c:ext>
          </c:extLst>
        </c:ser>
        <c:ser>
          <c:idx val="13"/>
          <c:order val="13"/>
          <c:tx>
            <c:strRef>
              <c:f>Master!$U$4:$U$6</c:f>
              <c:strCache>
                <c:ptCount val="1"/>
                <c:pt idx="0">
                  <c:v>Sum of Male - Urinary System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Master!$G$7:$G$15</c:f>
              <c:strCache>
                <c:ptCount val="8"/>
                <c:pt idx="0">
                  <c:v>0-6</c:v>
                </c:pt>
                <c:pt idx="1">
                  <c:v>13-21</c:v>
                </c:pt>
                <c:pt idx="2">
                  <c:v>22-40</c:v>
                </c:pt>
                <c:pt idx="3">
                  <c:v>41-50</c:v>
                </c:pt>
                <c:pt idx="4">
                  <c:v>51-60</c:v>
                </c:pt>
                <c:pt idx="5">
                  <c:v>61-80</c:v>
                </c:pt>
                <c:pt idx="6">
                  <c:v>7-12</c:v>
                </c:pt>
                <c:pt idx="7">
                  <c:v>81+</c:v>
                </c:pt>
              </c:strCache>
            </c:strRef>
          </c:cat>
          <c:val>
            <c:numRef>
              <c:f>Master!$U$7:$U$15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0.33333333333333331</c:v>
                </c:pt>
                <c:pt idx="7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95F-44AF-ADAB-F47D837C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326031"/>
        <c:axId val="2028572927"/>
      </c:barChart>
      <c:catAx>
        <c:axId val="34832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572927"/>
        <c:crosses val="autoZero"/>
        <c:auto val="1"/>
        <c:lblAlgn val="ctr"/>
        <c:lblOffset val="100"/>
        <c:noMultiLvlLbl val="0"/>
      </c:catAx>
      <c:valAx>
        <c:axId val="20285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2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3613298337706"/>
          <c:y val="0.16708333333333336"/>
          <c:w val="0.89256386701662294"/>
          <c:h val="0.36083479148439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'0-6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'0-6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'0-6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DA9-9DD6-DFE2FADE454F}"/>
            </c:ext>
          </c:extLst>
        </c:ser>
        <c:ser>
          <c:idx val="1"/>
          <c:order val="1"/>
          <c:tx>
            <c:strRef>
              <c:f>'0-6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'0-6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'0-6 yrs'!$C$2:$C$8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A-4DA9-9DD6-DFE2FADE4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1711"/>
        <c:axId val="151092751"/>
      </c:barChart>
      <c:catAx>
        <c:axId val="15108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92751"/>
        <c:crosses val="autoZero"/>
        <c:auto val="1"/>
        <c:lblAlgn val="ctr"/>
        <c:lblOffset val="100"/>
        <c:noMultiLvlLbl val="0"/>
      </c:catAx>
      <c:valAx>
        <c:axId val="15109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'7-12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'7-12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'7-12 yrs'!$B$2:$B$8</c:f>
              <c:numCache>
                <c:formatCode>General</c:formatCode>
                <c:ptCount val="7"/>
                <c:pt idx="0">
                  <c:v>0.33333333333333331</c:v>
                </c:pt>
                <c:pt idx="1">
                  <c:v>0</c:v>
                </c:pt>
                <c:pt idx="2">
                  <c:v>1.6666666666666667</c:v>
                </c:pt>
                <c:pt idx="3">
                  <c:v>0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F-43AA-8209-70EAE887DE7F}"/>
            </c:ext>
          </c:extLst>
        </c:ser>
        <c:ser>
          <c:idx val="1"/>
          <c:order val="1"/>
          <c:tx>
            <c:strRef>
              <c:f>'7-12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'7-12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'7-12 yrs'!$C$2:$C$8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F-43AA-8209-70EAE887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72367"/>
        <c:axId val="154481007"/>
      </c:barChart>
      <c:catAx>
        <c:axId val="1544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1007"/>
        <c:crosses val="autoZero"/>
        <c:auto val="1"/>
        <c:lblAlgn val="ctr"/>
        <c:lblOffset val="100"/>
        <c:noMultiLvlLbl val="0"/>
      </c:catAx>
      <c:valAx>
        <c:axId val="1544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'13-21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'13-21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'13-21 yrs'!$B$2:$B$8</c:f>
              <c:numCache>
                <c:formatCode>General</c:formatCode>
                <c:ptCount val="7"/>
                <c:pt idx="0">
                  <c:v>0.63157894736842102</c:v>
                </c:pt>
                <c:pt idx="1">
                  <c:v>0.47368421052631576</c:v>
                </c:pt>
                <c:pt idx="2">
                  <c:v>0</c:v>
                </c:pt>
                <c:pt idx="3">
                  <c:v>0</c:v>
                </c:pt>
                <c:pt idx="4">
                  <c:v>5.2631578947368418E-2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F-424A-9E5C-FD65BF779728}"/>
            </c:ext>
          </c:extLst>
        </c:ser>
        <c:ser>
          <c:idx val="1"/>
          <c:order val="1"/>
          <c:tx>
            <c:strRef>
              <c:f>'13-21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'13-21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'13-21 yrs'!$C$2:$C$8</c:f>
              <c:numCache>
                <c:formatCode>General</c:formatCode>
                <c:ptCount val="7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F-424A-9E5C-FD65BF77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68527"/>
        <c:axId val="154469487"/>
      </c:barChart>
      <c:catAx>
        <c:axId val="1544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9487"/>
        <c:crosses val="autoZero"/>
        <c:auto val="1"/>
        <c:lblAlgn val="ctr"/>
        <c:lblOffset val="100"/>
        <c:noMultiLvlLbl val="0"/>
      </c:catAx>
      <c:valAx>
        <c:axId val="1544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'22-40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'22-40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'22-40 yrs'!$B$2:$B$8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E-4713-A3EA-857642509C7E}"/>
            </c:ext>
          </c:extLst>
        </c:ser>
        <c:ser>
          <c:idx val="1"/>
          <c:order val="1"/>
          <c:tx>
            <c:strRef>
              <c:f>'22-40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'22-40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'22-40 yrs'!$C$2:$C$8</c:f>
              <c:numCache>
                <c:formatCode>General</c:formatCode>
                <c:ptCount val="7"/>
                <c:pt idx="0">
                  <c:v>0.6967741935483871</c:v>
                </c:pt>
                <c:pt idx="1">
                  <c:v>0.2</c:v>
                </c:pt>
                <c:pt idx="2">
                  <c:v>4.1935483870967745E-2</c:v>
                </c:pt>
                <c:pt idx="3">
                  <c:v>0.43225806451612903</c:v>
                </c:pt>
                <c:pt idx="4">
                  <c:v>0.28387096774193549</c:v>
                </c:pt>
                <c:pt idx="5">
                  <c:v>0.13225806451612904</c:v>
                </c:pt>
                <c:pt idx="6">
                  <c:v>0.37096774193548387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E-4713-A3EA-85764250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6991"/>
        <c:axId val="151087951"/>
      </c:barChart>
      <c:catAx>
        <c:axId val="1510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7951"/>
        <c:crosses val="autoZero"/>
        <c:auto val="1"/>
        <c:lblAlgn val="ctr"/>
        <c:lblOffset val="100"/>
        <c:noMultiLvlLbl val="0"/>
      </c:catAx>
      <c:valAx>
        <c:axId val="1510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'41-50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'41-50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'41-50 yrs'!$B$2:$B$8</c:f>
              <c:numCache>
                <c:formatCode>General</c:formatCode>
                <c:ptCount val="7"/>
                <c:pt idx="0">
                  <c:v>0</c:v>
                </c:pt>
                <c:pt idx="1">
                  <c:v>2.5</c:v>
                </c:pt>
                <c:pt idx="2">
                  <c:v>1.5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51C-A32C-43F7EEC48BA1}"/>
            </c:ext>
          </c:extLst>
        </c:ser>
        <c:ser>
          <c:idx val="1"/>
          <c:order val="1"/>
          <c:tx>
            <c:strRef>
              <c:f>'41-50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'41-50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'41-50 yrs'!$C$2:$C$8</c:f>
              <c:numCache>
                <c:formatCode>General</c:formatCode>
                <c:ptCount val="7"/>
                <c:pt idx="0">
                  <c:v>0.60591133004926112</c:v>
                </c:pt>
                <c:pt idx="1">
                  <c:v>0.16091954022988506</c:v>
                </c:pt>
                <c:pt idx="2">
                  <c:v>0.15270935960591134</c:v>
                </c:pt>
                <c:pt idx="3">
                  <c:v>0.51395730706075538</c:v>
                </c:pt>
                <c:pt idx="4">
                  <c:v>0.33004926108374383</c:v>
                </c:pt>
                <c:pt idx="5">
                  <c:v>0.13464696223316913</c:v>
                </c:pt>
                <c:pt idx="6">
                  <c:v>0.24958949096880131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3-451C-A32C-43F7EEC4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92847"/>
        <c:axId val="265194287"/>
      </c:barChart>
      <c:catAx>
        <c:axId val="26519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4287"/>
        <c:crosses val="autoZero"/>
        <c:auto val="1"/>
        <c:lblAlgn val="ctr"/>
        <c:lblOffset val="100"/>
        <c:noMultiLvlLbl val="0"/>
      </c:catAx>
      <c:valAx>
        <c:axId val="26519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'51-60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'51-60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'51-60 yrs'!$B$2:$B$8</c:f>
              <c:numCache>
                <c:formatCode>General</c:formatCode>
                <c:ptCount val="7"/>
                <c:pt idx="0">
                  <c:v>2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1.3333333333333333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1-4C52-A13F-323666CC912B}"/>
            </c:ext>
          </c:extLst>
        </c:ser>
        <c:ser>
          <c:idx val="1"/>
          <c:order val="1"/>
          <c:tx>
            <c:strRef>
              <c:f>'51-60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'51-60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'51-60 yrs'!$C$2:$C$8</c:f>
              <c:numCache>
                <c:formatCode>General</c:formatCode>
                <c:ptCount val="7"/>
                <c:pt idx="0">
                  <c:v>0.73384516954574541</c:v>
                </c:pt>
                <c:pt idx="1">
                  <c:v>0.31094049904030713</c:v>
                </c:pt>
                <c:pt idx="2">
                  <c:v>0.14395393474088292</c:v>
                </c:pt>
                <c:pt idx="3">
                  <c:v>0.44465770953294947</c:v>
                </c:pt>
                <c:pt idx="4">
                  <c:v>0.34740882917466409</c:v>
                </c:pt>
                <c:pt idx="5">
                  <c:v>0.1036468330134357</c:v>
                </c:pt>
                <c:pt idx="6">
                  <c:v>0.21049264235444659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1-4C52-A13F-323666CC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89007"/>
        <c:axId val="265189967"/>
      </c:barChart>
      <c:catAx>
        <c:axId val="26518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9967"/>
        <c:crosses val="autoZero"/>
        <c:auto val="1"/>
        <c:lblAlgn val="ctr"/>
        <c:lblOffset val="100"/>
        <c:noMultiLvlLbl val="0"/>
      </c:catAx>
      <c:valAx>
        <c:axId val="26518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'61-80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'61-80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'61-80 yrs'!$B$2:$B$8</c:f>
              <c:numCache>
                <c:formatCode>General</c:formatCode>
                <c:ptCount val="7"/>
                <c:pt idx="0">
                  <c:v>0.33333333333333331</c:v>
                </c:pt>
                <c:pt idx="1">
                  <c:v>0</c:v>
                </c:pt>
                <c:pt idx="2">
                  <c:v>4.1666666666666664E-2</c:v>
                </c:pt>
                <c:pt idx="3">
                  <c:v>4.1666666666666664E-2</c:v>
                </c:pt>
                <c:pt idx="4">
                  <c:v>4.1666666666666664E-2</c:v>
                </c:pt>
                <c:pt idx="5">
                  <c:v>0.16666666666666666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4-4E70-A024-D4BBBB09FE67}"/>
            </c:ext>
          </c:extLst>
        </c:ser>
        <c:ser>
          <c:idx val="1"/>
          <c:order val="1"/>
          <c:tx>
            <c:strRef>
              <c:f>'61-80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'61-80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'61-80 yrs'!$C$2:$C$8</c:f>
              <c:numCache>
                <c:formatCode>General</c:formatCode>
                <c:ptCount val="7"/>
                <c:pt idx="0">
                  <c:v>0.83868481890572821</c:v>
                </c:pt>
                <c:pt idx="1">
                  <c:v>0.4834318006678654</c:v>
                </c:pt>
                <c:pt idx="2">
                  <c:v>0.18725918314924223</c:v>
                </c:pt>
                <c:pt idx="3">
                  <c:v>0.50398150526586183</c:v>
                </c:pt>
                <c:pt idx="4">
                  <c:v>0.45954276907269459</c:v>
                </c:pt>
                <c:pt idx="5">
                  <c:v>0.23067043411250962</c:v>
                </c:pt>
                <c:pt idx="6">
                  <c:v>8.2198818391985614E-3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4-4E70-A024-D4BBBB09F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91887"/>
        <c:axId val="265199567"/>
      </c:barChart>
      <c:catAx>
        <c:axId val="2651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9567"/>
        <c:crosses val="autoZero"/>
        <c:auto val="1"/>
        <c:lblAlgn val="ctr"/>
        <c:lblOffset val="100"/>
        <c:noMultiLvlLbl val="0"/>
      </c:catAx>
      <c:valAx>
        <c:axId val="26519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'81+ yrs'!$B$1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'81+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'81+ yrs'!$B$2:$B$8</c:f>
              <c:numCache>
                <c:formatCode>General</c:formatCode>
                <c:ptCount val="7"/>
                <c:pt idx="0">
                  <c:v>0.8571428571428571</c:v>
                </c:pt>
                <c:pt idx="1">
                  <c:v>0.7142857142857143</c:v>
                </c:pt>
                <c:pt idx="2">
                  <c:v>0</c:v>
                </c:pt>
                <c:pt idx="3">
                  <c:v>0.42857142857142855</c:v>
                </c:pt>
                <c:pt idx="4">
                  <c:v>1.4285714285714286</c:v>
                </c:pt>
                <c:pt idx="5">
                  <c:v>0.2857142857142857</c:v>
                </c:pt>
                <c:pt idx="6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C-4C0E-9CF3-53A1A7AFF007}"/>
            </c:ext>
          </c:extLst>
        </c:ser>
        <c:ser>
          <c:idx val="1"/>
          <c:order val="1"/>
          <c:tx>
            <c:strRef>
              <c:f>'81+ yrs'!$C$1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'81+ yrs'!$A$2:$A$8</c:f>
              <c:strCache>
                <c:ptCount val="7"/>
                <c:pt idx="0">
                  <c:v>Nervous System</c:v>
                </c:pt>
                <c:pt idx="1">
                  <c:v>Cardiovascular System</c:v>
                </c:pt>
                <c:pt idx="2">
                  <c:v>Endocrine System</c:v>
                </c:pt>
                <c:pt idx="3">
                  <c:v>Digestive System</c:v>
                </c:pt>
                <c:pt idx="4">
                  <c:v>Respiratory System</c:v>
                </c:pt>
                <c:pt idx="5">
                  <c:v>Urinary System</c:v>
                </c:pt>
                <c:pt idx="6">
                  <c:v>Liver</c:v>
                </c:pt>
              </c:strCache>
            </c:strRef>
          </c:cat>
          <c:val>
            <c:numRef>
              <c:f>'81+ yrs'!$C$2:$C$8</c:f>
              <c:numCache>
                <c:formatCode>General</c:formatCode>
                <c:ptCount val="7"/>
                <c:pt idx="0">
                  <c:v>0.69195046439628483</c:v>
                </c:pt>
                <c:pt idx="1">
                  <c:v>0.43188854489164086</c:v>
                </c:pt>
                <c:pt idx="2">
                  <c:v>3.0959752321981424E-2</c:v>
                </c:pt>
                <c:pt idx="3">
                  <c:v>0.37616099071207432</c:v>
                </c:pt>
                <c:pt idx="4">
                  <c:v>0.39009287925696595</c:v>
                </c:pt>
                <c:pt idx="5">
                  <c:v>0.17182662538699692</c:v>
                </c:pt>
                <c:pt idx="6">
                  <c:v>0.1021671826625387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C-4C0E-9CF3-53A1A7AF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74127"/>
        <c:axId val="265184207"/>
      </c:barChart>
      <c:catAx>
        <c:axId val="26517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4207"/>
        <c:crosses val="autoZero"/>
        <c:auto val="1"/>
        <c:lblAlgn val="ctr"/>
        <c:lblOffset val="100"/>
        <c:noMultiLvlLbl val="0"/>
      </c:catAx>
      <c:valAx>
        <c:axId val="2651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7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582071</xdr:colOff>
      <xdr:row>16</xdr:row>
      <xdr:rowOff>159784</xdr:rowOff>
    </xdr:from>
    <xdr:to>
      <xdr:col>20</xdr:col>
      <xdr:colOff>2603</xdr:colOff>
      <xdr:row>42</xdr:row>
      <xdr:rowOff>122478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7F01A-5F66-B3E7-7548-159854ADA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1</xdr:row>
      <xdr:rowOff>177800</xdr:rowOff>
    </xdr:from>
    <xdr:to>
      <xdr:col>11</xdr:col>
      <xdr:colOff>434975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1B66F-BF2C-1DE7-8A9C-2F5B74C37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1</xdr:row>
      <xdr:rowOff>57150</xdr:rowOff>
    </xdr:from>
    <xdr:to>
      <xdr:col>12</xdr:col>
      <xdr:colOff>117475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3157E-DEA8-127D-674C-BD11C2BEE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2</xdr:row>
      <xdr:rowOff>165100</xdr:rowOff>
    </xdr:from>
    <xdr:to>
      <xdr:col>11</xdr:col>
      <xdr:colOff>555625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9AA3F-D27B-8E95-AEEA-5B2177155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212725</xdr:colOff>
      <xdr:row>1</xdr:row>
      <xdr:rowOff>171450</xdr:rowOff>
    </xdr:from>
    <xdr:to>
      <xdr:col>13</xdr:col>
      <xdr:colOff>517525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6AA18-DEB1-5D70-4DDB-F54ECFBF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320675</xdr:colOff>
      <xdr:row>1</xdr:row>
      <xdr:rowOff>69850</xdr:rowOff>
    </xdr:from>
    <xdr:to>
      <xdr:col>12</xdr:col>
      <xdr:colOff>15875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93CBE-F2F4-C86E-F56A-D196CC354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358775</xdr:colOff>
      <xdr:row>2</xdr:row>
      <xdr:rowOff>38100</xdr:rowOff>
    </xdr:from>
    <xdr:to>
      <xdr:col>12</xdr:col>
      <xdr:colOff>53975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D3477-B3A9-406A-0BAA-13809D282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498475</xdr:colOff>
      <xdr:row>1</xdr:row>
      <xdr:rowOff>107950</xdr:rowOff>
    </xdr:from>
    <xdr:to>
      <xdr:col>11</xdr:col>
      <xdr:colOff>193675</xdr:colOff>
      <xdr:row>15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5CF6D-3F97-6E75-3A9B-CFF5FCB6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0</xdr:row>
      <xdr:rowOff>146050</xdr:rowOff>
    </xdr:from>
    <xdr:to>
      <xdr:col>11</xdr:col>
      <xdr:colOff>142875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EC00E-6629-0B58-06A5-F5B7924AC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36.745762847226" createdVersion="8" refreshedVersion="8" minRefreshableVersion="3" recordCount="56" xr:uid="{ADCAC323-3436-4348-91E9-690161409323}">
  <cacheSource type="worksheet">
    <worksheetSource ref="A1:D57" sheet="Master"/>
  </cacheSource>
  <cacheFields count="4">
    <cacheField name="Organ System" numFmtId="0">
      <sharedItems count="7">
        <s v="Nervous System"/>
        <s v="Cardiovascular System"/>
        <s v="Endocrine System"/>
        <s v="Digestive System"/>
        <s v="Respiratory System"/>
        <s v="Urinary System"/>
        <s v="Liver"/>
      </sharedItems>
    </cacheField>
    <cacheField name="Male" numFmtId="0">
      <sharedItems containsString="0" containsBlank="1" containsNumber="1" minValue="0" maxValue="2.5"/>
    </cacheField>
    <cacheField name="Female" numFmtId="0">
      <sharedItems containsSemiMixedTypes="0" containsString="0" containsNumber="1" minValue="0" maxValue="2"/>
    </cacheField>
    <cacheField name="Age" numFmtId="0">
      <sharedItems count="8">
        <s v="0-6"/>
        <s v="7-12"/>
        <s v="13-21"/>
        <s v="22-40"/>
        <s v="41-50"/>
        <s v="51-60"/>
        <s v="61-80"/>
        <s v="8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0"/>
    <n v="0"/>
    <x v="0"/>
  </r>
  <r>
    <x v="1"/>
    <n v="0"/>
    <n v="0"/>
    <x v="0"/>
  </r>
  <r>
    <x v="2"/>
    <n v="0"/>
    <n v="0"/>
    <x v="0"/>
  </r>
  <r>
    <x v="3"/>
    <n v="0"/>
    <n v="0"/>
    <x v="0"/>
  </r>
  <r>
    <x v="4"/>
    <n v="0"/>
    <n v="0"/>
    <x v="0"/>
  </r>
  <r>
    <x v="5"/>
    <n v="0"/>
    <n v="0"/>
    <x v="0"/>
  </r>
  <r>
    <x v="6"/>
    <n v="0"/>
    <n v="0"/>
    <x v="0"/>
  </r>
  <r>
    <x v="0"/>
    <n v="0.33333333333333331"/>
    <n v="0"/>
    <x v="1"/>
  </r>
  <r>
    <x v="1"/>
    <n v="0"/>
    <n v="0"/>
    <x v="1"/>
  </r>
  <r>
    <x v="2"/>
    <n v="1.6666666666666667"/>
    <n v="0"/>
    <x v="1"/>
  </r>
  <r>
    <x v="3"/>
    <n v="0"/>
    <n v="0"/>
    <x v="1"/>
  </r>
  <r>
    <x v="4"/>
    <n v="0.33333333333333331"/>
    <n v="0"/>
    <x v="1"/>
  </r>
  <r>
    <x v="5"/>
    <n v="0.33333333333333331"/>
    <n v="0"/>
    <x v="1"/>
  </r>
  <r>
    <x v="6"/>
    <n v="0"/>
    <n v="0"/>
    <x v="1"/>
  </r>
  <r>
    <x v="0"/>
    <n v="0.63157894736842102"/>
    <n v="0.2"/>
    <x v="2"/>
  </r>
  <r>
    <x v="1"/>
    <n v="0.47368421052631576"/>
    <n v="0"/>
    <x v="2"/>
  </r>
  <r>
    <x v="2"/>
    <n v="0"/>
    <n v="0"/>
    <x v="2"/>
  </r>
  <r>
    <x v="3"/>
    <n v="0"/>
    <n v="2"/>
    <x v="2"/>
  </r>
  <r>
    <x v="4"/>
    <n v="5.2631578947368418E-2"/>
    <n v="0"/>
    <x v="2"/>
  </r>
  <r>
    <x v="5"/>
    <n v="0"/>
    <n v="0"/>
    <x v="2"/>
  </r>
  <r>
    <x v="6"/>
    <m/>
    <n v="0"/>
    <x v="2"/>
  </r>
  <r>
    <x v="0"/>
    <n v="0"/>
    <n v="0.6967741935483871"/>
    <x v="3"/>
  </r>
  <r>
    <x v="1"/>
    <n v="0"/>
    <n v="0.2"/>
    <x v="3"/>
  </r>
  <r>
    <x v="2"/>
    <n v="0"/>
    <n v="4.1935483870967745E-2"/>
    <x v="3"/>
  </r>
  <r>
    <x v="3"/>
    <n v="0"/>
    <n v="0.43225806451612903"/>
    <x v="3"/>
  </r>
  <r>
    <x v="4"/>
    <n v="0"/>
    <n v="0.28387096774193549"/>
    <x v="3"/>
  </r>
  <r>
    <x v="5"/>
    <n v="0"/>
    <n v="0.13225806451612904"/>
    <x v="3"/>
  </r>
  <r>
    <x v="6"/>
    <n v="0"/>
    <n v="0.37096774193548387"/>
    <x v="3"/>
  </r>
  <r>
    <x v="0"/>
    <n v="0"/>
    <n v="0.60591133004926112"/>
    <x v="4"/>
  </r>
  <r>
    <x v="1"/>
    <n v="2.5"/>
    <n v="0.16091954022988506"/>
    <x v="4"/>
  </r>
  <r>
    <x v="2"/>
    <n v="1.5"/>
    <n v="0.15270935960591134"/>
    <x v="4"/>
  </r>
  <r>
    <x v="3"/>
    <n v="0"/>
    <n v="0.51395730706075538"/>
    <x v="4"/>
  </r>
  <r>
    <x v="4"/>
    <n v="0"/>
    <n v="0.33004926108374383"/>
    <x v="4"/>
  </r>
  <r>
    <x v="5"/>
    <n v="0"/>
    <n v="0.13464696223316913"/>
    <x v="4"/>
  </r>
  <r>
    <x v="6"/>
    <n v="0.5"/>
    <n v="0.24958949096880131"/>
    <x v="4"/>
  </r>
  <r>
    <x v="0"/>
    <n v="2"/>
    <n v="0.73384516954574541"/>
    <x v="5"/>
  </r>
  <r>
    <x v="1"/>
    <n v="0.33333333333333331"/>
    <n v="0.31094049904030713"/>
    <x v="5"/>
  </r>
  <r>
    <x v="2"/>
    <n v="0.33333333333333331"/>
    <n v="0.14395393474088292"/>
    <x v="5"/>
  </r>
  <r>
    <x v="3"/>
    <n v="1.3333333333333333"/>
    <n v="0.44465770953294947"/>
    <x v="5"/>
  </r>
  <r>
    <x v="4"/>
    <n v="0.33333333333333331"/>
    <n v="0.34740882917466409"/>
    <x v="5"/>
  </r>
  <r>
    <x v="5"/>
    <n v="0"/>
    <n v="0.1036468330134357"/>
    <x v="5"/>
  </r>
  <r>
    <x v="6"/>
    <n v="0"/>
    <n v="0.21049264235444659"/>
    <x v="5"/>
  </r>
  <r>
    <x v="0"/>
    <n v="0.33333333333333331"/>
    <n v="0.83868481890572821"/>
    <x v="6"/>
  </r>
  <r>
    <x v="1"/>
    <n v="0"/>
    <n v="0.4834318006678654"/>
    <x v="6"/>
  </r>
  <r>
    <x v="2"/>
    <n v="4.1666666666666664E-2"/>
    <n v="0.18725918314924223"/>
    <x v="6"/>
  </r>
  <r>
    <x v="3"/>
    <n v="4.1666666666666664E-2"/>
    <n v="0.50398150526586183"/>
    <x v="6"/>
  </r>
  <r>
    <x v="4"/>
    <n v="4.1666666666666664E-2"/>
    <n v="0.45954276907269459"/>
    <x v="6"/>
  </r>
  <r>
    <x v="5"/>
    <n v="0.16666666666666666"/>
    <n v="0.23067043411250962"/>
    <x v="6"/>
  </r>
  <r>
    <x v="6"/>
    <n v="0"/>
    <n v="8.2198818391985614E-3"/>
    <x v="6"/>
  </r>
  <r>
    <x v="0"/>
    <n v="0.8571428571428571"/>
    <n v="0.69195046439628483"/>
    <x v="7"/>
  </r>
  <r>
    <x v="1"/>
    <n v="0.7142857142857143"/>
    <n v="0.43188854489164086"/>
    <x v="7"/>
  </r>
  <r>
    <x v="2"/>
    <n v="0"/>
    <n v="3.0959752321981424E-2"/>
    <x v="7"/>
  </r>
  <r>
    <x v="3"/>
    <n v="0.42857142857142855"/>
    <n v="0.37616099071207432"/>
    <x v="7"/>
  </r>
  <r>
    <x v="4"/>
    <n v="1.4285714285714286"/>
    <n v="0.39009287925696595"/>
    <x v="7"/>
  </r>
  <r>
    <x v="5"/>
    <n v="0.2857142857142857"/>
    <n v="0.17182662538699692"/>
    <x v="7"/>
  </r>
  <r>
    <x v="6"/>
    <n v="0.2857142857142857"/>
    <n v="0.102167182662538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354EE-6DDF-4E43-BE38-4145D84F40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4:W15" firstHeaderRow="1" firstDataRow="3" firstDataCol="1"/>
  <pivotFields count="4">
    <pivotField axis="axisCol" showAll="0">
      <items count="8">
        <item x="1"/>
        <item x="3"/>
        <item x="2"/>
        <item x="6"/>
        <item x="0"/>
        <item x="4"/>
        <item x="5"/>
        <item t="default"/>
      </items>
    </pivotField>
    <pivotField dataField="1" showAll="0"/>
    <pivotField dataField="1" showAll="0"/>
    <pivotField axis="axisRow" showAll="0">
      <items count="9">
        <item x="0"/>
        <item x="2"/>
        <item x="3"/>
        <item x="4"/>
        <item x="5"/>
        <item x="6"/>
        <item x="1"/>
        <item x="7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0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colItems>
  <dataFields count="2">
    <dataField name="Sum of Female" fld="2" baseField="0" baseItem="0"/>
    <dataField name="Sum of Male" fld="1" baseField="0" baseItem="0"/>
  </dataFields>
  <chartFormats count="3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7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C724-B98D-4AB2-8CD4-3F3CA0773DD0}">
  <sheetPr codeName="Sheet10"/>
  <dimension ref="A1:W57"/>
  <sheetViews>
    <sheetView topLeftCell="D14" zoomScale="61" workbookViewId="0">
      <selection activeCell="I35" sqref="I35"/>
    </sheetView>
  </sheetViews>
  <sheetFormatPr defaultRowHeight="14.5" x14ac:dyDescent="0.35"/>
  <cols>
    <col min="1" max="1" width="32.54296875" customWidth="1"/>
    <col min="2" max="2" width="24.6328125" customWidth="1"/>
    <col min="7" max="7" width="13.81640625" bestFit="1" customWidth="1"/>
    <col min="8" max="8" width="19.7265625" bestFit="1" customWidth="1"/>
    <col min="9" max="9" width="15" bestFit="1" customWidth="1"/>
    <col min="10" max="10" width="15.7265625" bestFit="1" customWidth="1"/>
    <col min="11" max="11" width="12.453125" bestFit="1" customWidth="1"/>
    <col min="12" max="12" width="14.36328125" bestFit="1" customWidth="1"/>
    <col min="13" max="13" width="17.08984375" bestFit="1" customWidth="1"/>
    <col min="14" max="14" width="13.54296875" bestFit="1" customWidth="1"/>
    <col min="15" max="15" width="19.7265625" bestFit="1" customWidth="1"/>
    <col min="16" max="16" width="15" bestFit="1" customWidth="1"/>
    <col min="17" max="17" width="15.7265625" bestFit="1" customWidth="1"/>
    <col min="18" max="18" width="12.453125" bestFit="1" customWidth="1"/>
    <col min="19" max="19" width="14.36328125" bestFit="1" customWidth="1"/>
    <col min="20" max="20" width="17.08984375" bestFit="1" customWidth="1"/>
    <col min="21" max="21" width="13.54296875" bestFit="1" customWidth="1"/>
    <col min="22" max="22" width="18" bestFit="1" customWidth="1"/>
    <col min="23" max="23" width="16.08984375" bestFit="1" customWidth="1"/>
    <col min="24" max="24" width="18" bestFit="1" customWidth="1"/>
    <col min="25" max="25" width="16.1796875" bestFit="1" customWidth="1"/>
  </cols>
  <sheetData>
    <row r="1" spans="1:23" ht="15" thickBot="1" x14ac:dyDescent="0.4">
      <c r="A1" s="1" t="s">
        <v>0</v>
      </c>
      <c r="B1" s="1" t="s">
        <v>7</v>
      </c>
      <c r="C1" s="6" t="s">
        <v>8</v>
      </c>
      <c r="D1" s="2" t="s">
        <v>10</v>
      </c>
    </row>
    <row r="2" spans="1:23" ht="15" thickBot="1" x14ac:dyDescent="0.4">
      <c r="A2" t="s">
        <v>2</v>
      </c>
      <c r="B2">
        <v>0</v>
      </c>
      <c r="C2" s="3">
        <v>0</v>
      </c>
      <c r="D2" t="s">
        <v>15</v>
      </c>
    </row>
    <row r="3" spans="1:23" ht="15" thickBot="1" x14ac:dyDescent="0.4">
      <c r="A3" t="s">
        <v>4</v>
      </c>
      <c r="B3">
        <v>0</v>
      </c>
      <c r="C3" s="3">
        <v>0</v>
      </c>
      <c r="D3" t="s">
        <v>15</v>
      </c>
    </row>
    <row r="4" spans="1:23" ht="15" thickBot="1" x14ac:dyDescent="0.4">
      <c r="A4" t="s">
        <v>1</v>
      </c>
      <c r="B4">
        <v>0</v>
      </c>
      <c r="C4" s="3">
        <v>0</v>
      </c>
      <c r="D4" t="s">
        <v>15</v>
      </c>
      <c r="H4" s="8" t="s">
        <v>23</v>
      </c>
    </row>
    <row r="5" spans="1:23" ht="15" thickBot="1" x14ac:dyDescent="0.4">
      <c r="A5" t="s">
        <v>3</v>
      </c>
      <c r="B5">
        <v>0</v>
      </c>
      <c r="C5" s="3">
        <v>0</v>
      </c>
      <c r="D5" t="s">
        <v>15</v>
      </c>
      <c r="H5" t="s">
        <v>14</v>
      </c>
      <c r="O5" t="s">
        <v>13</v>
      </c>
      <c r="V5" t="s">
        <v>24</v>
      </c>
      <c r="W5" t="s">
        <v>25</v>
      </c>
    </row>
    <row r="6" spans="1:23" ht="15" thickBot="1" x14ac:dyDescent="0.4">
      <c r="A6" t="s">
        <v>5</v>
      </c>
      <c r="B6">
        <v>0</v>
      </c>
      <c r="C6" s="3">
        <v>0</v>
      </c>
      <c r="D6" t="s">
        <v>15</v>
      </c>
      <c r="G6" s="8" t="s">
        <v>11</v>
      </c>
      <c r="H6" t="s">
        <v>4</v>
      </c>
      <c r="I6" t="s">
        <v>3</v>
      </c>
      <c r="J6" t="s">
        <v>1</v>
      </c>
      <c r="K6" t="s">
        <v>9</v>
      </c>
      <c r="L6" t="s">
        <v>2</v>
      </c>
      <c r="M6" t="s">
        <v>5</v>
      </c>
      <c r="N6" t="s">
        <v>6</v>
      </c>
      <c r="O6" t="s">
        <v>4</v>
      </c>
      <c r="P6" t="s">
        <v>3</v>
      </c>
      <c r="Q6" t="s">
        <v>1</v>
      </c>
      <c r="R6" t="s">
        <v>9</v>
      </c>
      <c r="S6" t="s">
        <v>2</v>
      </c>
      <c r="T6" t="s">
        <v>5</v>
      </c>
      <c r="U6" t="s">
        <v>6</v>
      </c>
    </row>
    <row r="7" spans="1:23" ht="15" thickBot="1" x14ac:dyDescent="0.4">
      <c r="A7" t="s">
        <v>6</v>
      </c>
      <c r="B7">
        <v>0</v>
      </c>
      <c r="C7" s="3">
        <v>0</v>
      </c>
      <c r="D7" t="s">
        <v>15</v>
      </c>
      <c r="G7" s="9" t="s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ht="15" thickBot="1" x14ac:dyDescent="0.4">
      <c r="A8" t="s">
        <v>9</v>
      </c>
      <c r="B8">
        <v>0</v>
      </c>
      <c r="C8" s="3">
        <v>0</v>
      </c>
      <c r="D8" t="s">
        <v>15</v>
      </c>
      <c r="G8" s="9" t="s">
        <v>17</v>
      </c>
      <c r="H8">
        <v>0</v>
      </c>
      <c r="I8">
        <v>2</v>
      </c>
      <c r="J8">
        <v>0</v>
      </c>
      <c r="K8">
        <v>0</v>
      </c>
      <c r="L8">
        <v>0.2</v>
      </c>
      <c r="M8">
        <v>0</v>
      </c>
      <c r="N8">
        <v>0</v>
      </c>
      <c r="O8">
        <v>0.47368421052631576</v>
      </c>
      <c r="P8">
        <v>0</v>
      </c>
      <c r="Q8">
        <v>0</v>
      </c>
      <c r="S8">
        <v>0.63157894736842102</v>
      </c>
      <c r="T8">
        <v>5.2631578947368418E-2</v>
      </c>
      <c r="U8">
        <v>0</v>
      </c>
      <c r="V8">
        <v>2.2000000000000002</v>
      </c>
      <c r="W8">
        <v>1.1578947368421051</v>
      </c>
    </row>
    <row r="9" spans="1:23" ht="15" thickBot="1" x14ac:dyDescent="0.4">
      <c r="A9" t="s">
        <v>2</v>
      </c>
      <c r="B9">
        <v>0.33333333333333331</v>
      </c>
      <c r="C9" s="3">
        <v>0</v>
      </c>
      <c r="D9" s="10" t="s">
        <v>16</v>
      </c>
      <c r="G9" s="9" t="s">
        <v>18</v>
      </c>
      <c r="H9">
        <v>0.2</v>
      </c>
      <c r="I9">
        <v>0.43225806451612903</v>
      </c>
      <c r="J9">
        <v>4.1935483870967745E-2</v>
      </c>
      <c r="K9">
        <v>0.37096774193548387</v>
      </c>
      <c r="L9">
        <v>0.6967741935483871</v>
      </c>
      <c r="M9">
        <v>0.28387096774193549</v>
      </c>
      <c r="N9">
        <v>0.13225806451612904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2.1580645161290324</v>
      </c>
      <c r="W9">
        <v>0</v>
      </c>
    </row>
    <row r="10" spans="1:23" ht="15" thickBot="1" x14ac:dyDescent="0.4">
      <c r="A10" t="s">
        <v>4</v>
      </c>
      <c r="B10">
        <v>0</v>
      </c>
      <c r="C10" s="3">
        <v>0</v>
      </c>
      <c r="D10" s="10" t="s">
        <v>16</v>
      </c>
      <c r="G10" s="9" t="s">
        <v>19</v>
      </c>
      <c r="H10">
        <v>0.16091954022988506</v>
      </c>
      <c r="I10">
        <v>0.51395730706075538</v>
      </c>
      <c r="J10">
        <v>0.15270935960591134</v>
      </c>
      <c r="K10">
        <v>0.24958949096880131</v>
      </c>
      <c r="L10">
        <v>0.60591133004926112</v>
      </c>
      <c r="M10">
        <v>0.33004926108374383</v>
      </c>
      <c r="N10">
        <v>0.13464696223316913</v>
      </c>
      <c r="O10">
        <v>2.5</v>
      </c>
      <c r="P10">
        <v>0</v>
      </c>
      <c r="Q10">
        <v>1.5</v>
      </c>
      <c r="R10">
        <v>0.5</v>
      </c>
      <c r="S10">
        <v>0</v>
      </c>
      <c r="T10">
        <v>0</v>
      </c>
      <c r="U10">
        <v>0</v>
      </c>
      <c r="V10">
        <v>2.1477832512315271</v>
      </c>
      <c r="W10">
        <v>4.5</v>
      </c>
    </row>
    <row r="11" spans="1:23" ht="15" thickBot="1" x14ac:dyDescent="0.4">
      <c r="A11" t="s">
        <v>1</v>
      </c>
      <c r="B11">
        <v>1.6666666666666667</v>
      </c>
      <c r="C11" s="3">
        <v>0</v>
      </c>
      <c r="D11" s="10" t="s">
        <v>16</v>
      </c>
      <c r="G11" s="9" t="s">
        <v>20</v>
      </c>
      <c r="H11">
        <v>0.31094049904030713</v>
      </c>
      <c r="I11">
        <v>0.44465770953294947</v>
      </c>
      <c r="J11">
        <v>0.14395393474088292</v>
      </c>
      <c r="K11">
        <v>0.21049264235444659</v>
      </c>
      <c r="L11">
        <v>0.73384516954574541</v>
      </c>
      <c r="M11">
        <v>0.34740882917466409</v>
      </c>
      <c r="N11">
        <v>0.1036468330134357</v>
      </c>
      <c r="O11">
        <v>0.33333333333333331</v>
      </c>
      <c r="P11">
        <v>1.3333333333333333</v>
      </c>
      <c r="Q11">
        <v>0.33333333333333331</v>
      </c>
      <c r="R11">
        <v>0</v>
      </c>
      <c r="S11">
        <v>2</v>
      </c>
      <c r="T11">
        <v>0.33333333333333331</v>
      </c>
      <c r="U11">
        <v>0</v>
      </c>
      <c r="V11">
        <v>2.2949456174024316</v>
      </c>
      <c r="W11">
        <v>4.333333333333333</v>
      </c>
    </row>
    <row r="12" spans="1:23" ht="15" thickBot="1" x14ac:dyDescent="0.4">
      <c r="A12" t="s">
        <v>3</v>
      </c>
      <c r="B12">
        <v>0</v>
      </c>
      <c r="C12" s="3">
        <v>0</v>
      </c>
      <c r="D12" s="10" t="s">
        <v>16</v>
      </c>
      <c r="G12" s="9" t="s">
        <v>21</v>
      </c>
      <c r="H12">
        <v>0.4834318006678654</v>
      </c>
      <c r="I12">
        <v>0.50398150526586183</v>
      </c>
      <c r="J12">
        <v>0.18725918314924223</v>
      </c>
      <c r="K12">
        <v>8.2198818391985614E-3</v>
      </c>
      <c r="L12">
        <v>0.83868481890572821</v>
      </c>
      <c r="M12">
        <v>0.45954276907269459</v>
      </c>
      <c r="N12">
        <v>0.23067043411250962</v>
      </c>
      <c r="O12">
        <v>0</v>
      </c>
      <c r="P12">
        <v>4.1666666666666664E-2</v>
      </c>
      <c r="Q12">
        <v>4.1666666666666664E-2</v>
      </c>
      <c r="R12">
        <v>0</v>
      </c>
      <c r="S12">
        <v>0.33333333333333331</v>
      </c>
      <c r="T12">
        <v>4.1666666666666664E-2</v>
      </c>
      <c r="U12">
        <v>0.16666666666666666</v>
      </c>
      <c r="V12">
        <v>2.7117903930131004</v>
      </c>
      <c r="W12">
        <v>0.625</v>
      </c>
    </row>
    <row r="13" spans="1:23" ht="15" thickBot="1" x14ac:dyDescent="0.4">
      <c r="A13" t="s">
        <v>5</v>
      </c>
      <c r="B13">
        <v>0.33333333333333331</v>
      </c>
      <c r="C13" s="3">
        <v>0</v>
      </c>
      <c r="D13" s="10" t="s">
        <v>16</v>
      </c>
      <c r="G13" s="9" t="s">
        <v>16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1.6666666666666667</v>
      </c>
      <c r="R13">
        <v>0</v>
      </c>
      <c r="S13">
        <v>0.33333333333333331</v>
      </c>
      <c r="T13">
        <v>0.33333333333333331</v>
      </c>
      <c r="U13">
        <v>0.33333333333333331</v>
      </c>
      <c r="V13">
        <v>0</v>
      </c>
      <c r="W13">
        <v>2.666666666666667</v>
      </c>
    </row>
    <row r="14" spans="1:23" ht="15" thickBot="1" x14ac:dyDescent="0.4">
      <c r="A14" t="s">
        <v>6</v>
      </c>
      <c r="B14">
        <v>0.33333333333333331</v>
      </c>
      <c r="C14" s="3">
        <v>0</v>
      </c>
      <c r="D14" s="10" t="s">
        <v>16</v>
      </c>
      <c r="G14" s="9" t="s">
        <v>22</v>
      </c>
      <c r="H14">
        <v>0.43188854489164086</v>
      </c>
      <c r="I14">
        <v>0.37616099071207432</v>
      </c>
      <c r="J14">
        <v>3.0959752321981424E-2</v>
      </c>
      <c r="K14">
        <v>0.1021671826625387</v>
      </c>
      <c r="L14">
        <v>0.69195046439628483</v>
      </c>
      <c r="M14">
        <v>0.39009287925696595</v>
      </c>
      <c r="N14">
        <v>0.17182662538699692</v>
      </c>
      <c r="O14">
        <v>0.7142857142857143</v>
      </c>
      <c r="P14">
        <v>0.42857142857142855</v>
      </c>
      <c r="Q14">
        <v>0</v>
      </c>
      <c r="R14">
        <v>0.2857142857142857</v>
      </c>
      <c r="S14">
        <v>0.8571428571428571</v>
      </c>
      <c r="T14">
        <v>1.4285714285714286</v>
      </c>
      <c r="U14">
        <v>0.2857142857142857</v>
      </c>
      <c r="V14">
        <v>2.195046439628483</v>
      </c>
      <c r="W14">
        <v>4</v>
      </c>
    </row>
    <row r="15" spans="1:23" ht="15" thickBot="1" x14ac:dyDescent="0.4">
      <c r="A15" t="s">
        <v>9</v>
      </c>
      <c r="B15">
        <v>0</v>
      </c>
      <c r="C15" s="3">
        <v>0</v>
      </c>
      <c r="D15" s="10" t="s">
        <v>16</v>
      </c>
      <c r="G15" s="9" t="s">
        <v>12</v>
      </c>
      <c r="H15">
        <v>1.5871803848296984</v>
      </c>
      <c r="I15">
        <v>4.2710155770877707</v>
      </c>
      <c r="J15">
        <v>0.55681771368898569</v>
      </c>
      <c r="K15">
        <v>0.94143693976046905</v>
      </c>
      <c r="L15">
        <v>3.7671659764454066</v>
      </c>
      <c r="M15">
        <v>1.8109647063300041</v>
      </c>
      <c r="N15">
        <v>0.7730489192622404</v>
      </c>
      <c r="O15">
        <v>4.0213032581453634</v>
      </c>
      <c r="P15">
        <v>1.8035714285714286</v>
      </c>
      <c r="Q15">
        <v>3.541666666666667</v>
      </c>
      <c r="R15">
        <v>0.7857142857142857</v>
      </c>
      <c r="S15">
        <v>4.155388471177945</v>
      </c>
      <c r="T15">
        <v>2.1895363408521304</v>
      </c>
      <c r="U15">
        <v>0.7857142857142857</v>
      </c>
      <c r="V15">
        <v>13.707630217404574</v>
      </c>
      <c r="W15">
        <v>17.282894736842106</v>
      </c>
    </row>
    <row r="16" spans="1:23" ht="15" thickBot="1" x14ac:dyDescent="0.4">
      <c r="A16" t="s">
        <v>2</v>
      </c>
      <c r="B16">
        <v>0.63157894736842102</v>
      </c>
      <c r="C16" s="3">
        <v>0.2</v>
      </c>
      <c r="D16" t="s">
        <v>17</v>
      </c>
    </row>
    <row r="17" spans="1:4" ht="15" thickBot="1" x14ac:dyDescent="0.4">
      <c r="A17" t="s">
        <v>4</v>
      </c>
      <c r="B17" s="3">
        <v>0.47368421052631576</v>
      </c>
      <c r="C17" s="5">
        <v>0</v>
      </c>
      <c r="D17" t="s">
        <v>17</v>
      </c>
    </row>
    <row r="18" spans="1:4" ht="15" thickBot="1" x14ac:dyDescent="0.4">
      <c r="A18" t="s">
        <v>1</v>
      </c>
      <c r="B18" s="3">
        <v>0</v>
      </c>
      <c r="C18" s="5">
        <v>0</v>
      </c>
      <c r="D18" t="s">
        <v>17</v>
      </c>
    </row>
    <row r="19" spans="1:4" ht="15" thickBot="1" x14ac:dyDescent="0.4">
      <c r="A19" t="s">
        <v>3</v>
      </c>
      <c r="B19" s="3">
        <v>0</v>
      </c>
      <c r="C19" s="5">
        <v>2</v>
      </c>
      <c r="D19" t="s">
        <v>17</v>
      </c>
    </row>
    <row r="20" spans="1:4" ht="15" thickBot="1" x14ac:dyDescent="0.4">
      <c r="A20" t="s">
        <v>5</v>
      </c>
      <c r="B20" s="3">
        <v>5.2631578947368418E-2</v>
      </c>
      <c r="C20" s="5">
        <v>0</v>
      </c>
      <c r="D20" t="s">
        <v>17</v>
      </c>
    </row>
    <row r="21" spans="1:4" ht="15" thickBot="1" x14ac:dyDescent="0.4">
      <c r="A21" t="s">
        <v>6</v>
      </c>
      <c r="B21" s="3">
        <v>0</v>
      </c>
      <c r="C21" s="5">
        <v>0</v>
      </c>
      <c r="D21" t="s">
        <v>17</v>
      </c>
    </row>
    <row r="22" spans="1:4" ht="15" thickBot="1" x14ac:dyDescent="0.4">
      <c r="A22" t="s">
        <v>9</v>
      </c>
      <c r="B22" s="3"/>
      <c r="C22" s="5">
        <v>0</v>
      </c>
      <c r="D22" t="s">
        <v>17</v>
      </c>
    </row>
    <row r="23" spans="1:4" ht="15" thickBot="1" x14ac:dyDescent="0.4">
      <c r="A23" t="s">
        <v>2</v>
      </c>
      <c r="B23">
        <v>0</v>
      </c>
      <c r="C23" s="3">
        <v>0.6967741935483871</v>
      </c>
      <c r="D23" t="s">
        <v>18</v>
      </c>
    </row>
    <row r="24" spans="1:4" ht="15" thickBot="1" x14ac:dyDescent="0.4">
      <c r="A24" t="s">
        <v>4</v>
      </c>
      <c r="B24">
        <v>0</v>
      </c>
      <c r="C24" s="5">
        <v>0.2</v>
      </c>
      <c r="D24" t="s">
        <v>18</v>
      </c>
    </row>
    <row r="25" spans="1:4" ht="15" thickBot="1" x14ac:dyDescent="0.4">
      <c r="A25" t="s">
        <v>1</v>
      </c>
      <c r="B25">
        <v>0</v>
      </c>
      <c r="C25" s="5">
        <v>4.1935483870967745E-2</v>
      </c>
      <c r="D25" t="s">
        <v>18</v>
      </c>
    </row>
    <row r="26" spans="1:4" ht="15" thickBot="1" x14ac:dyDescent="0.4">
      <c r="A26" t="s">
        <v>3</v>
      </c>
      <c r="B26">
        <v>0</v>
      </c>
      <c r="C26" s="5">
        <v>0.43225806451612903</v>
      </c>
      <c r="D26" t="s">
        <v>18</v>
      </c>
    </row>
    <row r="27" spans="1:4" ht="15" thickBot="1" x14ac:dyDescent="0.4">
      <c r="A27" t="s">
        <v>5</v>
      </c>
      <c r="B27">
        <v>0</v>
      </c>
      <c r="C27" s="5">
        <v>0.28387096774193549</v>
      </c>
      <c r="D27" t="s">
        <v>18</v>
      </c>
    </row>
    <row r="28" spans="1:4" ht="15" thickBot="1" x14ac:dyDescent="0.4">
      <c r="A28" t="s">
        <v>6</v>
      </c>
      <c r="B28">
        <v>0</v>
      </c>
      <c r="C28" s="5">
        <v>0.13225806451612904</v>
      </c>
      <c r="D28" t="s">
        <v>18</v>
      </c>
    </row>
    <row r="29" spans="1:4" ht="15" thickBot="1" x14ac:dyDescent="0.4">
      <c r="A29" t="s">
        <v>9</v>
      </c>
      <c r="B29">
        <v>0</v>
      </c>
      <c r="C29" s="5">
        <v>0.37096774193548387</v>
      </c>
      <c r="D29" t="s">
        <v>18</v>
      </c>
    </row>
    <row r="30" spans="1:4" ht="15" thickBot="1" x14ac:dyDescent="0.4">
      <c r="A30" t="s">
        <v>2</v>
      </c>
      <c r="B30">
        <v>0</v>
      </c>
      <c r="C30">
        <f>(274+95)/609</f>
        <v>0.60591133004926112</v>
      </c>
      <c r="D30" t="s">
        <v>19</v>
      </c>
    </row>
    <row r="31" spans="1:4" ht="15" thickBot="1" x14ac:dyDescent="0.4">
      <c r="A31" t="s">
        <v>4</v>
      </c>
      <c r="B31" s="5">
        <v>2.5</v>
      </c>
      <c r="C31" s="4">
        <v>0.16091954022988506</v>
      </c>
      <c r="D31" t="s">
        <v>19</v>
      </c>
    </row>
    <row r="32" spans="1:4" ht="15" thickBot="1" x14ac:dyDescent="0.4">
      <c r="A32" t="s">
        <v>1</v>
      </c>
      <c r="B32" s="5">
        <v>1.5</v>
      </c>
      <c r="C32" s="3">
        <v>0.15270935960591134</v>
      </c>
      <c r="D32" t="s">
        <v>19</v>
      </c>
    </row>
    <row r="33" spans="1:4" ht="15" thickBot="1" x14ac:dyDescent="0.4">
      <c r="A33" t="s">
        <v>3</v>
      </c>
      <c r="B33" s="5">
        <v>0</v>
      </c>
      <c r="C33" s="3">
        <v>0.51395730706075538</v>
      </c>
      <c r="D33" t="s">
        <v>19</v>
      </c>
    </row>
    <row r="34" spans="1:4" ht="15" thickBot="1" x14ac:dyDescent="0.4">
      <c r="A34" t="s">
        <v>5</v>
      </c>
      <c r="B34" s="5">
        <v>0</v>
      </c>
      <c r="C34" s="3">
        <v>0.33004926108374383</v>
      </c>
      <c r="D34" t="s">
        <v>19</v>
      </c>
    </row>
    <row r="35" spans="1:4" ht="15" thickBot="1" x14ac:dyDescent="0.4">
      <c r="A35" t="s">
        <v>6</v>
      </c>
      <c r="B35" s="5">
        <v>0</v>
      </c>
      <c r="C35">
        <f>(46+36)/609</f>
        <v>0.13464696223316913</v>
      </c>
      <c r="D35" t="s">
        <v>19</v>
      </c>
    </row>
    <row r="36" spans="1:4" ht="15" thickBot="1" x14ac:dyDescent="0.4">
      <c r="A36" t="s">
        <v>9</v>
      </c>
      <c r="B36" s="5">
        <v>0.5</v>
      </c>
      <c r="C36" s="3">
        <v>0.24958949096880131</v>
      </c>
      <c r="D36" t="s">
        <v>19</v>
      </c>
    </row>
    <row r="37" spans="1:4" ht="15" thickBot="1" x14ac:dyDescent="0.4">
      <c r="A37" t="s">
        <v>2</v>
      </c>
      <c r="B37">
        <v>2</v>
      </c>
      <c r="C37" s="3">
        <v>0.73384516954574541</v>
      </c>
      <c r="D37" t="s">
        <v>20</v>
      </c>
    </row>
    <row r="38" spans="1:4" ht="15" thickBot="1" x14ac:dyDescent="0.4">
      <c r="A38" t="s">
        <v>4</v>
      </c>
      <c r="B38" s="5">
        <v>0.33333333333333331</v>
      </c>
      <c r="C38" s="3">
        <v>0.31094049904030713</v>
      </c>
      <c r="D38" t="s">
        <v>20</v>
      </c>
    </row>
    <row r="39" spans="1:4" ht="15" thickBot="1" x14ac:dyDescent="0.4">
      <c r="A39" t="s">
        <v>1</v>
      </c>
      <c r="B39" s="5">
        <v>0.33333333333333331</v>
      </c>
      <c r="C39" s="3">
        <v>0.14395393474088292</v>
      </c>
      <c r="D39" t="s">
        <v>20</v>
      </c>
    </row>
    <row r="40" spans="1:4" ht="15" thickBot="1" x14ac:dyDescent="0.4">
      <c r="A40" t="s">
        <v>3</v>
      </c>
      <c r="B40" s="5">
        <v>1.3333333333333333</v>
      </c>
      <c r="C40" s="3">
        <v>0.44465770953294947</v>
      </c>
      <c r="D40" t="s">
        <v>20</v>
      </c>
    </row>
    <row r="41" spans="1:4" ht="15" thickBot="1" x14ac:dyDescent="0.4">
      <c r="A41" t="s">
        <v>5</v>
      </c>
      <c r="B41" s="5">
        <v>0.33333333333333331</v>
      </c>
      <c r="C41" s="3">
        <v>0.34740882917466409</v>
      </c>
      <c r="D41" t="s">
        <v>20</v>
      </c>
    </row>
    <row r="42" spans="1:4" ht="15" thickBot="1" x14ac:dyDescent="0.4">
      <c r="A42" t="s">
        <v>6</v>
      </c>
      <c r="B42" s="5">
        <v>0</v>
      </c>
      <c r="C42" s="3">
        <v>0.1036468330134357</v>
      </c>
      <c r="D42" t="s">
        <v>20</v>
      </c>
    </row>
    <row r="43" spans="1:4" ht="15" thickBot="1" x14ac:dyDescent="0.4">
      <c r="A43" t="s">
        <v>9</v>
      </c>
      <c r="B43" s="5">
        <v>0</v>
      </c>
      <c r="C43" s="3">
        <v>0.21049264235444659</v>
      </c>
      <c r="D43" t="s">
        <v>20</v>
      </c>
    </row>
    <row r="44" spans="1:4" ht="15" thickBot="1" x14ac:dyDescent="0.4">
      <c r="A44" t="s">
        <v>2</v>
      </c>
      <c r="B44">
        <v>0.33333333333333331</v>
      </c>
      <c r="C44" s="3">
        <v>0.83868481890572821</v>
      </c>
      <c r="D44" t="s">
        <v>21</v>
      </c>
    </row>
    <row r="45" spans="1:4" ht="15" thickBot="1" x14ac:dyDescent="0.4">
      <c r="A45" t="s">
        <v>4</v>
      </c>
      <c r="B45" s="5">
        <v>0</v>
      </c>
      <c r="C45" s="3">
        <v>0.4834318006678654</v>
      </c>
      <c r="D45" t="s">
        <v>21</v>
      </c>
    </row>
    <row r="46" spans="1:4" ht="15" thickBot="1" x14ac:dyDescent="0.4">
      <c r="A46" t="s">
        <v>1</v>
      </c>
      <c r="B46" s="5">
        <v>4.1666666666666664E-2</v>
      </c>
      <c r="C46" s="3">
        <v>0.18725918314924223</v>
      </c>
      <c r="D46" t="s">
        <v>21</v>
      </c>
    </row>
    <row r="47" spans="1:4" ht="15" thickBot="1" x14ac:dyDescent="0.4">
      <c r="A47" t="s">
        <v>3</v>
      </c>
      <c r="B47" s="5">
        <v>4.1666666666666664E-2</v>
      </c>
      <c r="C47" s="3">
        <v>0.50398150526586183</v>
      </c>
      <c r="D47" t="s">
        <v>21</v>
      </c>
    </row>
    <row r="48" spans="1:4" ht="15" thickBot="1" x14ac:dyDescent="0.4">
      <c r="A48" t="s">
        <v>5</v>
      </c>
      <c r="B48" s="5">
        <v>4.1666666666666664E-2</v>
      </c>
      <c r="C48" s="3">
        <v>0.45954276907269459</v>
      </c>
      <c r="D48" t="s">
        <v>21</v>
      </c>
    </row>
    <row r="49" spans="1:4" ht="15" thickBot="1" x14ac:dyDescent="0.4">
      <c r="A49" t="s">
        <v>6</v>
      </c>
      <c r="B49">
        <f>4/24</f>
        <v>0.16666666666666666</v>
      </c>
      <c r="C49" s="3">
        <v>0.23067043411250962</v>
      </c>
      <c r="D49" t="s">
        <v>21</v>
      </c>
    </row>
    <row r="50" spans="1:4" ht="15" thickBot="1" x14ac:dyDescent="0.4">
      <c r="A50" t="s">
        <v>9</v>
      </c>
      <c r="B50" s="5">
        <v>0</v>
      </c>
      <c r="C50" s="3">
        <v>8.2198818391985614E-3</v>
      </c>
      <c r="D50" t="s">
        <v>21</v>
      </c>
    </row>
    <row r="51" spans="1:4" ht="15" thickBot="1" x14ac:dyDescent="0.4">
      <c r="A51" t="s">
        <v>2</v>
      </c>
      <c r="B51">
        <v>0.8571428571428571</v>
      </c>
      <c r="C51">
        <f>447/646</f>
        <v>0.69195046439628483</v>
      </c>
      <c r="D51" t="s">
        <v>22</v>
      </c>
    </row>
    <row r="52" spans="1:4" ht="15" thickBot="1" x14ac:dyDescent="0.4">
      <c r="A52" t="s">
        <v>4</v>
      </c>
      <c r="B52" s="5">
        <v>0.7142857142857143</v>
      </c>
      <c r="C52">
        <f>279/646</f>
        <v>0.43188854489164086</v>
      </c>
      <c r="D52" t="s">
        <v>22</v>
      </c>
    </row>
    <row r="53" spans="1:4" ht="15" thickBot="1" x14ac:dyDescent="0.4">
      <c r="A53" t="s">
        <v>1</v>
      </c>
      <c r="B53" s="5">
        <v>0</v>
      </c>
      <c r="C53" s="3">
        <v>3.0959752321981424E-2</v>
      </c>
      <c r="D53" t="s">
        <v>22</v>
      </c>
    </row>
    <row r="54" spans="1:4" ht="15" thickBot="1" x14ac:dyDescent="0.4">
      <c r="A54" t="s">
        <v>3</v>
      </c>
      <c r="B54" s="5">
        <v>0.42857142857142855</v>
      </c>
      <c r="C54" s="3">
        <v>0.37616099071207432</v>
      </c>
      <c r="D54" t="s">
        <v>22</v>
      </c>
    </row>
    <row r="55" spans="1:4" ht="15" thickBot="1" x14ac:dyDescent="0.4">
      <c r="A55" t="s">
        <v>5</v>
      </c>
      <c r="B55" s="5">
        <v>1.4285714285714286</v>
      </c>
      <c r="C55" s="3">
        <v>0.39009287925696595</v>
      </c>
      <c r="D55" t="s">
        <v>22</v>
      </c>
    </row>
    <row r="56" spans="1:4" ht="15" thickBot="1" x14ac:dyDescent="0.4">
      <c r="A56" t="s">
        <v>6</v>
      </c>
      <c r="B56" s="5">
        <v>0.2857142857142857</v>
      </c>
      <c r="C56">
        <f>111/646</f>
        <v>0.17182662538699692</v>
      </c>
      <c r="D56" t="s">
        <v>22</v>
      </c>
    </row>
    <row r="57" spans="1:4" ht="15" thickBot="1" x14ac:dyDescent="0.4">
      <c r="A57" t="s">
        <v>9</v>
      </c>
      <c r="B57" s="5">
        <v>0.2857142857142857</v>
      </c>
      <c r="C57" s="3">
        <v>0.1021671826625387</v>
      </c>
      <c r="D57" t="s">
        <v>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000"/>
  <sheetViews>
    <sheetView workbookViewId="0">
      <selection activeCell="B4" sqref="B4"/>
    </sheetView>
  </sheetViews>
  <sheetFormatPr defaultRowHeight="14.5" x14ac:dyDescent="0.35"/>
  <cols>
    <col min="1" max="1" width="34.1796875" customWidth="1"/>
    <col min="2" max="2" width="18.269531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</v>
      </c>
    </row>
    <row r="3" spans="1:3" ht="15" thickBot="1" x14ac:dyDescent="0.4">
      <c r="A3" t="s">
        <v>4</v>
      </c>
      <c r="B3">
        <v>0</v>
      </c>
      <c r="C3" s="3">
        <v>0</v>
      </c>
    </row>
    <row r="4" spans="1:3" ht="15" thickBot="1" x14ac:dyDescent="0.4">
      <c r="A4" t="s">
        <v>1</v>
      </c>
      <c r="B4">
        <v>0</v>
      </c>
      <c r="C4" s="3">
        <v>0</v>
      </c>
    </row>
    <row r="5" spans="1:3" ht="15" thickBot="1" x14ac:dyDescent="0.4">
      <c r="A5" t="s">
        <v>3</v>
      </c>
      <c r="B5">
        <v>0</v>
      </c>
      <c r="C5" s="3">
        <v>0</v>
      </c>
    </row>
    <row r="6" spans="1:3" ht="15" thickBot="1" x14ac:dyDescent="0.4">
      <c r="A6" t="s">
        <v>5</v>
      </c>
      <c r="B6">
        <v>0</v>
      </c>
      <c r="C6" s="3">
        <v>0</v>
      </c>
    </row>
    <row r="7" spans="1:3" ht="15" thickBot="1" x14ac:dyDescent="0.4">
      <c r="A7" t="s">
        <v>6</v>
      </c>
      <c r="B7">
        <v>0</v>
      </c>
      <c r="C7" s="3">
        <v>0</v>
      </c>
    </row>
    <row r="8" spans="1:3" ht="15" thickBot="1" x14ac:dyDescent="0.4">
      <c r="A8" t="s">
        <v>9</v>
      </c>
      <c r="B8">
        <v>0</v>
      </c>
      <c r="C8" s="3">
        <v>0</v>
      </c>
    </row>
    <row r="9" spans="1:3" ht="15" thickBot="1" x14ac:dyDescent="0.4">
      <c r="C9" s="3"/>
    </row>
    <row r="10" spans="1:3" ht="15" thickBot="1" x14ac:dyDescent="0.4">
      <c r="C10" s="3"/>
    </row>
    <row r="11" spans="1:3" ht="15" thickBot="1" x14ac:dyDescent="0.4">
      <c r="C11" s="3"/>
    </row>
    <row r="12" spans="1:3" ht="15" thickBot="1" x14ac:dyDescent="0.4">
      <c r="C12" s="3"/>
    </row>
    <row r="13" spans="1:3" ht="15" thickBot="1" x14ac:dyDescent="0.4">
      <c r="C13" s="3"/>
    </row>
    <row r="14" spans="1:3" ht="15" thickBot="1" x14ac:dyDescent="0.4">
      <c r="C14" s="3"/>
    </row>
    <row r="15" spans="1:3" ht="15" thickBot="1" x14ac:dyDescent="0.4">
      <c r="C15" s="3"/>
    </row>
    <row r="16" spans="1:3" ht="15" thickBot="1" x14ac:dyDescent="0.4">
      <c r="C16" s="3"/>
    </row>
    <row r="17" spans="3:3" ht="15" thickBot="1" x14ac:dyDescent="0.4">
      <c r="C17" s="3"/>
    </row>
    <row r="18" spans="3:3" ht="15" thickBot="1" x14ac:dyDescent="0.4">
      <c r="C18" s="3"/>
    </row>
    <row r="19" spans="3:3" ht="15" thickBot="1" x14ac:dyDescent="0.4">
      <c r="C19" s="3"/>
    </row>
    <row r="20" spans="3:3" ht="15" thickBot="1" x14ac:dyDescent="0.4">
      <c r="C20" s="3"/>
    </row>
    <row r="21" spans="3:3" ht="15" thickBot="1" x14ac:dyDescent="0.4">
      <c r="C21" s="3"/>
    </row>
    <row r="22" spans="3:3" ht="15" thickBot="1" x14ac:dyDescent="0.4">
      <c r="C22" s="3"/>
    </row>
    <row r="23" spans="3:3" ht="15" thickBot="1" x14ac:dyDescent="0.4">
      <c r="C23" s="3"/>
    </row>
    <row r="24" spans="3:3" ht="15" thickBot="1" x14ac:dyDescent="0.4">
      <c r="C24" s="3"/>
    </row>
    <row r="25" spans="3:3" ht="15" thickBot="1" x14ac:dyDescent="0.4">
      <c r="C25" s="3"/>
    </row>
    <row r="26" spans="3:3" ht="15" thickBot="1" x14ac:dyDescent="0.4">
      <c r="C26" s="3"/>
    </row>
    <row r="27" spans="3:3" ht="15" thickBot="1" x14ac:dyDescent="0.4">
      <c r="C27" s="3"/>
    </row>
    <row r="28" spans="3:3" ht="15" thickBot="1" x14ac:dyDescent="0.4">
      <c r="C28" s="3"/>
    </row>
    <row r="29" spans="3:3" ht="15" thickBot="1" x14ac:dyDescent="0.4">
      <c r="C29" s="3"/>
    </row>
    <row r="30" spans="3:3" ht="15" thickBot="1" x14ac:dyDescent="0.4">
      <c r="C30" s="3"/>
    </row>
    <row r="31" spans="3:3" ht="15" thickBot="1" x14ac:dyDescent="0.4">
      <c r="C31" s="3"/>
    </row>
    <row r="32" spans="3:3" ht="15" thickBot="1" x14ac:dyDescent="0.4">
      <c r="C32" s="3"/>
    </row>
    <row r="33" spans="3:3" ht="15" thickBot="1" x14ac:dyDescent="0.4">
      <c r="C33" s="3"/>
    </row>
    <row r="34" spans="3:3" ht="15" thickBot="1" x14ac:dyDescent="0.4">
      <c r="C34" s="3"/>
    </row>
    <row r="35" spans="3:3" ht="15" thickBot="1" x14ac:dyDescent="0.4">
      <c r="C35" s="3"/>
    </row>
    <row r="36" spans="3:3" ht="15" thickBot="1" x14ac:dyDescent="0.4">
      <c r="C36" s="3"/>
    </row>
    <row r="37" spans="3:3" ht="15" thickBot="1" x14ac:dyDescent="0.4">
      <c r="C37" s="3"/>
    </row>
    <row r="38" spans="3:3" ht="15" thickBot="1" x14ac:dyDescent="0.4">
      <c r="C38" s="3"/>
    </row>
    <row r="39" spans="3:3" ht="15" thickBot="1" x14ac:dyDescent="0.4">
      <c r="C39" s="3"/>
    </row>
    <row r="40" spans="3:3" ht="15" thickBot="1" x14ac:dyDescent="0.4">
      <c r="C40" s="3"/>
    </row>
    <row r="41" spans="3:3" ht="15" thickBot="1" x14ac:dyDescent="0.4">
      <c r="C41" s="3"/>
    </row>
    <row r="42" spans="3:3" ht="15" thickBot="1" x14ac:dyDescent="0.4">
      <c r="C42" s="3"/>
    </row>
    <row r="43" spans="3:3" ht="15" thickBot="1" x14ac:dyDescent="0.4">
      <c r="C43" s="3"/>
    </row>
    <row r="44" spans="3:3" ht="15" thickBot="1" x14ac:dyDescent="0.4">
      <c r="C44" s="3"/>
    </row>
    <row r="45" spans="3:3" ht="15" thickBot="1" x14ac:dyDescent="0.4">
      <c r="C45" s="3"/>
    </row>
    <row r="46" spans="3:3" ht="15" thickBot="1" x14ac:dyDescent="0.4">
      <c r="C46" s="3"/>
    </row>
    <row r="47" spans="3:3" ht="15" thickBot="1" x14ac:dyDescent="0.4">
      <c r="C47" s="3"/>
    </row>
    <row r="48" spans="3:3" ht="15" thickBot="1" x14ac:dyDescent="0.4">
      <c r="C48" s="3"/>
    </row>
    <row r="49" spans="3:3" ht="15" thickBot="1" x14ac:dyDescent="0.4">
      <c r="C49" s="3"/>
    </row>
    <row r="50" spans="3:3" ht="15" thickBot="1" x14ac:dyDescent="0.4">
      <c r="C50" s="3"/>
    </row>
    <row r="51" spans="3:3" ht="15" thickBot="1" x14ac:dyDescent="0.4">
      <c r="C51" s="3"/>
    </row>
    <row r="52" spans="3:3" ht="15" thickBot="1" x14ac:dyDescent="0.4">
      <c r="C52" s="3"/>
    </row>
    <row r="53" spans="3:3" ht="15" thickBot="1" x14ac:dyDescent="0.4">
      <c r="C53" s="3"/>
    </row>
    <row r="54" spans="3:3" ht="15" thickBot="1" x14ac:dyDescent="0.4">
      <c r="C54" s="3"/>
    </row>
    <row r="55" spans="3:3" ht="15" thickBot="1" x14ac:dyDescent="0.4">
      <c r="C55" s="3"/>
    </row>
    <row r="56" spans="3:3" ht="15" thickBot="1" x14ac:dyDescent="0.4">
      <c r="C56" s="3"/>
    </row>
    <row r="57" spans="3:3" ht="15" thickBot="1" x14ac:dyDescent="0.4">
      <c r="C57" s="3"/>
    </row>
    <row r="58" spans="3:3" ht="15" thickBot="1" x14ac:dyDescent="0.4">
      <c r="C58" s="3"/>
    </row>
    <row r="59" spans="3:3" ht="15" thickBot="1" x14ac:dyDescent="0.4">
      <c r="C59" s="3"/>
    </row>
    <row r="60" spans="3:3" ht="15" thickBot="1" x14ac:dyDescent="0.4">
      <c r="C60" s="3"/>
    </row>
    <row r="61" spans="3:3" ht="15" thickBot="1" x14ac:dyDescent="0.4">
      <c r="C61" s="3"/>
    </row>
    <row r="62" spans="3:3" ht="15" thickBot="1" x14ac:dyDescent="0.4">
      <c r="C62" s="3"/>
    </row>
    <row r="63" spans="3:3" ht="15" thickBot="1" x14ac:dyDescent="0.4">
      <c r="C63" s="3"/>
    </row>
    <row r="64" spans="3:3" ht="15" thickBot="1" x14ac:dyDescent="0.4">
      <c r="C64" s="3"/>
    </row>
    <row r="65" spans="3:3" ht="15" thickBot="1" x14ac:dyDescent="0.4">
      <c r="C65" s="3"/>
    </row>
    <row r="66" spans="3:3" ht="15" thickBot="1" x14ac:dyDescent="0.4">
      <c r="C66" s="3"/>
    </row>
    <row r="67" spans="3:3" ht="15" thickBot="1" x14ac:dyDescent="0.4">
      <c r="C67" s="3"/>
    </row>
    <row r="68" spans="3:3" ht="15" thickBot="1" x14ac:dyDescent="0.4">
      <c r="C68" s="3"/>
    </row>
    <row r="69" spans="3:3" ht="15" thickBot="1" x14ac:dyDescent="0.4">
      <c r="C69" s="3"/>
    </row>
    <row r="70" spans="3:3" ht="15" thickBot="1" x14ac:dyDescent="0.4">
      <c r="C70" s="3"/>
    </row>
    <row r="71" spans="3:3" ht="15" thickBot="1" x14ac:dyDescent="0.4">
      <c r="C71" s="3"/>
    </row>
    <row r="72" spans="3:3" ht="15" thickBot="1" x14ac:dyDescent="0.4">
      <c r="C72" s="3"/>
    </row>
    <row r="73" spans="3:3" ht="15" thickBot="1" x14ac:dyDescent="0.4">
      <c r="C73" s="3"/>
    </row>
    <row r="74" spans="3:3" ht="15" thickBot="1" x14ac:dyDescent="0.4">
      <c r="C74" s="3"/>
    </row>
    <row r="75" spans="3:3" ht="15" thickBot="1" x14ac:dyDescent="0.4">
      <c r="C75" s="3"/>
    </row>
    <row r="76" spans="3:3" ht="15" thickBot="1" x14ac:dyDescent="0.4">
      <c r="C76" s="3"/>
    </row>
    <row r="77" spans="3:3" ht="15" thickBot="1" x14ac:dyDescent="0.4">
      <c r="C77" s="3"/>
    </row>
    <row r="78" spans="3:3" ht="15" thickBot="1" x14ac:dyDescent="0.4">
      <c r="C78" s="3"/>
    </row>
    <row r="79" spans="3:3" ht="15" thickBot="1" x14ac:dyDescent="0.4">
      <c r="C79" s="3"/>
    </row>
    <row r="80" spans="3:3" ht="15" thickBot="1" x14ac:dyDescent="0.4">
      <c r="C80" s="3"/>
    </row>
    <row r="81" spans="3:3" ht="15" thickBot="1" x14ac:dyDescent="0.4">
      <c r="C81" s="3"/>
    </row>
    <row r="82" spans="3:3" ht="15" thickBot="1" x14ac:dyDescent="0.4">
      <c r="C82" s="3"/>
    </row>
    <row r="83" spans="3:3" ht="15" thickBot="1" x14ac:dyDescent="0.4">
      <c r="C83" s="3"/>
    </row>
    <row r="84" spans="3:3" ht="15" thickBot="1" x14ac:dyDescent="0.4">
      <c r="C84" s="3"/>
    </row>
    <row r="85" spans="3:3" ht="15" thickBot="1" x14ac:dyDescent="0.4">
      <c r="C85" s="3"/>
    </row>
    <row r="86" spans="3:3" ht="15" thickBot="1" x14ac:dyDescent="0.4">
      <c r="C86" s="3"/>
    </row>
    <row r="87" spans="3:3" ht="15" thickBot="1" x14ac:dyDescent="0.4">
      <c r="C87" s="3"/>
    </row>
    <row r="88" spans="3:3" ht="15" thickBot="1" x14ac:dyDescent="0.4">
      <c r="C88" s="3"/>
    </row>
    <row r="89" spans="3:3" ht="15" thickBot="1" x14ac:dyDescent="0.4">
      <c r="C89" s="3"/>
    </row>
    <row r="90" spans="3:3" ht="15" thickBot="1" x14ac:dyDescent="0.4">
      <c r="C90" s="3"/>
    </row>
    <row r="91" spans="3:3" ht="15" thickBot="1" x14ac:dyDescent="0.4">
      <c r="C91" s="3"/>
    </row>
    <row r="92" spans="3:3" ht="15" thickBot="1" x14ac:dyDescent="0.4">
      <c r="C92" s="3"/>
    </row>
    <row r="93" spans="3:3" ht="15" thickBot="1" x14ac:dyDescent="0.4">
      <c r="C93" s="3"/>
    </row>
    <row r="94" spans="3:3" ht="15" thickBot="1" x14ac:dyDescent="0.4">
      <c r="C94" s="3"/>
    </row>
    <row r="95" spans="3:3" ht="15" thickBot="1" x14ac:dyDescent="0.4">
      <c r="C95" s="3"/>
    </row>
    <row r="96" spans="3:3" ht="15" thickBot="1" x14ac:dyDescent="0.4">
      <c r="C96" s="3"/>
    </row>
    <row r="97" spans="3:3" ht="15" thickBot="1" x14ac:dyDescent="0.4">
      <c r="C97" s="3"/>
    </row>
    <row r="98" spans="3:3" ht="15" thickBot="1" x14ac:dyDescent="0.4">
      <c r="C98" s="3"/>
    </row>
    <row r="99" spans="3:3" ht="15" thickBot="1" x14ac:dyDescent="0.4">
      <c r="C99" s="3"/>
    </row>
    <row r="100" spans="3:3" ht="15" thickBot="1" x14ac:dyDescent="0.4">
      <c r="C100" s="3"/>
    </row>
    <row r="101" spans="3:3" ht="15" thickBot="1" x14ac:dyDescent="0.4">
      <c r="C101" s="3"/>
    </row>
    <row r="102" spans="3:3" ht="15" thickBot="1" x14ac:dyDescent="0.4">
      <c r="C102" s="3"/>
    </row>
    <row r="103" spans="3:3" ht="15" thickBot="1" x14ac:dyDescent="0.4">
      <c r="C103" s="3"/>
    </row>
    <row r="104" spans="3:3" ht="15" thickBot="1" x14ac:dyDescent="0.4">
      <c r="C104" s="3"/>
    </row>
    <row r="105" spans="3:3" ht="15" thickBot="1" x14ac:dyDescent="0.4">
      <c r="C105" s="3"/>
    </row>
    <row r="106" spans="3:3" ht="15" thickBot="1" x14ac:dyDescent="0.4">
      <c r="C106" s="3"/>
    </row>
    <row r="107" spans="3:3" ht="15" thickBot="1" x14ac:dyDescent="0.4">
      <c r="C107" s="3"/>
    </row>
    <row r="108" spans="3:3" ht="15" thickBot="1" x14ac:dyDescent="0.4">
      <c r="C108" s="3"/>
    </row>
    <row r="109" spans="3:3" ht="15" thickBot="1" x14ac:dyDescent="0.4">
      <c r="C109" s="3"/>
    </row>
    <row r="110" spans="3:3" ht="15" thickBot="1" x14ac:dyDescent="0.4">
      <c r="C110" s="3"/>
    </row>
    <row r="111" spans="3:3" ht="15" thickBot="1" x14ac:dyDescent="0.4">
      <c r="C111" s="3"/>
    </row>
    <row r="112" spans="3:3" ht="15" thickBot="1" x14ac:dyDescent="0.4">
      <c r="C112" s="3"/>
    </row>
    <row r="113" spans="3:3" ht="15" thickBot="1" x14ac:dyDescent="0.4">
      <c r="C113" s="3"/>
    </row>
    <row r="114" spans="3:3" ht="15" thickBot="1" x14ac:dyDescent="0.4">
      <c r="C114" s="3"/>
    </row>
    <row r="115" spans="3:3" ht="15" thickBot="1" x14ac:dyDescent="0.4">
      <c r="C115" s="3"/>
    </row>
    <row r="116" spans="3:3" ht="15" thickBot="1" x14ac:dyDescent="0.4">
      <c r="C116" s="3"/>
    </row>
    <row r="117" spans="3:3" ht="15" thickBot="1" x14ac:dyDescent="0.4">
      <c r="C117" s="3"/>
    </row>
    <row r="118" spans="3:3" ht="15" thickBot="1" x14ac:dyDescent="0.4">
      <c r="C118" s="3"/>
    </row>
    <row r="119" spans="3:3" ht="15" thickBot="1" x14ac:dyDescent="0.4">
      <c r="C119" s="3"/>
    </row>
    <row r="120" spans="3:3" ht="15" thickBot="1" x14ac:dyDescent="0.4">
      <c r="C120" s="3"/>
    </row>
    <row r="121" spans="3:3" ht="15" thickBot="1" x14ac:dyDescent="0.4">
      <c r="C121" s="3"/>
    </row>
    <row r="122" spans="3:3" ht="15" thickBot="1" x14ac:dyDescent="0.4">
      <c r="C122" s="3"/>
    </row>
    <row r="123" spans="3:3" ht="15" thickBot="1" x14ac:dyDescent="0.4">
      <c r="C123" s="3"/>
    </row>
    <row r="124" spans="3:3" ht="15" thickBot="1" x14ac:dyDescent="0.4">
      <c r="C124" s="3"/>
    </row>
    <row r="125" spans="3:3" ht="15" thickBot="1" x14ac:dyDescent="0.4">
      <c r="C125" s="3"/>
    </row>
    <row r="126" spans="3:3" ht="15" thickBot="1" x14ac:dyDescent="0.4">
      <c r="C126" s="3"/>
    </row>
    <row r="127" spans="3:3" ht="15" thickBot="1" x14ac:dyDescent="0.4">
      <c r="C127" s="3"/>
    </row>
    <row r="128" spans="3:3" ht="15" thickBot="1" x14ac:dyDescent="0.4">
      <c r="C128" s="3"/>
    </row>
    <row r="129" spans="3:3" ht="15" thickBot="1" x14ac:dyDescent="0.4">
      <c r="C129" s="3"/>
    </row>
    <row r="130" spans="3:3" ht="15" thickBot="1" x14ac:dyDescent="0.4">
      <c r="C130" s="3"/>
    </row>
    <row r="131" spans="3:3" ht="15" thickBot="1" x14ac:dyDescent="0.4">
      <c r="C131" s="3"/>
    </row>
    <row r="132" spans="3:3" ht="15" thickBot="1" x14ac:dyDescent="0.4">
      <c r="C132" s="3"/>
    </row>
    <row r="133" spans="3:3" ht="15" thickBot="1" x14ac:dyDescent="0.4">
      <c r="C133" s="3"/>
    </row>
    <row r="134" spans="3:3" ht="15" thickBot="1" x14ac:dyDescent="0.4">
      <c r="C134" s="3"/>
    </row>
    <row r="135" spans="3:3" ht="15" thickBot="1" x14ac:dyDescent="0.4">
      <c r="C135" s="3"/>
    </row>
    <row r="136" spans="3:3" ht="15" thickBot="1" x14ac:dyDescent="0.4">
      <c r="C136" s="3"/>
    </row>
    <row r="137" spans="3:3" ht="15" thickBot="1" x14ac:dyDescent="0.4">
      <c r="C137" s="3"/>
    </row>
    <row r="138" spans="3:3" ht="15" thickBot="1" x14ac:dyDescent="0.4">
      <c r="C138" s="3"/>
    </row>
    <row r="139" spans="3:3" ht="15" thickBot="1" x14ac:dyDescent="0.4">
      <c r="C139" s="3"/>
    </row>
    <row r="140" spans="3:3" ht="15" thickBot="1" x14ac:dyDescent="0.4">
      <c r="C140" s="3"/>
    </row>
    <row r="141" spans="3:3" ht="15" thickBot="1" x14ac:dyDescent="0.4">
      <c r="C141" s="3"/>
    </row>
    <row r="142" spans="3:3" ht="15" thickBot="1" x14ac:dyDescent="0.4">
      <c r="C142" s="3"/>
    </row>
    <row r="143" spans="3:3" ht="15" thickBot="1" x14ac:dyDescent="0.4">
      <c r="C143" s="3"/>
    </row>
    <row r="144" spans="3:3" ht="15" thickBot="1" x14ac:dyDescent="0.4">
      <c r="C144" s="3"/>
    </row>
    <row r="145" spans="3:3" ht="15" thickBot="1" x14ac:dyDescent="0.4">
      <c r="C145" s="3"/>
    </row>
    <row r="146" spans="3:3" ht="15" thickBot="1" x14ac:dyDescent="0.4">
      <c r="C146" s="3"/>
    </row>
    <row r="147" spans="3:3" ht="15" thickBot="1" x14ac:dyDescent="0.4">
      <c r="C147" s="3"/>
    </row>
    <row r="148" spans="3:3" ht="15" thickBot="1" x14ac:dyDescent="0.4">
      <c r="C148" s="3"/>
    </row>
    <row r="149" spans="3:3" ht="15" thickBot="1" x14ac:dyDescent="0.4">
      <c r="C149" s="3"/>
    </row>
    <row r="150" spans="3:3" ht="15" thickBot="1" x14ac:dyDescent="0.4">
      <c r="C150" s="3"/>
    </row>
    <row r="151" spans="3:3" ht="15" thickBot="1" x14ac:dyDescent="0.4">
      <c r="C151" s="3"/>
    </row>
    <row r="152" spans="3:3" ht="15" thickBot="1" x14ac:dyDescent="0.4">
      <c r="C152" s="3"/>
    </row>
    <row r="153" spans="3:3" ht="15" thickBot="1" x14ac:dyDescent="0.4">
      <c r="C153" s="3"/>
    </row>
    <row r="154" spans="3:3" ht="15" thickBot="1" x14ac:dyDescent="0.4">
      <c r="C154" s="3"/>
    </row>
    <row r="155" spans="3:3" ht="15" thickBot="1" x14ac:dyDescent="0.4">
      <c r="C155" s="3"/>
    </row>
    <row r="156" spans="3:3" ht="15" thickBot="1" x14ac:dyDescent="0.4">
      <c r="C156" s="3"/>
    </row>
    <row r="157" spans="3:3" ht="15" thickBot="1" x14ac:dyDescent="0.4">
      <c r="C157" s="3"/>
    </row>
    <row r="158" spans="3:3" ht="15" thickBot="1" x14ac:dyDescent="0.4">
      <c r="C158" s="3"/>
    </row>
    <row r="159" spans="3:3" ht="15" thickBot="1" x14ac:dyDescent="0.4">
      <c r="C159" s="3"/>
    </row>
    <row r="160" spans="3:3" ht="15" thickBot="1" x14ac:dyDescent="0.4">
      <c r="C160" s="3"/>
    </row>
    <row r="161" spans="3:3" ht="15" thickBot="1" x14ac:dyDescent="0.4">
      <c r="C161" s="3"/>
    </row>
    <row r="162" spans="3:3" ht="15" thickBot="1" x14ac:dyDescent="0.4">
      <c r="C162" s="3"/>
    </row>
    <row r="163" spans="3:3" ht="15" thickBot="1" x14ac:dyDescent="0.4">
      <c r="C163" s="3"/>
    </row>
    <row r="164" spans="3:3" ht="15" thickBot="1" x14ac:dyDescent="0.4">
      <c r="C164" s="3"/>
    </row>
    <row r="165" spans="3:3" ht="15" thickBot="1" x14ac:dyDescent="0.4">
      <c r="C165" s="3"/>
    </row>
    <row r="166" spans="3:3" ht="15" thickBot="1" x14ac:dyDescent="0.4">
      <c r="C166" s="3"/>
    </row>
    <row r="167" spans="3:3" ht="15" thickBot="1" x14ac:dyDescent="0.4">
      <c r="C167" s="3"/>
    </row>
    <row r="168" spans="3:3" ht="15" thickBot="1" x14ac:dyDescent="0.4">
      <c r="C168" s="3"/>
    </row>
    <row r="169" spans="3:3" ht="15" thickBot="1" x14ac:dyDescent="0.4">
      <c r="C169" s="3"/>
    </row>
    <row r="170" spans="3:3" ht="15" thickBot="1" x14ac:dyDescent="0.4">
      <c r="C170" s="3"/>
    </row>
    <row r="171" spans="3:3" ht="15" thickBot="1" x14ac:dyDescent="0.4">
      <c r="C171" s="3"/>
    </row>
    <row r="172" spans="3:3" ht="15" thickBot="1" x14ac:dyDescent="0.4">
      <c r="C172" s="3"/>
    </row>
    <row r="173" spans="3:3" ht="15" thickBot="1" x14ac:dyDescent="0.4">
      <c r="C173" s="3"/>
    </row>
    <row r="174" spans="3:3" ht="15" thickBot="1" x14ac:dyDescent="0.4">
      <c r="C174" s="3"/>
    </row>
    <row r="175" spans="3:3" ht="15" thickBot="1" x14ac:dyDescent="0.4">
      <c r="C175" s="3"/>
    </row>
    <row r="176" spans="3:3" ht="15" thickBot="1" x14ac:dyDescent="0.4">
      <c r="C176" s="3"/>
    </row>
    <row r="177" spans="3:3" ht="15" thickBot="1" x14ac:dyDescent="0.4">
      <c r="C177" s="3"/>
    </row>
    <row r="178" spans="3:3" ht="15" thickBot="1" x14ac:dyDescent="0.4">
      <c r="C178" s="3"/>
    </row>
    <row r="179" spans="3:3" ht="15" thickBot="1" x14ac:dyDescent="0.4">
      <c r="C179" s="3"/>
    </row>
    <row r="180" spans="3:3" ht="15" thickBot="1" x14ac:dyDescent="0.4">
      <c r="C180" s="3"/>
    </row>
    <row r="181" spans="3:3" ht="15" thickBot="1" x14ac:dyDescent="0.4">
      <c r="C181" s="3"/>
    </row>
    <row r="182" spans="3:3" ht="15" thickBot="1" x14ac:dyDescent="0.4">
      <c r="C182" s="3"/>
    </row>
    <row r="183" spans="3:3" ht="15" thickBot="1" x14ac:dyDescent="0.4">
      <c r="C183" s="3"/>
    </row>
    <row r="184" spans="3:3" ht="15" thickBot="1" x14ac:dyDescent="0.4">
      <c r="C184" s="3"/>
    </row>
    <row r="185" spans="3:3" ht="15" thickBot="1" x14ac:dyDescent="0.4">
      <c r="C185" s="3"/>
    </row>
    <row r="186" spans="3:3" ht="15" thickBot="1" x14ac:dyDescent="0.4">
      <c r="C186" s="3"/>
    </row>
    <row r="187" spans="3:3" ht="15" thickBot="1" x14ac:dyDescent="0.4">
      <c r="C187" s="3"/>
    </row>
    <row r="188" spans="3:3" ht="15" thickBot="1" x14ac:dyDescent="0.4">
      <c r="C188" s="3"/>
    </row>
    <row r="189" spans="3:3" ht="15" thickBot="1" x14ac:dyDescent="0.4">
      <c r="C189" s="3"/>
    </row>
    <row r="190" spans="3:3" ht="15" thickBot="1" x14ac:dyDescent="0.4">
      <c r="C190" s="3"/>
    </row>
    <row r="191" spans="3:3" ht="15" thickBot="1" x14ac:dyDescent="0.4">
      <c r="C191" s="3"/>
    </row>
    <row r="192" spans="3:3" ht="15" thickBot="1" x14ac:dyDescent="0.4">
      <c r="C192" s="3"/>
    </row>
    <row r="193" spans="3:3" ht="15" thickBot="1" x14ac:dyDescent="0.4">
      <c r="C193" s="3"/>
    </row>
    <row r="194" spans="3:3" ht="15" thickBot="1" x14ac:dyDescent="0.4">
      <c r="C194" s="3"/>
    </row>
    <row r="195" spans="3:3" ht="15" thickBot="1" x14ac:dyDescent="0.4">
      <c r="C195" s="3"/>
    </row>
    <row r="196" spans="3:3" ht="15" thickBot="1" x14ac:dyDescent="0.4">
      <c r="C196" s="3"/>
    </row>
    <row r="197" spans="3:3" ht="15" thickBot="1" x14ac:dyDescent="0.4">
      <c r="C197" s="3"/>
    </row>
    <row r="198" spans="3:3" ht="15" thickBot="1" x14ac:dyDescent="0.4">
      <c r="C198" s="3"/>
    </row>
    <row r="199" spans="3:3" ht="15" thickBot="1" x14ac:dyDescent="0.4">
      <c r="C199" s="3"/>
    </row>
    <row r="200" spans="3:3" ht="15" thickBot="1" x14ac:dyDescent="0.4">
      <c r="C200" s="3"/>
    </row>
    <row r="201" spans="3:3" ht="15" thickBot="1" x14ac:dyDescent="0.4">
      <c r="C201" s="3"/>
    </row>
    <row r="202" spans="3:3" ht="15" thickBot="1" x14ac:dyDescent="0.4">
      <c r="C202" s="3"/>
    </row>
    <row r="203" spans="3:3" ht="15" thickBot="1" x14ac:dyDescent="0.4">
      <c r="C203" s="3"/>
    </row>
    <row r="204" spans="3:3" ht="15" thickBot="1" x14ac:dyDescent="0.4">
      <c r="C204" s="3"/>
    </row>
    <row r="205" spans="3:3" ht="15" thickBot="1" x14ac:dyDescent="0.4">
      <c r="C205" s="3"/>
    </row>
    <row r="206" spans="3:3" ht="15" thickBot="1" x14ac:dyDescent="0.4">
      <c r="C206" s="3"/>
    </row>
    <row r="207" spans="3:3" ht="15" thickBot="1" x14ac:dyDescent="0.4">
      <c r="C207" s="3"/>
    </row>
    <row r="208" spans="3:3" ht="15" thickBot="1" x14ac:dyDescent="0.4">
      <c r="C208" s="3"/>
    </row>
    <row r="209" spans="3:3" ht="15" thickBot="1" x14ac:dyDescent="0.4">
      <c r="C209" s="3"/>
    </row>
    <row r="210" spans="3:3" ht="15" thickBot="1" x14ac:dyDescent="0.4">
      <c r="C210" s="3"/>
    </row>
    <row r="211" spans="3:3" ht="15" thickBot="1" x14ac:dyDescent="0.4">
      <c r="C211" s="3"/>
    </row>
    <row r="212" spans="3:3" ht="15" thickBot="1" x14ac:dyDescent="0.4">
      <c r="C212" s="3"/>
    </row>
    <row r="213" spans="3:3" ht="15" thickBot="1" x14ac:dyDescent="0.4">
      <c r="C213" s="3"/>
    </row>
    <row r="214" spans="3:3" ht="15" thickBot="1" x14ac:dyDescent="0.4">
      <c r="C214" s="3"/>
    </row>
    <row r="215" spans="3:3" ht="15" thickBot="1" x14ac:dyDescent="0.4">
      <c r="C215" s="3"/>
    </row>
    <row r="216" spans="3:3" ht="15" thickBot="1" x14ac:dyDescent="0.4">
      <c r="C216" s="3"/>
    </row>
    <row r="217" spans="3:3" ht="15" thickBot="1" x14ac:dyDescent="0.4">
      <c r="C217" s="3"/>
    </row>
    <row r="218" spans="3:3" ht="15" thickBot="1" x14ac:dyDescent="0.4">
      <c r="C218" s="3"/>
    </row>
    <row r="219" spans="3:3" ht="15" thickBot="1" x14ac:dyDescent="0.4">
      <c r="C219" s="3"/>
    </row>
    <row r="220" spans="3:3" ht="15" thickBot="1" x14ac:dyDescent="0.4">
      <c r="C220" s="3"/>
    </row>
    <row r="221" spans="3:3" ht="15" thickBot="1" x14ac:dyDescent="0.4">
      <c r="C221" s="3"/>
    </row>
    <row r="222" spans="3:3" ht="15" thickBot="1" x14ac:dyDescent="0.4">
      <c r="C222" s="3"/>
    </row>
    <row r="223" spans="3:3" ht="15" thickBot="1" x14ac:dyDescent="0.4">
      <c r="C223" s="3"/>
    </row>
    <row r="224" spans="3:3" ht="15" thickBot="1" x14ac:dyDescent="0.4">
      <c r="C224" s="3"/>
    </row>
    <row r="225" spans="3:3" ht="15" thickBot="1" x14ac:dyDescent="0.4">
      <c r="C225" s="3"/>
    </row>
    <row r="226" spans="3:3" ht="15" thickBot="1" x14ac:dyDescent="0.4">
      <c r="C226" s="3"/>
    </row>
    <row r="227" spans="3:3" ht="15" thickBot="1" x14ac:dyDescent="0.4">
      <c r="C227" s="3"/>
    </row>
    <row r="228" spans="3:3" ht="15" thickBot="1" x14ac:dyDescent="0.4">
      <c r="C228" s="3"/>
    </row>
    <row r="229" spans="3:3" ht="15" thickBot="1" x14ac:dyDescent="0.4">
      <c r="C229" s="3"/>
    </row>
    <row r="230" spans="3:3" ht="15" thickBot="1" x14ac:dyDescent="0.4">
      <c r="C230" s="3"/>
    </row>
    <row r="231" spans="3:3" ht="15" thickBot="1" x14ac:dyDescent="0.4">
      <c r="C231" s="3"/>
    </row>
    <row r="232" spans="3:3" ht="15" thickBot="1" x14ac:dyDescent="0.4">
      <c r="C232" s="3"/>
    </row>
    <row r="233" spans="3:3" ht="15" thickBot="1" x14ac:dyDescent="0.4">
      <c r="C233" s="3"/>
    </row>
    <row r="234" spans="3:3" ht="15" thickBot="1" x14ac:dyDescent="0.4">
      <c r="C234" s="3"/>
    </row>
    <row r="235" spans="3:3" ht="15" thickBot="1" x14ac:dyDescent="0.4">
      <c r="C235" s="3"/>
    </row>
    <row r="236" spans="3:3" ht="15" thickBot="1" x14ac:dyDescent="0.4">
      <c r="C236" s="3"/>
    </row>
    <row r="237" spans="3:3" ht="15" thickBot="1" x14ac:dyDescent="0.4">
      <c r="C237" s="3"/>
    </row>
    <row r="238" spans="3:3" ht="15" thickBot="1" x14ac:dyDescent="0.4">
      <c r="C238" s="3"/>
    </row>
    <row r="239" spans="3:3" ht="15" thickBot="1" x14ac:dyDescent="0.4">
      <c r="C239" s="3"/>
    </row>
    <row r="240" spans="3:3" ht="15" thickBot="1" x14ac:dyDescent="0.4">
      <c r="C240" s="3"/>
    </row>
    <row r="241" spans="3:3" ht="15" thickBot="1" x14ac:dyDescent="0.4">
      <c r="C241" s="3"/>
    </row>
    <row r="242" spans="3:3" ht="15" thickBot="1" x14ac:dyDescent="0.4">
      <c r="C242" s="3"/>
    </row>
    <row r="243" spans="3:3" ht="15" thickBot="1" x14ac:dyDescent="0.4">
      <c r="C243" s="3"/>
    </row>
    <row r="244" spans="3:3" ht="15" thickBot="1" x14ac:dyDescent="0.4">
      <c r="C244" s="3"/>
    </row>
    <row r="245" spans="3:3" ht="15" thickBot="1" x14ac:dyDescent="0.4">
      <c r="C245" s="3"/>
    </row>
    <row r="246" spans="3:3" ht="15" thickBot="1" x14ac:dyDescent="0.4">
      <c r="C246" s="3"/>
    </row>
    <row r="247" spans="3:3" ht="15" thickBot="1" x14ac:dyDescent="0.4">
      <c r="C247" s="3"/>
    </row>
    <row r="248" spans="3:3" ht="15" thickBot="1" x14ac:dyDescent="0.4">
      <c r="C248" s="3"/>
    </row>
    <row r="249" spans="3:3" ht="15" thickBot="1" x14ac:dyDescent="0.4">
      <c r="C249" s="3"/>
    </row>
    <row r="250" spans="3:3" ht="15" thickBot="1" x14ac:dyDescent="0.4">
      <c r="C250" s="3"/>
    </row>
    <row r="251" spans="3:3" ht="15" thickBot="1" x14ac:dyDescent="0.4">
      <c r="C251" s="3"/>
    </row>
    <row r="252" spans="3:3" ht="15" thickBot="1" x14ac:dyDescent="0.4">
      <c r="C252" s="3"/>
    </row>
    <row r="253" spans="3:3" ht="15" thickBot="1" x14ac:dyDescent="0.4">
      <c r="C253" s="3"/>
    </row>
    <row r="254" spans="3:3" ht="15" thickBot="1" x14ac:dyDescent="0.4">
      <c r="C254" s="3"/>
    </row>
    <row r="255" spans="3:3" ht="15" thickBot="1" x14ac:dyDescent="0.4">
      <c r="C255" s="3"/>
    </row>
    <row r="256" spans="3:3" ht="15" thickBot="1" x14ac:dyDescent="0.4">
      <c r="C256" s="3"/>
    </row>
    <row r="257" spans="3:3" ht="15" thickBot="1" x14ac:dyDescent="0.4">
      <c r="C257" s="3"/>
    </row>
    <row r="258" spans="3:3" ht="15" thickBot="1" x14ac:dyDescent="0.4">
      <c r="C258" s="3"/>
    </row>
    <row r="259" spans="3:3" ht="15" thickBot="1" x14ac:dyDescent="0.4">
      <c r="C259" s="3"/>
    </row>
    <row r="260" spans="3:3" ht="15" thickBot="1" x14ac:dyDescent="0.4">
      <c r="C260" s="3"/>
    </row>
    <row r="261" spans="3:3" ht="15" thickBot="1" x14ac:dyDescent="0.4">
      <c r="C261" s="3"/>
    </row>
    <row r="262" spans="3:3" ht="15" thickBot="1" x14ac:dyDescent="0.4">
      <c r="C262" s="3"/>
    </row>
    <row r="263" spans="3:3" ht="15" thickBot="1" x14ac:dyDescent="0.4">
      <c r="C263" s="3"/>
    </row>
    <row r="264" spans="3:3" ht="15" thickBot="1" x14ac:dyDescent="0.4">
      <c r="C264" s="3"/>
    </row>
    <row r="265" spans="3:3" ht="15" thickBot="1" x14ac:dyDescent="0.4">
      <c r="C265" s="3"/>
    </row>
    <row r="266" spans="3:3" ht="15" thickBot="1" x14ac:dyDescent="0.4">
      <c r="C266" s="3"/>
    </row>
    <row r="267" spans="3:3" ht="15" thickBot="1" x14ac:dyDescent="0.4">
      <c r="C267" s="3"/>
    </row>
    <row r="268" spans="3:3" ht="15" thickBot="1" x14ac:dyDescent="0.4">
      <c r="C268" s="3"/>
    </row>
    <row r="269" spans="3:3" ht="15" thickBot="1" x14ac:dyDescent="0.4">
      <c r="C269" s="3"/>
    </row>
    <row r="270" spans="3:3" ht="15" thickBot="1" x14ac:dyDescent="0.4">
      <c r="C270" s="3"/>
    </row>
    <row r="271" spans="3:3" ht="15" thickBot="1" x14ac:dyDescent="0.4">
      <c r="C271" s="3"/>
    </row>
    <row r="272" spans="3:3" ht="15" thickBot="1" x14ac:dyDescent="0.4">
      <c r="C272" s="3"/>
    </row>
    <row r="273" spans="3:3" ht="15" thickBot="1" x14ac:dyDescent="0.4">
      <c r="C273" s="3"/>
    </row>
    <row r="274" spans="3:3" ht="15" thickBot="1" x14ac:dyDescent="0.4">
      <c r="C274" s="3"/>
    </row>
    <row r="275" spans="3:3" ht="15" thickBot="1" x14ac:dyDescent="0.4">
      <c r="C275" s="3"/>
    </row>
    <row r="276" spans="3:3" ht="15" thickBot="1" x14ac:dyDescent="0.4">
      <c r="C276" s="3"/>
    </row>
    <row r="277" spans="3:3" ht="15" thickBot="1" x14ac:dyDescent="0.4">
      <c r="C277" s="3"/>
    </row>
    <row r="278" spans="3:3" ht="15" thickBot="1" x14ac:dyDescent="0.4">
      <c r="C278" s="3"/>
    </row>
    <row r="279" spans="3:3" ht="15" thickBot="1" x14ac:dyDescent="0.4">
      <c r="C279" s="3"/>
    </row>
    <row r="280" spans="3:3" ht="15" thickBot="1" x14ac:dyDescent="0.4">
      <c r="C280" s="3"/>
    </row>
    <row r="281" spans="3:3" ht="15" thickBot="1" x14ac:dyDescent="0.4">
      <c r="C281" s="3"/>
    </row>
    <row r="282" spans="3:3" ht="15" thickBot="1" x14ac:dyDescent="0.4">
      <c r="C282" s="3"/>
    </row>
    <row r="283" spans="3:3" ht="15" thickBot="1" x14ac:dyDescent="0.4">
      <c r="C283" s="3"/>
    </row>
    <row r="284" spans="3:3" ht="15" thickBot="1" x14ac:dyDescent="0.4">
      <c r="C284" s="3"/>
    </row>
    <row r="285" spans="3:3" ht="15" thickBot="1" x14ac:dyDescent="0.4">
      <c r="C285" s="3"/>
    </row>
    <row r="286" spans="3:3" ht="15" thickBot="1" x14ac:dyDescent="0.4">
      <c r="C286" s="3"/>
    </row>
    <row r="287" spans="3:3" ht="15" thickBot="1" x14ac:dyDescent="0.4">
      <c r="C287" s="3"/>
    </row>
    <row r="288" spans="3:3" ht="15" thickBot="1" x14ac:dyDescent="0.4">
      <c r="C288" s="3"/>
    </row>
    <row r="289" spans="3:3" ht="15" thickBot="1" x14ac:dyDescent="0.4">
      <c r="C289" s="3"/>
    </row>
    <row r="290" spans="3:3" ht="15" thickBot="1" x14ac:dyDescent="0.4">
      <c r="C290" s="3"/>
    </row>
    <row r="291" spans="3:3" ht="15" thickBot="1" x14ac:dyDescent="0.4">
      <c r="C291" s="3"/>
    </row>
    <row r="292" spans="3:3" ht="15" thickBot="1" x14ac:dyDescent="0.4">
      <c r="C292" s="3"/>
    </row>
    <row r="293" spans="3:3" ht="15" thickBot="1" x14ac:dyDescent="0.4">
      <c r="C293" s="3"/>
    </row>
    <row r="294" spans="3:3" ht="15" thickBot="1" x14ac:dyDescent="0.4">
      <c r="C294" s="3"/>
    </row>
    <row r="295" spans="3:3" ht="15" thickBot="1" x14ac:dyDescent="0.4">
      <c r="C295" s="3"/>
    </row>
    <row r="296" spans="3:3" ht="15" thickBot="1" x14ac:dyDescent="0.4">
      <c r="C296" s="3"/>
    </row>
    <row r="297" spans="3:3" ht="15" thickBot="1" x14ac:dyDescent="0.4">
      <c r="C297" s="3"/>
    </row>
    <row r="298" spans="3:3" ht="15" thickBot="1" x14ac:dyDescent="0.4">
      <c r="C298" s="3"/>
    </row>
    <row r="299" spans="3:3" ht="15" thickBot="1" x14ac:dyDescent="0.4">
      <c r="C299" s="3"/>
    </row>
    <row r="300" spans="3:3" ht="15" thickBot="1" x14ac:dyDescent="0.4">
      <c r="C300" s="3"/>
    </row>
    <row r="301" spans="3:3" ht="15" thickBot="1" x14ac:dyDescent="0.4">
      <c r="C301" s="3"/>
    </row>
    <row r="302" spans="3:3" ht="15" thickBot="1" x14ac:dyDescent="0.4">
      <c r="C302" s="3"/>
    </row>
    <row r="303" spans="3:3" ht="15" thickBot="1" x14ac:dyDescent="0.4">
      <c r="C303" s="3"/>
    </row>
    <row r="304" spans="3:3" ht="15" thickBot="1" x14ac:dyDescent="0.4">
      <c r="C304" s="3"/>
    </row>
    <row r="305" spans="3:3" ht="15" thickBot="1" x14ac:dyDescent="0.4">
      <c r="C305" s="3"/>
    </row>
    <row r="306" spans="3:3" ht="15" thickBot="1" x14ac:dyDescent="0.4">
      <c r="C306" s="3"/>
    </row>
    <row r="307" spans="3:3" ht="15" thickBot="1" x14ac:dyDescent="0.4">
      <c r="C307" s="3"/>
    </row>
    <row r="308" spans="3:3" ht="15" thickBot="1" x14ac:dyDescent="0.4">
      <c r="C308" s="3"/>
    </row>
    <row r="309" spans="3:3" ht="15" thickBot="1" x14ac:dyDescent="0.4">
      <c r="C309" s="3"/>
    </row>
    <row r="310" spans="3:3" ht="15" thickBot="1" x14ac:dyDescent="0.4">
      <c r="C310" s="3"/>
    </row>
    <row r="311" spans="3:3" ht="15" thickBot="1" x14ac:dyDescent="0.4">
      <c r="C311" s="3"/>
    </row>
    <row r="312" spans="3:3" ht="15" thickBot="1" x14ac:dyDescent="0.4">
      <c r="C312" s="3"/>
    </row>
    <row r="313" spans="3:3" ht="15" thickBot="1" x14ac:dyDescent="0.4">
      <c r="C313" s="3"/>
    </row>
    <row r="314" spans="3:3" ht="15" thickBot="1" x14ac:dyDescent="0.4">
      <c r="C314" s="3"/>
    </row>
    <row r="315" spans="3:3" ht="15" thickBot="1" x14ac:dyDescent="0.4">
      <c r="C315" s="3"/>
    </row>
    <row r="316" spans="3:3" ht="15" thickBot="1" x14ac:dyDescent="0.4">
      <c r="C316" s="3"/>
    </row>
    <row r="317" spans="3:3" ht="15" thickBot="1" x14ac:dyDescent="0.4">
      <c r="C317" s="3"/>
    </row>
    <row r="318" spans="3:3" ht="15" thickBot="1" x14ac:dyDescent="0.4">
      <c r="C318" s="3"/>
    </row>
    <row r="319" spans="3:3" ht="15" thickBot="1" x14ac:dyDescent="0.4">
      <c r="C319" s="3"/>
    </row>
    <row r="320" spans="3:3" ht="15" thickBot="1" x14ac:dyDescent="0.4">
      <c r="C320" s="3"/>
    </row>
    <row r="321" spans="3:3" ht="15" thickBot="1" x14ac:dyDescent="0.4">
      <c r="C321" s="3"/>
    </row>
    <row r="322" spans="3:3" ht="15" thickBot="1" x14ac:dyDescent="0.4">
      <c r="C322" s="3"/>
    </row>
    <row r="323" spans="3:3" ht="15" thickBot="1" x14ac:dyDescent="0.4">
      <c r="C323" s="3"/>
    </row>
    <row r="324" spans="3:3" ht="15" thickBot="1" x14ac:dyDescent="0.4">
      <c r="C324" s="3"/>
    </row>
    <row r="325" spans="3:3" ht="15" thickBot="1" x14ac:dyDescent="0.4">
      <c r="C325" s="3"/>
    </row>
    <row r="326" spans="3:3" ht="15" thickBot="1" x14ac:dyDescent="0.4">
      <c r="C326" s="3"/>
    </row>
    <row r="327" spans="3:3" ht="15" thickBot="1" x14ac:dyDescent="0.4">
      <c r="C327" s="3"/>
    </row>
    <row r="328" spans="3:3" ht="15" thickBot="1" x14ac:dyDescent="0.4">
      <c r="C328" s="3"/>
    </row>
    <row r="329" spans="3:3" ht="15" thickBot="1" x14ac:dyDescent="0.4">
      <c r="C329" s="3"/>
    </row>
    <row r="330" spans="3:3" ht="15" thickBot="1" x14ac:dyDescent="0.4">
      <c r="C330" s="3"/>
    </row>
    <row r="331" spans="3:3" ht="15" thickBot="1" x14ac:dyDescent="0.4">
      <c r="C331" s="3"/>
    </row>
    <row r="332" spans="3:3" ht="15" thickBot="1" x14ac:dyDescent="0.4">
      <c r="C332" s="3"/>
    </row>
    <row r="333" spans="3:3" ht="15" thickBot="1" x14ac:dyDescent="0.4">
      <c r="C333" s="3"/>
    </row>
    <row r="334" spans="3:3" ht="15" thickBot="1" x14ac:dyDescent="0.4">
      <c r="C334" s="3"/>
    </row>
    <row r="335" spans="3:3" ht="15" thickBot="1" x14ac:dyDescent="0.4">
      <c r="C335" s="3"/>
    </row>
    <row r="336" spans="3:3" ht="15" thickBot="1" x14ac:dyDescent="0.4">
      <c r="C336" s="3"/>
    </row>
    <row r="337" spans="3:3" ht="15" thickBot="1" x14ac:dyDescent="0.4">
      <c r="C337" s="3"/>
    </row>
    <row r="338" spans="3:3" ht="15" thickBot="1" x14ac:dyDescent="0.4">
      <c r="C338" s="3"/>
    </row>
    <row r="339" spans="3:3" ht="15" thickBot="1" x14ac:dyDescent="0.4">
      <c r="C339" s="3"/>
    </row>
    <row r="340" spans="3:3" ht="15" thickBot="1" x14ac:dyDescent="0.4">
      <c r="C340" s="3"/>
    </row>
    <row r="341" spans="3:3" ht="15" thickBot="1" x14ac:dyDescent="0.4">
      <c r="C341" s="3"/>
    </row>
    <row r="342" spans="3:3" ht="15" thickBot="1" x14ac:dyDescent="0.4">
      <c r="C342" s="3"/>
    </row>
    <row r="343" spans="3:3" ht="15" thickBot="1" x14ac:dyDescent="0.4">
      <c r="C343" s="3"/>
    </row>
    <row r="344" spans="3:3" ht="15" thickBot="1" x14ac:dyDescent="0.4">
      <c r="C344" s="3"/>
    </row>
    <row r="345" spans="3:3" ht="15" thickBot="1" x14ac:dyDescent="0.4">
      <c r="C345" s="3"/>
    </row>
    <row r="346" spans="3:3" ht="15" thickBot="1" x14ac:dyDescent="0.4">
      <c r="C346" s="3"/>
    </row>
    <row r="347" spans="3:3" ht="15" thickBot="1" x14ac:dyDescent="0.4">
      <c r="C347" s="3"/>
    </row>
    <row r="348" spans="3:3" ht="15" thickBot="1" x14ac:dyDescent="0.4">
      <c r="C348" s="3"/>
    </row>
    <row r="349" spans="3:3" ht="15" thickBot="1" x14ac:dyDescent="0.4">
      <c r="C349" s="3"/>
    </row>
    <row r="350" spans="3:3" ht="15" thickBot="1" x14ac:dyDescent="0.4">
      <c r="C350" s="3"/>
    </row>
    <row r="351" spans="3:3" ht="15" thickBot="1" x14ac:dyDescent="0.4">
      <c r="C351" s="3"/>
    </row>
    <row r="352" spans="3:3" ht="15" thickBot="1" x14ac:dyDescent="0.4">
      <c r="C352" s="3"/>
    </row>
    <row r="353" spans="3:3" ht="15" thickBot="1" x14ac:dyDescent="0.4">
      <c r="C353" s="3"/>
    </row>
    <row r="354" spans="3:3" ht="15" thickBot="1" x14ac:dyDescent="0.4">
      <c r="C354" s="3"/>
    </row>
    <row r="355" spans="3:3" ht="15" thickBot="1" x14ac:dyDescent="0.4">
      <c r="C355" s="3"/>
    </row>
    <row r="356" spans="3:3" ht="15" thickBot="1" x14ac:dyDescent="0.4">
      <c r="C356" s="3"/>
    </row>
    <row r="357" spans="3:3" ht="15" thickBot="1" x14ac:dyDescent="0.4">
      <c r="C357" s="3"/>
    </row>
    <row r="358" spans="3:3" ht="15" thickBot="1" x14ac:dyDescent="0.4">
      <c r="C358" s="3"/>
    </row>
    <row r="359" spans="3:3" ht="15" thickBot="1" x14ac:dyDescent="0.4">
      <c r="C359" s="3"/>
    </row>
    <row r="360" spans="3:3" ht="15" thickBot="1" x14ac:dyDescent="0.4">
      <c r="C360" s="3"/>
    </row>
    <row r="361" spans="3:3" ht="15" thickBot="1" x14ac:dyDescent="0.4">
      <c r="C361" s="3"/>
    </row>
    <row r="362" spans="3:3" ht="15" thickBot="1" x14ac:dyDescent="0.4">
      <c r="C362" s="3"/>
    </row>
    <row r="363" spans="3:3" ht="15" thickBot="1" x14ac:dyDescent="0.4">
      <c r="C363" s="3"/>
    </row>
    <row r="364" spans="3:3" ht="15" thickBot="1" x14ac:dyDescent="0.4">
      <c r="C364" s="3"/>
    </row>
    <row r="365" spans="3:3" ht="15" thickBot="1" x14ac:dyDescent="0.4">
      <c r="C365" s="3"/>
    </row>
    <row r="366" spans="3:3" ht="15" thickBot="1" x14ac:dyDescent="0.4">
      <c r="C366" s="3"/>
    </row>
    <row r="367" spans="3:3" ht="15" thickBot="1" x14ac:dyDescent="0.4">
      <c r="C367" s="3"/>
    </row>
    <row r="368" spans="3:3" ht="15" thickBot="1" x14ac:dyDescent="0.4">
      <c r="C368" s="3"/>
    </row>
    <row r="369" spans="3:3" ht="15" thickBot="1" x14ac:dyDescent="0.4">
      <c r="C369" s="3"/>
    </row>
    <row r="370" spans="3:3" ht="15" thickBot="1" x14ac:dyDescent="0.4">
      <c r="C370" s="3"/>
    </row>
    <row r="371" spans="3:3" ht="15" thickBot="1" x14ac:dyDescent="0.4">
      <c r="C371" s="3"/>
    </row>
    <row r="372" spans="3:3" ht="15" thickBot="1" x14ac:dyDescent="0.4">
      <c r="C372" s="3"/>
    </row>
    <row r="373" spans="3:3" ht="15" thickBot="1" x14ac:dyDescent="0.4">
      <c r="C373" s="3"/>
    </row>
    <row r="374" spans="3:3" ht="15" thickBot="1" x14ac:dyDescent="0.4">
      <c r="C374" s="3"/>
    </row>
    <row r="375" spans="3:3" ht="15" thickBot="1" x14ac:dyDescent="0.4">
      <c r="C375" s="3"/>
    </row>
    <row r="376" spans="3:3" ht="15" thickBot="1" x14ac:dyDescent="0.4">
      <c r="C376" s="3"/>
    </row>
    <row r="377" spans="3:3" ht="15" thickBot="1" x14ac:dyDescent="0.4">
      <c r="C377" s="3"/>
    </row>
    <row r="378" spans="3:3" ht="15" thickBot="1" x14ac:dyDescent="0.4">
      <c r="C378" s="3"/>
    </row>
    <row r="379" spans="3:3" ht="15" thickBot="1" x14ac:dyDescent="0.4">
      <c r="C379" s="3"/>
    </row>
    <row r="380" spans="3:3" ht="15" thickBot="1" x14ac:dyDescent="0.4">
      <c r="C380" s="3"/>
    </row>
    <row r="381" spans="3:3" ht="15" thickBot="1" x14ac:dyDescent="0.4">
      <c r="C381" s="3"/>
    </row>
    <row r="382" spans="3:3" ht="15" thickBot="1" x14ac:dyDescent="0.4">
      <c r="C382" s="3"/>
    </row>
    <row r="383" spans="3:3" ht="15" thickBot="1" x14ac:dyDescent="0.4">
      <c r="C383" s="3"/>
    </row>
    <row r="384" spans="3:3" ht="15" thickBot="1" x14ac:dyDescent="0.4">
      <c r="C384" s="3"/>
    </row>
    <row r="385" spans="3:3" ht="15" thickBot="1" x14ac:dyDescent="0.4">
      <c r="C385" s="3"/>
    </row>
    <row r="386" spans="3:3" ht="15" thickBot="1" x14ac:dyDescent="0.4">
      <c r="C386" s="3"/>
    </row>
    <row r="387" spans="3:3" ht="15" thickBot="1" x14ac:dyDescent="0.4">
      <c r="C387" s="3"/>
    </row>
    <row r="388" spans="3:3" ht="15" thickBot="1" x14ac:dyDescent="0.4">
      <c r="C388" s="3"/>
    </row>
    <row r="389" spans="3:3" ht="15" thickBot="1" x14ac:dyDescent="0.4">
      <c r="C389" s="3"/>
    </row>
    <row r="390" spans="3:3" ht="15" thickBot="1" x14ac:dyDescent="0.4">
      <c r="C390" s="3"/>
    </row>
    <row r="391" spans="3:3" ht="15" thickBot="1" x14ac:dyDescent="0.4">
      <c r="C391" s="3"/>
    </row>
    <row r="392" spans="3:3" ht="15" thickBot="1" x14ac:dyDescent="0.4">
      <c r="C392" s="3"/>
    </row>
    <row r="393" spans="3:3" ht="15" thickBot="1" x14ac:dyDescent="0.4">
      <c r="C393" s="3"/>
    </row>
    <row r="394" spans="3:3" ht="15" thickBot="1" x14ac:dyDescent="0.4">
      <c r="C394" s="3"/>
    </row>
    <row r="395" spans="3:3" ht="15" thickBot="1" x14ac:dyDescent="0.4">
      <c r="C395" s="3"/>
    </row>
    <row r="396" spans="3:3" ht="15" thickBot="1" x14ac:dyDescent="0.4">
      <c r="C396" s="3"/>
    </row>
    <row r="397" spans="3:3" ht="15" thickBot="1" x14ac:dyDescent="0.4">
      <c r="C397" s="3"/>
    </row>
    <row r="398" spans="3:3" ht="15" thickBot="1" x14ac:dyDescent="0.4">
      <c r="C398" s="3"/>
    </row>
    <row r="399" spans="3:3" ht="15" thickBot="1" x14ac:dyDescent="0.4">
      <c r="C399" s="3"/>
    </row>
    <row r="400" spans="3:3" ht="15" thickBot="1" x14ac:dyDescent="0.4">
      <c r="C400" s="3"/>
    </row>
    <row r="401" spans="3:3" ht="15" thickBot="1" x14ac:dyDescent="0.4">
      <c r="C401" s="3"/>
    </row>
    <row r="402" spans="3:3" ht="15" thickBot="1" x14ac:dyDescent="0.4">
      <c r="C402" s="3"/>
    </row>
    <row r="403" spans="3:3" ht="15" thickBot="1" x14ac:dyDescent="0.4">
      <c r="C403" s="3"/>
    </row>
    <row r="404" spans="3:3" ht="15" thickBot="1" x14ac:dyDescent="0.4">
      <c r="C404" s="3"/>
    </row>
    <row r="405" spans="3:3" ht="15" thickBot="1" x14ac:dyDescent="0.4">
      <c r="C405" s="3"/>
    </row>
    <row r="406" spans="3:3" ht="15" thickBot="1" x14ac:dyDescent="0.4">
      <c r="C406" s="3"/>
    </row>
    <row r="407" spans="3:3" ht="15" thickBot="1" x14ac:dyDescent="0.4">
      <c r="C407" s="3"/>
    </row>
    <row r="408" spans="3:3" ht="15" thickBot="1" x14ac:dyDescent="0.4">
      <c r="C408" s="3"/>
    </row>
    <row r="409" spans="3:3" ht="15" thickBot="1" x14ac:dyDescent="0.4">
      <c r="C409" s="3"/>
    </row>
    <row r="410" spans="3:3" ht="15" thickBot="1" x14ac:dyDescent="0.4">
      <c r="C410" s="3"/>
    </row>
    <row r="411" spans="3:3" ht="15" thickBot="1" x14ac:dyDescent="0.4">
      <c r="C411" s="3"/>
    </row>
    <row r="412" spans="3:3" ht="15" thickBot="1" x14ac:dyDescent="0.4">
      <c r="C412" s="3"/>
    </row>
    <row r="413" spans="3:3" ht="15" thickBot="1" x14ac:dyDescent="0.4">
      <c r="C413" s="3"/>
    </row>
    <row r="414" spans="3:3" ht="15" thickBot="1" x14ac:dyDescent="0.4">
      <c r="C414" s="3"/>
    </row>
    <row r="415" spans="3:3" ht="15" thickBot="1" x14ac:dyDescent="0.4">
      <c r="C415" s="3"/>
    </row>
    <row r="416" spans="3:3" ht="15" thickBot="1" x14ac:dyDescent="0.4">
      <c r="C416" s="3"/>
    </row>
    <row r="417" spans="3:3" ht="15" thickBot="1" x14ac:dyDescent="0.4">
      <c r="C417" s="3"/>
    </row>
    <row r="418" spans="3:3" ht="15" thickBot="1" x14ac:dyDescent="0.4">
      <c r="C418" s="3"/>
    </row>
    <row r="419" spans="3:3" ht="15" thickBot="1" x14ac:dyDescent="0.4">
      <c r="C419" s="3"/>
    </row>
    <row r="420" spans="3:3" ht="15" thickBot="1" x14ac:dyDescent="0.4">
      <c r="C420" s="3"/>
    </row>
    <row r="421" spans="3:3" ht="15" thickBot="1" x14ac:dyDescent="0.4">
      <c r="C421" s="3"/>
    </row>
    <row r="422" spans="3:3" ht="15" thickBot="1" x14ac:dyDescent="0.4">
      <c r="C422" s="3"/>
    </row>
    <row r="423" spans="3:3" ht="15" thickBot="1" x14ac:dyDescent="0.4">
      <c r="C423" s="3"/>
    </row>
    <row r="424" spans="3:3" ht="15" thickBot="1" x14ac:dyDescent="0.4">
      <c r="C424" s="3"/>
    </row>
    <row r="425" spans="3:3" ht="15" thickBot="1" x14ac:dyDescent="0.4">
      <c r="C425" s="3"/>
    </row>
    <row r="426" spans="3:3" ht="15" thickBot="1" x14ac:dyDescent="0.4">
      <c r="C426" s="3"/>
    </row>
    <row r="427" spans="3:3" ht="15" thickBot="1" x14ac:dyDescent="0.4">
      <c r="C427" s="3"/>
    </row>
    <row r="428" spans="3:3" ht="15" thickBot="1" x14ac:dyDescent="0.4">
      <c r="C428" s="3"/>
    </row>
    <row r="429" spans="3:3" ht="15" thickBot="1" x14ac:dyDescent="0.4">
      <c r="C429" s="3"/>
    </row>
    <row r="430" spans="3:3" ht="15" thickBot="1" x14ac:dyDescent="0.4">
      <c r="C430" s="3"/>
    </row>
    <row r="431" spans="3:3" ht="15" thickBot="1" x14ac:dyDescent="0.4">
      <c r="C431" s="3"/>
    </row>
    <row r="432" spans="3:3" ht="15" thickBot="1" x14ac:dyDescent="0.4">
      <c r="C432" s="3"/>
    </row>
    <row r="433" spans="3:3" ht="15" thickBot="1" x14ac:dyDescent="0.4">
      <c r="C433" s="3"/>
    </row>
    <row r="434" spans="3:3" ht="15" thickBot="1" x14ac:dyDescent="0.4">
      <c r="C434" s="3"/>
    </row>
    <row r="435" spans="3:3" ht="15" thickBot="1" x14ac:dyDescent="0.4">
      <c r="C435" s="3"/>
    </row>
    <row r="436" spans="3:3" ht="15" thickBot="1" x14ac:dyDescent="0.4">
      <c r="C436" s="3"/>
    </row>
    <row r="437" spans="3:3" ht="15" thickBot="1" x14ac:dyDescent="0.4">
      <c r="C437" s="3"/>
    </row>
    <row r="438" spans="3:3" ht="15" thickBot="1" x14ac:dyDescent="0.4">
      <c r="C438" s="3"/>
    </row>
    <row r="439" spans="3:3" ht="15" thickBot="1" x14ac:dyDescent="0.4">
      <c r="C439" s="3"/>
    </row>
    <row r="440" spans="3:3" ht="15" thickBot="1" x14ac:dyDescent="0.4">
      <c r="C440" s="3"/>
    </row>
    <row r="441" spans="3:3" ht="15" thickBot="1" x14ac:dyDescent="0.4">
      <c r="C441" s="3"/>
    </row>
    <row r="442" spans="3:3" ht="15" thickBot="1" x14ac:dyDescent="0.4">
      <c r="C442" s="3"/>
    </row>
    <row r="443" spans="3:3" ht="15" thickBot="1" x14ac:dyDescent="0.4">
      <c r="C443" s="3"/>
    </row>
    <row r="444" spans="3:3" ht="15" thickBot="1" x14ac:dyDescent="0.4">
      <c r="C444" s="3"/>
    </row>
    <row r="445" spans="3:3" ht="15" thickBot="1" x14ac:dyDescent="0.4">
      <c r="C445" s="3"/>
    </row>
    <row r="446" spans="3:3" ht="15" thickBot="1" x14ac:dyDescent="0.4">
      <c r="C446" s="3"/>
    </row>
    <row r="447" spans="3:3" ht="15" thickBot="1" x14ac:dyDescent="0.4">
      <c r="C447" s="3"/>
    </row>
    <row r="448" spans="3:3" ht="15" thickBot="1" x14ac:dyDescent="0.4">
      <c r="C448" s="3"/>
    </row>
    <row r="449" spans="3:3" ht="15" thickBot="1" x14ac:dyDescent="0.4">
      <c r="C449" s="3"/>
    </row>
    <row r="450" spans="3:3" ht="15" thickBot="1" x14ac:dyDescent="0.4">
      <c r="C450" s="3"/>
    </row>
    <row r="451" spans="3:3" ht="15" thickBot="1" x14ac:dyDescent="0.4">
      <c r="C451" s="3"/>
    </row>
    <row r="452" spans="3:3" ht="15" thickBot="1" x14ac:dyDescent="0.4">
      <c r="C452" s="3"/>
    </row>
    <row r="453" spans="3:3" ht="15" thickBot="1" x14ac:dyDescent="0.4">
      <c r="C453" s="3"/>
    </row>
    <row r="454" spans="3:3" ht="15" thickBot="1" x14ac:dyDescent="0.4">
      <c r="C454" s="3"/>
    </row>
    <row r="455" spans="3:3" ht="15" thickBot="1" x14ac:dyDescent="0.4">
      <c r="C455" s="3"/>
    </row>
    <row r="456" spans="3:3" ht="15" thickBot="1" x14ac:dyDescent="0.4">
      <c r="C456" s="3"/>
    </row>
    <row r="457" spans="3:3" ht="15" thickBot="1" x14ac:dyDescent="0.4">
      <c r="C457" s="3"/>
    </row>
    <row r="458" spans="3:3" ht="15" thickBot="1" x14ac:dyDescent="0.4">
      <c r="C458" s="3"/>
    </row>
    <row r="459" spans="3:3" ht="15" thickBot="1" x14ac:dyDescent="0.4">
      <c r="C459" s="3"/>
    </row>
    <row r="460" spans="3:3" ht="15" thickBot="1" x14ac:dyDescent="0.4">
      <c r="C460" s="3"/>
    </row>
    <row r="461" spans="3:3" ht="15" thickBot="1" x14ac:dyDescent="0.4">
      <c r="C461" s="3"/>
    </row>
    <row r="462" spans="3:3" ht="15" thickBot="1" x14ac:dyDescent="0.4">
      <c r="C462" s="3"/>
    </row>
    <row r="463" spans="3:3" ht="15" thickBot="1" x14ac:dyDescent="0.4">
      <c r="C463" s="3"/>
    </row>
    <row r="464" spans="3:3" ht="15" thickBot="1" x14ac:dyDescent="0.4">
      <c r="C464" s="3"/>
    </row>
    <row r="465" spans="3:3" ht="15" thickBot="1" x14ac:dyDescent="0.4">
      <c r="C465" s="3"/>
    </row>
    <row r="466" spans="3:3" ht="15" thickBot="1" x14ac:dyDescent="0.4">
      <c r="C466" s="3"/>
    </row>
    <row r="467" spans="3:3" ht="15" thickBot="1" x14ac:dyDescent="0.4">
      <c r="C467" s="3"/>
    </row>
    <row r="468" spans="3:3" ht="15" thickBot="1" x14ac:dyDescent="0.4">
      <c r="C468" s="3"/>
    </row>
    <row r="469" spans="3:3" ht="15" thickBot="1" x14ac:dyDescent="0.4">
      <c r="C469" s="3"/>
    </row>
    <row r="470" spans="3:3" ht="15" thickBot="1" x14ac:dyDescent="0.4">
      <c r="C470" s="3"/>
    </row>
    <row r="471" spans="3:3" ht="15" thickBot="1" x14ac:dyDescent="0.4">
      <c r="C471" s="3"/>
    </row>
    <row r="472" spans="3:3" ht="15" thickBot="1" x14ac:dyDescent="0.4">
      <c r="C472" s="3"/>
    </row>
    <row r="473" spans="3:3" ht="15" thickBot="1" x14ac:dyDescent="0.4">
      <c r="C473" s="3"/>
    </row>
    <row r="474" spans="3:3" ht="15" thickBot="1" x14ac:dyDescent="0.4">
      <c r="C474" s="3"/>
    </row>
    <row r="475" spans="3:3" ht="15" thickBot="1" x14ac:dyDescent="0.4">
      <c r="C475" s="3"/>
    </row>
    <row r="476" spans="3:3" ht="15" thickBot="1" x14ac:dyDescent="0.4">
      <c r="C476" s="3"/>
    </row>
    <row r="477" spans="3:3" ht="15" thickBot="1" x14ac:dyDescent="0.4">
      <c r="C477" s="3"/>
    </row>
    <row r="478" spans="3:3" ht="15" thickBot="1" x14ac:dyDescent="0.4">
      <c r="C478" s="3"/>
    </row>
    <row r="479" spans="3:3" ht="15" thickBot="1" x14ac:dyDescent="0.4">
      <c r="C479" s="3"/>
    </row>
    <row r="480" spans="3:3" ht="15" thickBot="1" x14ac:dyDescent="0.4">
      <c r="C480" s="3"/>
    </row>
    <row r="481" spans="3:3" ht="15" thickBot="1" x14ac:dyDescent="0.4">
      <c r="C481" s="3"/>
    </row>
    <row r="482" spans="3:3" ht="15" thickBot="1" x14ac:dyDescent="0.4">
      <c r="C482" s="3"/>
    </row>
    <row r="483" spans="3:3" ht="15" thickBot="1" x14ac:dyDescent="0.4">
      <c r="C483" s="3"/>
    </row>
    <row r="484" spans="3:3" ht="15" thickBot="1" x14ac:dyDescent="0.4">
      <c r="C484" s="3"/>
    </row>
    <row r="485" spans="3:3" ht="15" thickBot="1" x14ac:dyDescent="0.4">
      <c r="C485" s="3"/>
    </row>
    <row r="486" spans="3:3" ht="15" thickBot="1" x14ac:dyDescent="0.4">
      <c r="C486" s="3"/>
    </row>
    <row r="487" spans="3:3" ht="15" thickBot="1" x14ac:dyDescent="0.4">
      <c r="C487" s="3"/>
    </row>
    <row r="488" spans="3:3" ht="15" thickBot="1" x14ac:dyDescent="0.4">
      <c r="C488" s="3"/>
    </row>
    <row r="489" spans="3:3" ht="15" thickBot="1" x14ac:dyDescent="0.4">
      <c r="C489" s="3"/>
    </row>
    <row r="490" spans="3:3" ht="15" thickBot="1" x14ac:dyDescent="0.4">
      <c r="C490" s="3"/>
    </row>
    <row r="491" spans="3:3" ht="15" thickBot="1" x14ac:dyDescent="0.4">
      <c r="C491" s="3"/>
    </row>
    <row r="492" spans="3:3" ht="15" thickBot="1" x14ac:dyDescent="0.4">
      <c r="C492" s="3"/>
    </row>
    <row r="493" spans="3:3" ht="15" thickBot="1" x14ac:dyDescent="0.4">
      <c r="C493" s="3"/>
    </row>
    <row r="494" spans="3:3" ht="15" thickBot="1" x14ac:dyDescent="0.4">
      <c r="C494" s="3"/>
    </row>
    <row r="495" spans="3:3" ht="15" thickBot="1" x14ac:dyDescent="0.4">
      <c r="C495" s="3"/>
    </row>
    <row r="496" spans="3:3" ht="15" thickBot="1" x14ac:dyDescent="0.4">
      <c r="C496" s="3"/>
    </row>
    <row r="497" spans="3:3" ht="15" thickBot="1" x14ac:dyDescent="0.4">
      <c r="C497" s="3"/>
    </row>
    <row r="498" spans="3:3" ht="15" thickBot="1" x14ac:dyDescent="0.4">
      <c r="C498" s="3"/>
    </row>
    <row r="499" spans="3:3" ht="15" thickBot="1" x14ac:dyDescent="0.4">
      <c r="C499" s="3"/>
    </row>
    <row r="500" spans="3:3" ht="15" thickBot="1" x14ac:dyDescent="0.4">
      <c r="C500" s="3"/>
    </row>
    <row r="501" spans="3:3" ht="15" thickBot="1" x14ac:dyDescent="0.4">
      <c r="C501" s="3"/>
    </row>
    <row r="502" spans="3:3" ht="15" thickBot="1" x14ac:dyDescent="0.4">
      <c r="C502" s="3"/>
    </row>
    <row r="503" spans="3:3" ht="15" thickBot="1" x14ac:dyDescent="0.4">
      <c r="C503" s="3"/>
    </row>
    <row r="504" spans="3:3" ht="15" thickBot="1" x14ac:dyDescent="0.4">
      <c r="C504" s="3"/>
    </row>
    <row r="505" spans="3:3" ht="15" thickBot="1" x14ac:dyDescent="0.4">
      <c r="C505" s="3"/>
    </row>
    <row r="506" spans="3:3" ht="15" thickBot="1" x14ac:dyDescent="0.4">
      <c r="C506" s="3"/>
    </row>
    <row r="507" spans="3:3" ht="15" thickBot="1" x14ac:dyDescent="0.4">
      <c r="C507" s="3"/>
    </row>
    <row r="508" spans="3:3" ht="15" thickBot="1" x14ac:dyDescent="0.4">
      <c r="C508" s="3"/>
    </row>
    <row r="509" spans="3:3" ht="15" thickBot="1" x14ac:dyDescent="0.4">
      <c r="C509" s="3"/>
    </row>
    <row r="510" spans="3:3" ht="15" thickBot="1" x14ac:dyDescent="0.4">
      <c r="C510" s="3"/>
    </row>
    <row r="511" spans="3:3" ht="15" thickBot="1" x14ac:dyDescent="0.4">
      <c r="C511" s="3"/>
    </row>
    <row r="512" spans="3:3" ht="15" thickBot="1" x14ac:dyDescent="0.4">
      <c r="C512" s="3"/>
    </row>
    <row r="513" spans="3:3" ht="15" thickBot="1" x14ac:dyDescent="0.4">
      <c r="C513" s="3"/>
    </row>
    <row r="514" spans="3:3" ht="15" thickBot="1" x14ac:dyDescent="0.4">
      <c r="C514" s="3"/>
    </row>
    <row r="515" spans="3:3" ht="15" thickBot="1" x14ac:dyDescent="0.4">
      <c r="C515" s="3"/>
    </row>
    <row r="516" spans="3:3" ht="15" thickBot="1" x14ac:dyDescent="0.4">
      <c r="C516" s="3"/>
    </row>
    <row r="517" spans="3:3" ht="15" thickBot="1" x14ac:dyDescent="0.4">
      <c r="C517" s="3"/>
    </row>
    <row r="518" spans="3:3" ht="15" thickBot="1" x14ac:dyDescent="0.4">
      <c r="C518" s="3"/>
    </row>
    <row r="519" spans="3:3" ht="15" thickBot="1" x14ac:dyDescent="0.4">
      <c r="C519" s="3"/>
    </row>
    <row r="520" spans="3:3" ht="15" thickBot="1" x14ac:dyDescent="0.4">
      <c r="C520" s="3"/>
    </row>
    <row r="521" spans="3:3" ht="15" thickBot="1" x14ac:dyDescent="0.4">
      <c r="C521" s="3"/>
    </row>
    <row r="522" spans="3:3" ht="15" thickBot="1" x14ac:dyDescent="0.4">
      <c r="C522" s="3"/>
    </row>
    <row r="523" spans="3:3" ht="15" thickBot="1" x14ac:dyDescent="0.4">
      <c r="C523" s="3"/>
    </row>
    <row r="524" spans="3:3" ht="15" thickBot="1" x14ac:dyDescent="0.4">
      <c r="C524" s="3"/>
    </row>
    <row r="525" spans="3:3" ht="15" thickBot="1" x14ac:dyDescent="0.4">
      <c r="C525" s="3"/>
    </row>
    <row r="526" spans="3:3" ht="15" thickBot="1" x14ac:dyDescent="0.4">
      <c r="C526" s="3"/>
    </row>
    <row r="527" spans="3:3" ht="15" thickBot="1" x14ac:dyDescent="0.4">
      <c r="C527" s="3"/>
    </row>
    <row r="528" spans="3:3" ht="15" thickBot="1" x14ac:dyDescent="0.4">
      <c r="C528" s="3"/>
    </row>
    <row r="529" spans="3:3" ht="15" thickBot="1" x14ac:dyDescent="0.4">
      <c r="C529" s="3"/>
    </row>
    <row r="530" spans="3:3" ht="15" thickBot="1" x14ac:dyDescent="0.4">
      <c r="C530" s="3"/>
    </row>
    <row r="531" spans="3:3" ht="15" thickBot="1" x14ac:dyDescent="0.4">
      <c r="C531" s="3"/>
    </row>
    <row r="532" spans="3:3" ht="15" thickBot="1" x14ac:dyDescent="0.4">
      <c r="C532" s="3"/>
    </row>
    <row r="533" spans="3:3" ht="15" thickBot="1" x14ac:dyDescent="0.4">
      <c r="C533" s="3"/>
    </row>
    <row r="534" spans="3:3" ht="15" thickBot="1" x14ac:dyDescent="0.4">
      <c r="C534" s="3"/>
    </row>
    <row r="535" spans="3:3" ht="15" thickBot="1" x14ac:dyDescent="0.4">
      <c r="C535" s="3"/>
    </row>
    <row r="536" spans="3:3" ht="15" thickBot="1" x14ac:dyDescent="0.4">
      <c r="C536" s="3"/>
    </row>
    <row r="537" spans="3:3" ht="15" thickBot="1" x14ac:dyDescent="0.4">
      <c r="C537" s="3"/>
    </row>
    <row r="538" spans="3:3" ht="15" thickBot="1" x14ac:dyDescent="0.4">
      <c r="C538" s="3"/>
    </row>
    <row r="539" spans="3:3" ht="15" thickBot="1" x14ac:dyDescent="0.4">
      <c r="C539" s="3"/>
    </row>
    <row r="540" spans="3:3" ht="15" thickBot="1" x14ac:dyDescent="0.4">
      <c r="C540" s="3"/>
    </row>
    <row r="541" spans="3:3" ht="15" thickBot="1" x14ac:dyDescent="0.4">
      <c r="C541" s="3"/>
    </row>
    <row r="542" spans="3:3" ht="15" thickBot="1" x14ac:dyDescent="0.4">
      <c r="C542" s="3"/>
    </row>
    <row r="543" spans="3:3" ht="15" thickBot="1" x14ac:dyDescent="0.4">
      <c r="C543" s="3"/>
    </row>
    <row r="544" spans="3:3" ht="15" thickBot="1" x14ac:dyDescent="0.4">
      <c r="C544" s="3"/>
    </row>
    <row r="545" spans="3:3" ht="15" thickBot="1" x14ac:dyDescent="0.4">
      <c r="C545" s="3"/>
    </row>
    <row r="546" spans="3:3" ht="15" thickBot="1" x14ac:dyDescent="0.4">
      <c r="C546" s="3"/>
    </row>
    <row r="547" spans="3:3" ht="15" thickBot="1" x14ac:dyDescent="0.4">
      <c r="C547" s="3"/>
    </row>
    <row r="548" spans="3:3" ht="15" thickBot="1" x14ac:dyDescent="0.4">
      <c r="C548" s="3"/>
    </row>
    <row r="549" spans="3:3" ht="15" thickBot="1" x14ac:dyDescent="0.4">
      <c r="C549" s="3"/>
    </row>
    <row r="550" spans="3:3" ht="15" thickBot="1" x14ac:dyDescent="0.4">
      <c r="C550" s="3"/>
    </row>
    <row r="551" spans="3:3" ht="15" thickBot="1" x14ac:dyDescent="0.4">
      <c r="C551" s="3"/>
    </row>
    <row r="552" spans="3:3" ht="15" thickBot="1" x14ac:dyDescent="0.4">
      <c r="C552" s="3"/>
    </row>
    <row r="553" spans="3:3" ht="15" thickBot="1" x14ac:dyDescent="0.4">
      <c r="C553" s="3"/>
    </row>
    <row r="554" spans="3:3" ht="15" thickBot="1" x14ac:dyDescent="0.4">
      <c r="C554" s="3"/>
    </row>
    <row r="555" spans="3:3" ht="15" thickBot="1" x14ac:dyDescent="0.4">
      <c r="C555" s="3"/>
    </row>
    <row r="556" spans="3:3" ht="15" thickBot="1" x14ac:dyDescent="0.4">
      <c r="C556" s="3"/>
    </row>
    <row r="557" spans="3:3" ht="15" thickBot="1" x14ac:dyDescent="0.4">
      <c r="C557" s="3"/>
    </row>
    <row r="558" spans="3:3" ht="15" thickBot="1" x14ac:dyDescent="0.4">
      <c r="C558" s="3"/>
    </row>
    <row r="559" spans="3:3" ht="15" thickBot="1" x14ac:dyDescent="0.4">
      <c r="C559" s="3"/>
    </row>
    <row r="560" spans="3:3" ht="15" thickBot="1" x14ac:dyDescent="0.4">
      <c r="C560" s="3"/>
    </row>
    <row r="561" spans="3:3" ht="15" thickBot="1" x14ac:dyDescent="0.4">
      <c r="C561" s="3"/>
    </row>
    <row r="562" spans="3:3" ht="15" thickBot="1" x14ac:dyDescent="0.4">
      <c r="C562" s="3"/>
    </row>
    <row r="563" spans="3:3" ht="15" thickBot="1" x14ac:dyDescent="0.4">
      <c r="C563" s="3"/>
    </row>
    <row r="564" spans="3:3" ht="15" thickBot="1" x14ac:dyDescent="0.4">
      <c r="C564" s="3"/>
    </row>
    <row r="565" spans="3:3" ht="15" thickBot="1" x14ac:dyDescent="0.4">
      <c r="C565" s="3"/>
    </row>
    <row r="566" spans="3:3" ht="15" thickBot="1" x14ac:dyDescent="0.4">
      <c r="C566" s="3"/>
    </row>
    <row r="567" spans="3:3" ht="15" thickBot="1" x14ac:dyDescent="0.4">
      <c r="C567" s="3"/>
    </row>
    <row r="568" spans="3:3" ht="15" thickBot="1" x14ac:dyDescent="0.4">
      <c r="C568" s="3"/>
    </row>
    <row r="569" spans="3:3" ht="15" thickBot="1" x14ac:dyDescent="0.4">
      <c r="C569" s="3"/>
    </row>
    <row r="570" spans="3:3" ht="15" thickBot="1" x14ac:dyDescent="0.4">
      <c r="C570" s="3"/>
    </row>
    <row r="571" spans="3:3" ht="15" thickBot="1" x14ac:dyDescent="0.4">
      <c r="C571" s="3"/>
    </row>
    <row r="572" spans="3:3" ht="15" thickBot="1" x14ac:dyDescent="0.4">
      <c r="C572" s="3"/>
    </row>
    <row r="573" spans="3:3" ht="15" thickBot="1" x14ac:dyDescent="0.4">
      <c r="C573" s="3"/>
    </row>
    <row r="574" spans="3:3" ht="15" thickBot="1" x14ac:dyDescent="0.4">
      <c r="C574" s="3"/>
    </row>
    <row r="575" spans="3:3" ht="15" thickBot="1" x14ac:dyDescent="0.4">
      <c r="C575" s="3"/>
    </row>
    <row r="576" spans="3:3" ht="15" thickBot="1" x14ac:dyDescent="0.4">
      <c r="C576" s="3"/>
    </row>
    <row r="577" spans="3:3" ht="15" thickBot="1" x14ac:dyDescent="0.4">
      <c r="C577" s="3"/>
    </row>
    <row r="578" spans="3:3" ht="15" thickBot="1" x14ac:dyDescent="0.4">
      <c r="C578" s="3"/>
    </row>
    <row r="579" spans="3:3" ht="15" thickBot="1" x14ac:dyDescent="0.4">
      <c r="C579" s="3"/>
    </row>
    <row r="580" spans="3:3" ht="15" thickBot="1" x14ac:dyDescent="0.4">
      <c r="C580" s="3"/>
    </row>
    <row r="581" spans="3:3" ht="15" thickBot="1" x14ac:dyDescent="0.4">
      <c r="C581" s="3"/>
    </row>
    <row r="582" spans="3:3" ht="15" thickBot="1" x14ac:dyDescent="0.4">
      <c r="C582" s="3"/>
    </row>
    <row r="583" spans="3:3" ht="15" thickBot="1" x14ac:dyDescent="0.4">
      <c r="C583" s="3"/>
    </row>
    <row r="584" spans="3:3" ht="15" thickBot="1" x14ac:dyDescent="0.4">
      <c r="C584" s="3"/>
    </row>
    <row r="585" spans="3:3" ht="15" thickBot="1" x14ac:dyDescent="0.4">
      <c r="C585" s="3"/>
    </row>
    <row r="586" spans="3:3" ht="15" thickBot="1" x14ac:dyDescent="0.4">
      <c r="C586" s="3"/>
    </row>
    <row r="587" spans="3:3" ht="15" thickBot="1" x14ac:dyDescent="0.4">
      <c r="C587" s="3"/>
    </row>
    <row r="588" spans="3:3" ht="15" thickBot="1" x14ac:dyDescent="0.4">
      <c r="C588" s="3"/>
    </row>
    <row r="589" spans="3:3" ht="15" thickBot="1" x14ac:dyDescent="0.4">
      <c r="C589" s="3"/>
    </row>
    <row r="590" spans="3:3" ht="15" thickBot="1" x14ac:dyDescent="0.4">
      <c r="C590" s="3"/>
    </row>
    <row r="591" spans="3:3" ht="15" thickBot="1" x14ac:dyDescent="0.4">
      <c r="C591" s="3"/>
    </row>
    <row r="592" spans="3:3" ht="15" thickBot="1" x14ac:dyDescent="0.4">
      <c r="C592" s="3"/>
    </row>
    <row r="593" spans="3:3" ht="15" thickBot="1" x14ac:dyDescent="0.4">
      <c r="C593" s="3"/>
    </row>
    <row r="594" spans="3:3" ht="15" thickBot="1" x14ac:dyDescent="0.4">
      <c r="C594" s="3"/>
    </row>
    <row r="595" spans="3:3" ht="15" thickBot="1" x14ac:dyDescent="0.4">
      <c r="C595" s="3"/>
    </row>
    <row r="596" spans="3:3" ht="15" thickBot="1" x14ac:dyDescent="0.4">
      <c r="C596" s="3"/>
    </row>
    <row r="597" spans="3:3" ht="15" thickBot="1" x14ac:dyDescent="0.4">
      <c r="C597" s="3"/>
    </row>
    <row r="598" spans="3:3" ht="15" thickBot="1" x14ac:dyDescent="0.4">
      <c r="C598" s="3"/>
    </row>
    <row r="599" spans="3:3" ht="15" thickBot="1" x14ac:dyDescent="0.4">
      <c r="C599" s="3"/>
    </row>
    <row r="600" spans="3:3" ht="15" thickBot="1" x14ac:dyDescent="0.4">
      <c r="C600" s="3"/>
    </row>
    <row r="601" spans="3:3" ht="15" thickBot="1" x14ac:dyDescent="0.4">
      <c r="C601" s="3"/>
    </row>
    <row r="602" spans="3:3" ht="15" thickBot="1" x14ac:dyDescent="0.4">
      <c r="C602" s="3"/>
    </row>
    <row r="603" spans="3:3" ht="15" thickBot="1" x14ac:dyDescent="0.4">
      <c r="C603" s="3"/>
    </row>
    <row r="604" spans="3:3" ht="15" thickBot="1" x14ac:dyDescent="0.4">
      <c r="C604" s="3"/>
    </row>
    <row r="605" spans="3:3" ht="15" thickBot="1" x14ac:dyDescent="0.4">
      <c r="C605" s="3"/>
    </row>
    <row r="606" spans="3:3" ht="15" thickBot="1" x14ac:dyDescent="0.4">
      <c r="C606" s="3"/>
    </row>
    <row r="607" spans="3:3" ht="15" thickBot="1" x14ac:dyDescent="0.4">
      <c r="C607" s="3"/>
    </row>
    <row r="608" spans="3:3" ht="15" thickBot="1" x14ac:dyDescent="0.4">
      <c r="C608" s="3"/>
    </row>
    <row r="609" spans="3:3" ht="15" thickBot="1" x14ac:dyDescent="0.4">
      <c r="C609" s="3"/>
    </row>
    <row r="610" spans="3:3" ht="15" thickBot="1" x14ac:dyDescent="0.4">
      <c r="C610" s="3"/>
    </row>
    <row r="611" spans="3:3" ht="15" thickBot="1" x14ac:dyDescent="0.4">
      <c r="C611" s="3"/>
    </row>
    <row r="612" spans="3:3" ht="15" thickBot="1" x14ac:dyDescent="0.4">
      <c r="C612" s="3"/>
    </row>
    <row r="613" spans="3:3" ht="15" thickBot="1" x14ac:dyDescent="0.4">
      <c r="C613" s="3"/>
    </row>
    <row r="614" spans="3:3" ht="15" thickBot="1" x14ac:dyDescent="0.4">
      <c r="C614" s="3"/>
    </row>
    <row r="615" spans="3:3" ht="15" thickBot="1" x14ac:dyDescent="0.4">
      <c r="C615" s="3"/>
    </row>
    <row r="616" spans="3:3" ht="15" thickBot="1" x14ac:dyDescent="0.4">
      <c r="C616" s="3"/>
    </row>
    <row r="617" spans="3:3" ht="15" thickBot="1" x14ac:dyDescent="0.4">
      <c r="C617" s="3"/>
    </row>
    <row r="618" spans="3:3" ht="15" thickBot="1" x14ac:dyDescent="0.4">
      <c r="C618" s="3"/>
    </row>
    <row r="619" spans="3:3" ht="15" thickBot="1" x14ac:dyDescent="0.4">
      <c r="C619" s="3"/>
    </row>
    <row r="620" spans="3:3" ht="15" thickBot="1" x14ac:dyDescent="0.4">
      <c r="C620" s="3"/>
    </row>
    <row r="621" spans="3:3" ht="15" thickBot="1" x14ac:dyDescent="0.4">
      <c r="C621" s="3"/>
    </row>
    <row r="622" spans="3:3" ht="15" thickBot="1" x14ac:dyDescent="0.4">
      <c r="C622" s="3"/>
    </row>
    <row r="623" spans="3:3" ht="15" thickBot="1" x14ac:dyDescent="0.4">
      <c r="C623" s="3"/>
    </row>
    <row r="624" spans="3:3" ht="15" thickBot="1" x14ac:dyDescent="0.4">
      <c r="C624" s="3"/>
    </row>
    <row r="625" spans="3:3" ht="15" thickBot="1" x14ac:dyDescent="0.4">
      <c r="C625" s="3"/>
    </row>
    <row r="626" spans="3:3" ht="15" thickBot="1" x14ac:dyDescent="0.4">
      <c r="C626" s="3"/>
    </row>
    <row r="627" spans="3:3" ht="15" thickBot="1" x14ac:dyDescent="0.4">
      <c r="C627" s="3"/>
    </row>
    <row r="628" spans="3:3" ht="15" thickBot="1" x14ac:dyDescent="0.4">
      <c r="C628" s="3"/>
    </row>
    <row r="629" spans="3:3" ht="15" thickBot="1" x14ac:dyDescent="0.4">
      <c r="C629" s="3"/>
    </row>
    <row r="630" spans="3:3" ht="15" thickBot="1" x14ac:dyDescent="0.4">
      <c r="C630" s="3"/>
    </row>
    <row r="631" spans="3:3" ht="15" thickBot="1" x14ac:dyDescent="0.4">
      <c r="C631" s="3"/>
    </row>
    <row r="632" spans="3:3" ht="15" thickBot="1" x14ac:dyDescent="0.4">
      <c r="C632" s="3"/>
    </row>
    <row r="633" spans="3:3" ht="15" thickBot="1" x14ac:dyDescent="0.4">
      <c r="C633" s="3"/>
    </row>
    <row r="634" spans="3:3" ht="15" thickBot="1" x14ac:dyDescent="0.4">
      <c r="C634" s="3"/>
    </row>
    <row r="635" spans="3:3" ht="15" thickBot="1" x14ac:dyDescent="0.4">
      <c r="C635" s="3"/>
    </row>
    <row r="636" spans="3:3" ht="15" thickBot="1" x14ac:dyDescent="0.4">
      <c r="C636" s="3"/>
    </row>
    <row r="637" spans="3:3" ht="15" thickBot="1" x14ac:dyDescent="0.4">
      <c r="C637" s="3"/>
    </row>
    <row r="638" spans="3:3" ht="15" thickBot="1" x14ac:dyDescent="0.4">
      <c r="C638" s="3"/>
    </row>
    <row r="639" spans="3:3" ht="15" thickBot="1" x14ac:dyDescent="0.4">
      <c r="C639" s="3"/>
    </row>
    <row r="640" spans="3:3" ht="15" thickBot="1" x14ac:dyDescent="0.4">
      <c r="C640" s="3"/>
    </row>
    <row r="641" spans="3:3" ht="15" thickBot="1" x14ac:dyDescent="0.4">
      <c r="C641" s="3"/>
    </row>
    <row r="642" spans="3:3" ht="15" thickBot="1" x14ac:dyDescent="0.4">
      <c r="C642" s="3"/>
    </row>
    <row r="643" spans="3:3" ht="15" thickBot="1" x14ac:dyDescent="0.4">
      <c r="C643" s="3"/>
    </row>
    <row r="644" spans="3:3" ht="15" thickBot="1" x14ac:dyDescent="0.4">
      <c r="C644" s="3"/>
    </row>
    <row r="645" spans="3:3" ht="15" thickBot="1" x14ac:dyDescent="0.4">
      <c r="C645" s="3"/>
    </row>
    <row r="646" spans="3:3" ht="15" thickBot="1" x14ac:dyDescent="0.4">
      <c r="C646" s="3"/>
    </row>
    <row r="647" spans="3:3" ht="15" thickBot="1" x14ac:dyDescent="0.4">
      <c r="C647" s="3"/>
    </row>
    <row r="648" spans="3:3" ht="15" thickBot="1" x14ac:dyDescent="0.4">
      <c r="C648" s="3"/>
    </row>
    <row r="649" spans="3:3" ht="15" thickBot="1" x14ac:dyDescent="0.4">
      <c r="C649" s="3"/>
    </row>
    <row r="650" spans="3:3" ht="15" thickBot="1" x14ac:dyDescent="0.4">
      <c r="C650" s="3"/>
    </row>
    <row r="651" spans="3:3" ht="15" thickBot="1" x14ac:dyDescent="0.4">
      <c r="C651" s="3"/>
    </row>
    <row r="652" spans="3:3" ht="15" thickBot="1" x14ac:dyDescent="0.4">
      <c r="C652" s="3"/>
    </row>
    <row r="653" spans="3:3" ht="15" thickBot="1" x14ac:dyDescent="0.4">
      <c r="C653" s="3"/>
    </row>
    <row r="654" spans="3:3" ht="15" thickBot="1" x14ac:dyDescent="0.4">
      <c r="C654" s="3"/>
    </row>
    <row r="655" spans="3:3" ht="15" thickBot="1" x14ac:dyDescent="0.4">
      <c r="C655" s="3"/>
    </row>
    <row r="656" spans="3:3" ht="15" thickBot="1" x14ac:dyDescent="0.4">
      <c r="C656" s="3"/>
    </row>
    <row r="657" spans="3:3" ht="15" thickBot="1" x14ac:dyDescent="0.4">
      <c r="C657" s="3"/>
    </row>
    <row r="658" spans="3:3" ht="15" thickBot="1" x14ac:dyDescent="0.4">
      <c r="C658" s="3"/>
    </row>
    <row r="659" spans="3:3" ht="15" thickBot="1" x14ac:dyDescent="0.4">
      <c r="C659" s="3"/>
    </row>
    <row r="660" spans="3:3" ht="15" thickBot="1" x14ac:dyDescent="0.4">
      <c r="C660" s="3"/>
    </row>
    <row r="661" spans="3:3" ht="15" thickBot="1" x14ac:dyDescent="0.4">
      <c r="C661" s="3"/>
    </row>
    <row r="662" spans="3:3" ht="15" thickBot="1" x14ac:dyDescent="0.4">
      <c r="C662" s="3"/>
    </row>
    <row r="663" spans="3:3" ht="15" thickBot="1" x14ac:dyDescent="0.4">
      <c r="C663" s="3"/>
    </row>
    <row r="664" spans="3:3" ht="15" thickBot="1" x14ac:dyDescent="0.4">
      <c r="C664" s="3"/>
    </row>
    <row r="665" spans="3:3" ht="15" thickBot="1" x14ac:dyDescent="0.4">
      <c r="C665" s="3"/>
    </row>
    <row r="666" spans="3:3" ht="15" thickBot="1" x14ac:dyDescent="0.4">
      <c r="C666" s="3"/>
    </row>
    <row r="667" spans="3:3" ht="15" thickBot="1" x14ac:dyDescent="0.4">
      <c r="C667" s="3"/>
    </row>
    <row r="668" spans="3:3" ht="15" thickBot="1" x14ac:dyDescent="0.4">
      <c r="C668" s="3"/>
    </row>
    <row r="669" spans="3:3" ht="15" thickBot="1" x14ac:dyDescent="0.4">
      <c r="C669" s="3"/>
    </row>
    <row r="670" spans="3:3" ht="15" thickBot="1" x14ac:dyDescent="0.4">
      <c r="C670" s="3"/>
    </row>
    <row r="671" spans="3:3" ht="15" thickBot="1" x14ac:dyDescent="0.4">
      <c r="C671" s="3"/>
    </row>
    <row r="672" spans="3:3" ht="15" thickBot="1" x14ac:dyDescent="0.4">
      <c r="C672" s="3"/>
    </row>
    <row r="673" spans="3:3" ht="15" thickBot="1" x14ac:dyDescent="0.4">
      <c r="C673" s="3"/>
    </row>
    <row r="674" spans="3:3" ht="15" thickBot="1" x14ac:dyDescent="0.4">
      <c r="C674" s="3"/>
    </row>
    <row r="675" spans="3:3" ht="15" thickBot="1" x14ac:dyDescent="0.4">
      <c r="C675" s="3"/>
    </row>
    <row r="676" spans="3:3" ht="15" thickBot="1" x14ac:dyDescent="0.4">
      <c r="C676" s="3"/>
    </row>
    <row r="677" spans="3:3" ht="15" thickBot="1" x14ac:dyDescent="0.4">
      <c r="C677" s="3"/>
    </row>
    <row r="678" spans="3:3" ht="15" thickBot="1" x14ac:dyDescent="0.4">
      <c r="C678" s="3"/>
    </row>
    <row r="679" spans="3:3" ht="15" thickBot="1" x14ac:dyDescent="0.4">
      <c r="C679" s="3"/>
    </row>
    <row r="680" spans="3:3" ht="15" thickBot="1" x14ac:dyDescent="0.4">
      <c r="C680" s="3"/>
    </row>
    <row r="681" spans="3:3" ht="15" thickBot="1" x14ac:dyDescent="0.4">
      <c r="C681" s="3"/>
    </row>
    <row r="682" spans="3:3" ht="15" thickBot="1" x14ac:dyDescent="0.4">
      <c r="C682" s="3"/>
    </row>
    <row r="683" spans="3:3" ht="15" thickBot="1" x14ac:dyDescent="0.4">
      <c r="C683" s="3"/>
    </row>
    <row r="684" spans="3:3" ht="15" thickBot="1" x14ac:dyDescent="0.4">
      <c r="C684" s="3"/>
    </row>
    <row r="685" spans="3:3" ht="15" thickBot="1" x14ac:dyDescent="0.4">
      <c r="C685" s="3"/>
    </row>
    <row r="686" spans="3:3" ht="15" thickBot="1" x14ac:dyDescent="0.4">
      <c r="C686" s="3"/>
    </row>
    <row r="687" spans="3:3" ht="15" thickBot="1" x14ac:dyDescent="0.4">
      <c r="C687" s="3"/>
    </row>
    <row r="688" spans="3:3" ht="15" thickBot="1" x14ac:dyDescent="0.4">
      <c r="C688" s="3"/>
    </row>
    <row r="689" spans="3:3" ht="15" thickBot="1" x14ac:dyDescent="0.4">
      <c r="C689" s="3"/>
    </row>
    <row r="690" spans="3:3" ht="15" thickBot="1" x14ac:dyDescent="0.4">
      <c r="C690" s="3"/>
    </row>
    <row r="691" spans="3:3" ht="15" thickBot="1" x14ac:dyDescent="0.4">
      <c r="C691" s="3"/>
    </row>
    <row r="692" spans="3:3" ht="15" thickBot="1" x14ac:dyDescent="0.4">
      <c r="C692" s="3"/>
    </row>
    <row r="693" spans="3:3" ht="15" thickBot="1" x14ac:dyDescent="0.4">
      <c r="C693" s="3"/>
    </row>
    <row r="694" spans="3:3" ht="15" thickBot="1" x14ac:dyDescent="0.4">
      <c r="C694" s="3"/>
    </row>
    <row r="695" spans="3:3" ht="15" thickBot="1" x14ac:dyDescent="0.4">
      <c r="C695" s="3"/>
    </row>
    <row r="696" spans="3:3" ht="15" thickBot="1" x14ac:dyDescent="0.4">
      <c r="C696" s="3"/>
    </row>
    <row r="697" spans="3:3" ht="15" thickBot="1" x14ac:dyDescent="0.4">
      <c r="C697" s="3"/>
    </row>
    <row r="698" spans="3:3" ht="15" thickBot="1" x14ac:dyDescent="0.4">
      <c r="C698" s="3"/>
    </row>
    <row r="699" spans="3:3" ht="15" thickBot="1" x14ac:dyDescent="0.4">
      <c r="C699" s="3"/>
    </row>
    <row r="700" spans="3:3" ht="15" thickBot="1" x14ac:dyDescent="0.4">
      <c r="C700" s="3"/>
    </row>
    <row r="701" spans="3:3" ht="15" thickBot="1" x14ac:dyDescent="0.4">
      <c r="C701" s="3"/>
    </row>
    <row r="702" spans="3:3" ht="15" thickBot="1" x14ac:dyDescent="0.4">
      <c r="C702" s="3"/>
    </row>
    <row r="703" spans="3:3" ht="15" thickBot="1" x14ac:dyDescent="0.4">
      <c r="C703" s="3"/>
    </row>
    <row r="704" spans="3:3" ht="15" thickBot="1" x14ac:dyDescent="0.4">
      <c r="C704" s="3"/>
    </row>
    <row r="705" spans="3:3" ht="15" thickBot="1" x14ac:dyDescent="0.4">
      <c r="C705" s="3"/>
    </row>
    <row r="706" spans="3:3" ht="15" thickBot="1" x14ac:dyDescent="0.4">
      <c r="C706" s="3"/>
    </row>
    <row r="707" spans="3:3" ht="15" thickBot="1" x14ac:dyDescent="0.4">
      <c r="C707" s="3"/>
    </row>
    <row r="708" spans="3:3" ht="15" thickBot="1" x14ac:dyDescent="0.4">
      <c r="C708" s="3"/>
    </row>
    <row r="709" spans="3:3" ht="15" thickBot="1" x14ac:dyDescent="0.4">
      <c r="C709" s="3"/>
    </row>
    <row r="710" spans="3:3" ht="15" thickBot="1" x14ac:dyDescent="0.4">
      <c r="C710" s="3"/>
    </row>
    <row r="711" spans="3:3" ht="15" thickBot="1" x14ac:dyDescent="0.4">
      <c r="C711" s="3"/>
    </row>
    <row r="712" spans="3:3" ht="15" thickBot="1" x14ac:dyDescent="0.4">
      <c r="C712" s="3"/>
    </row>
    <row r="713" spans="3:3" ht="15" thickBot="1" x14ac:dyDescent="0.4">
      <c r="C713" s="3"/>
    </row>
    <row r="714" spans="3:3" ht="15" thickBot="1" x14ac:dyDescent="0.4">
      <c r="C714" s="3"/>
    </row>
    <row r="715" spans="3:3" ht="15" thickBot="1" x14ac:dyDescent="0.4">
      <c r="C715" s="3"/>
    </row>
    <row r="716" spans="3:3" ht="15" thickBot="1" x14ac:dyDescent="0.4">
      <c r="C716" s="3"/>
    </row>
    <row r="717" spans="3:3" ht="15" thickBot="1" x14ac:dyDescent="0.4">
      <c r="C717" s="3"/>
    </row>
    <row r="718" spans="3:3" ht="15" thickBot="1" x14ac:dyDescent="0.4">
      <c r="C718" s="3"/>
    </row>
    <row r="719" spans="3:3" ht="15" thickBot="1" x14ac:dyDescent="0.4">
      <c r="C719" s="3"/>
    </row>
    <row r="720" spans="3:3" ht="15" thickBot="1" x14ac:dyDescent="0.4">
      <c r="C720" s="3"/>
    </row>
    <row r="721" spans="3:3" ht="15" thickBot="1" x14ac:dyDescent="0.4">
      <c r="C721" s="3"/>
    </row>
    <row r="722" spans="3:3" ht="15" thickBot="1" x14ac:dyDescent="0.4">
      <c r="C722" s="3"/>
    </row>
    <row r="723" spans="3:3" ht="15" thickBot="1" x14ac:dyDescent="0.4">
      <c r="C723" s="3"/>
    </row>
    <row r="724" spans="3:3" ht="15" thickBot="1" x14ac:dyDescent="0.4">
      <c r="C724" s="3"/>
    </row>
    <row r="725" spans="3:3" ht="15" thickBot="1" x14ac:dyDescent="0.4">
      <c r="C725" s="3"/>
    </row>
    <row r="726" spans="3:3" ht="15" thickBot="1" x14ac:dyDescent="0.4">
      <c r="C726" s="3"/>
    </row>
    <row r="727" spans="3:3" ht="15" thickBot="1" x14ac:dyDescent="0.4">
      <c r="C727" s="3"/>
    </row>
    <row r="728" spans="3:3" ht="15" thickBot="1" x14ac:dyDescent="0.4">
      <c r="C728" s="3"/>
    </row>
    <row r="729" spans="3:3" ht="15" thickBot="1" x14ac:dyDescent="0.4">
      <c r="C729" s="3"/>
    </row>
    <row r="730" spans="3:3" ht="15" thickBot="1" x14ac:dyDescent="0.4">
      <c r="C730" s="3"/>
    </row>
    <row r="731" spans="3:3" ht="15" thickBot="1" x14ac:dyDescent="0.4">
      <c r="C731" s="3"/>
    </row>
    <row r="732" spans="3:3" ht="15" thickBot="1" x14ac:dyDescent="0.4">
      <c r="C732" s="3"/>
    </row>
    <row r="733" spans="3:3" ht="15" thickBot="1" x14ac:dyDescent="0.4">
      <c r="C733" s="3"/>
    </row>
    <row r="734" spans="3:3" ht="15" thickBot="1" x14ac:dyDescent="0.4">
      <c r="C734" s="3"/>
    </row>
    <row r="735" spans="3:3" ht="15" thickBot="1" x14ac:dyDescent="0.4">
      <c r="C735" s="3"/>
    </row>
    <row r="736" spans="3:3" ht="15" thickBot="1" x14ac:dyDescent="0.4">
      <c r="C736" s="3"/>
    </row>
    <row r="737" spans="3:3" ht="15" thickBot="1" x14ac:dyDescent="0.4">
      <c r="C737" s="3"/>
    </row>
    <row r="738" spans="3:3" ht="15" thickBot="1" x14ac:dyDescent="0.4">
      <c r="C738" s="3"/>
    </row>
    <row r="739" spans="3:3" ht="15" thickBot="1" x14ac:dyDescent="0.4">
      <c r="C739" s="3"/>
    </row>
    <row r="740" spans="3:3" ht="15" thickBot="1" x14ac:dyDescent="0.4">
      <c r="C740" s="3"/>
    </row>
    <row r="741" spans="3:3" ht="15" thickBot="1" x14ac:dyDescent="0.4">
      <c r="C741" s="3"/>
    </row>
    <row r="742" spans="3:3" ht="15" thickBot="1" x14ac:dyDescent="0.4">
      <c r="C742" s="3"/>
    </row>
    <row r="743" spans="3:3" ht="15" thickBot="1" x14ac:dyDescent="0.4">
      <c r="C743" s="3"/>
    </row>
    <row r="744" spans="3:3" ht="15" thickBot="1" x14ac:dyDescent="0.4">
      <c r="C744" s="3"/>
    </row>
    <row r="745" spans="3:3" ht="15" thickBot="1" x14ac:dyDescent="0.4">
      <c r="C745" s="3"/>
    </row>
    <row r="746" spans="3:3" ht="15" thickBot="1" x14ac:dyDescent="0.4">
      <c r="C746" s="3"/>
    </row>
    <row r="747" spans="3:3" ht="15" thickBot="1" x14ac:dyDescent="0.4">
      <c r="C747" s="3"/>
    </row>
    <row r="748" spans="3:3" ht="15" thickBot="1" x14ac:dyDescent="0.4">
      <c r="C748" s="3"/>
    </row>
    <row r="749" spans="3:3" ht="15" thickBot="1" x14ac:dyDescent="0.4">
      <c r="C749" s="3"/>
    </row>
    <row r="750" spans="3:3" ht="15" thickBot="1" x14ac:dyDescent="0.4">
      <c r="C750" s="3"/>
    </row>
    <row r="751" spans="3:3" ht="15" thickBot="1" x14ac:dyDescent="0.4">
      <c r="C751" s="3"/>
    </row>
    <row r="752" spans="3:3" ht="15" thickBot="1" x14ac:dyDescent="0.4">
      <c r="C752" s="3"/>
    </row>
    <row r="753" spans="3:3" ht="15" thickBot="1" x14ac:dyDescent="0.4">
      <c r="C753" s="3"/>
    </row>
    <row r="754" spans="3:3" ht="15" thickBot="1" x14ac:dyDescent="0.4">
      <c r="C754" s="3"/>
    </row>
    <row r="755" spans="3:3" ht="15" thickBot="1" x14ac:dyDescent="0.4">
      <c r="C755" s="3"/>
    </row>
    <row r="756" spans="3:3" ht="15" thickBot="1" x14ac:dyDescent="0.4">
      <c r="C756" s="3"/>
    </row>
    <row r="757" spans="3:3" ht="15" thickBot="1" x14ac:dyDescent="0.4">
      <c r="C757" s="3"/>
    </row>
    <row r="758" spans="3:3" ht="15" thickBot="1" x14ac:dyDescent="0.4">
      <c r="C758" s="3"/>
    </row>
    <row r="759" spans="3:3" ht="15" thickBot="1" x14ac:dyDescent="0.4">
      <c r="C759" s="3"/>
    </row>
    <row r="760" spans="3:3" ht="15" thickBot="1" x14ac:dyDescent="0.4">
      <c r="C760" s="3"/>
    </row>
    <row r="761" spans="3:3" ht="15" thickBot="1" x14ac:dyDescent="0.4">
      <c r="C761" s="3"/>
    </row>
    <row r="762" spans="3:3" ht="15" thickBot="1" x14ac:dyDescent="0.4">
      <c r="C762" s="3"/>
    </row>
    <row r="763" spans="3:3" ht="15" thickBot="1" x14ac:dyDescent="0.4">
      <c r="C763" s="3"/>
    </row>
    <row r="764" spans="3:3" ht="15" thickBot="1" x14ac:dyDescent="0.4">
      <c r="C764" s="3"/>
    </row>
    <row r="765" spans="3:3" ht="15" thickBot="1" x14ac:dyDescent="0.4">
      <c r="C765" s="3"/>
    </row>
    <row r="766" spans="3:3" ht="15" thickBot="1" x14ac:dyDescent="0.4">
      <c r="C766" s="3"/>
    </row>
    <row r="767" spans="3:3" ht="15" thickBot="1" x14ac:dyDescent="0.4">
      <c r="C767" s="3"/>
    </row>
    <row r="768" spans="3:3" ht="15" thickBot="1" x14ac:dyDescent="0.4">
      <c r="C768" s="3"/>
    </row>
    <row r="769" spans="3:3" ht="15" thickBot="1" x14ac:dyDescent="0.4">
      <c r="C769" s="3"/>
    </row>
    <row r="770" spans="3:3" ht="15" thickBot="1" x14ac:dyDescent="0.4">
      <c r="C770" s="3"/>
    </row>
    <row r="771" spans="3:3" ht="15" thickBot="1" x14ac:dyDescent="0.4">
      <c r="C771" s="3"/>
    </row>
    <row r="772" spans="3:3" ht="15" thickBot="1" x14ac:dyDescent="0.4">
      <c r="C772" s="3"/>
    </row>
    <row r="773" spans="3:3" ht="15" thickBot="1" x14ac:dyDescent="0.4">
      <c r="C773" s="3"/>
    </row>
    <row r="774" spans="3:3" ht="15" thickBot="1" x14ac:dyDescent="0.4">
      <c r="C774" s="3"/>
    </row>
    <row r="775" spans="3:3" ht="15" thickBot="1" x14ac:dyDescent="0.4">
      <c r="C775" s="3"/>
    </row>
    <row r="776" spans="3:3" ht="15" thickBot="1" x14ac:dyDescent="0.4">
      <c r="C776" s="3"/>
    </row>
    <row r="777" spans="3:3" ht="15" thickBot="1" x14ac:dyDescent="0.4">
      <c r="C777" s="3"/>
    </row>
    <row r="778" spans="3:3" ht="15" thickBot="1" x14ac:dyDescent="0.4">
      <c r="C778" s="3"/>
    </row>
    <row r="779" spans="3:3" ht="15" thickBot="1" x14ac:dyDescent="0.4">
      <c r="C779" s="3"/>
    </row>
    <row r="780" spans="3:3" ht="15" thickBot="1" x14ac:dyDescent="0.4">
      <c r="C780" s="3"/>
    </row>
    <row r="781" spans="3:3" ht="15" thickBot="1" x14ac:dyDescent="0.4">
      <c r="C781" s="3"/>
    </row>
    <row r="782" spans="3:3" ht="15" thickBot="1" x14ac:dyDescent="0.4">
      <c r="C782" s="3"/>
    </row>
    <row r="783" spans="3:3" ht="15" thickBot="1" x14ac:dyDescent="0.4">
      <c r="C783" s="3"/>
    </row>
    <row r="784" spans="3:3" ht="15" thickBot="1" x14ac:dyDescent="0.4">
      <c r="C784" s="3"/>
    </row>
    <row r="785" spans="3:3" ht="15" thickBot="1" x14ac:dyDescent="0.4">
      <c r="C785" s="3"/>
    </row>
    <row r="786" spans="3:3" ht="15" thickBot="1" x14ac:dyDescent="0.4">
      <c r="C786" s="3"/>
    </row>
    <row r="787" spans="3:3" ht="15" thickBot="1" x14ac:dyDescent="0.4">
      <c r="C787" s="3"/>
    </row>
    <row r="788" spans="3:3" ht="15" thickBot="1" x14ac:dyDescent="0.4">
      <c r="C788" s="3"/>
    </row>
    <row r="789" spans="3:3" ht="15" thickBot="1" x14ac:dyDescent="0.4">
      <c r="C789" s="3"/>
    </row>
    <row r="790" spans="3:3" ht="15" thickBot="1" x14ac:dyDescent="0.4">
      <c r="C790" s="3"/>
    </row>
    <row r="791" spans="3:3" ht="15" thickBot="1" x14ac:dyDescent="0.4">
      <c r="C791" s="3"/>
    </row>
    <row r="792" spans="3:3" ht="15" thickBot="1" x14ac:dyDescent="0.4">
      <c r="C792" s="3"/>
    </row>
    <row r="793" spans="3:3" ht="15" thickBot="1" x14ac:dyDescent="0.4">
      <c r="C793" s="3"/>
    </row>
    <row r="794" spans="3:3" ht="15" thickBot="1" x14ac:dyDescent="0.4">
      <c r="C794" s="3"/>
    </row>
    <row r="795" spans="3:3" ht="15" thickBot="1" x14ac:dyDescent="0.4">
      <c r="C795" s="3"/>
    </row>
    <row r="796" spans="3:3" ht="15" thickBot="1" x14ac:dyDescent="0.4">
      <c r="C796" s="3"/>
    </row>
    <row r="797" spans="3:3" ht="15" thickBot="1" x14ac:dyDescent="0.4">
      <c r="C797" s="3"/>
    </row>
    <row r="798" spans="3:3" ht="15" thickBot="1" x14ac:dyDescent="0.4">
      <c r="C798" s="3"/>
    </row>
    <row r="799" spans="3:3" ht="15" thickBot="1" x14ac:dyDescent="0.4">
      <c r="C799" s="3"/>
    </row>
    <row r="800" spans="3:3" ht="15" thickBot="1" x14ac:dyDescent="0.4">
      <c r="C800" s="3"/>
    </row>
    <row r="801" spans="3:3" ht="15" thickBot="1" x14ac:dyDescent="0.4">
      <c r="C801" s="3"/>
    </row>
    <row r="802" spans="3:3" ht="15" thickBot="1" x14ac:dyDescent="0.4">
      <c r="C802" s="3"/>
    </row>
    <row r="803" spans="3:3" ht="15" thickBot="1" x14ac:dyDescent="0.4">
      <c r="C803" s="3"/>
    </row>
    <row r="804" spans="3:3" ht="15" thickBot="1" x14ac:dyDescent="0.4">
      <c r="C804" s="3"/>
    </row>
    <row r="805" spans="3:3" ht="15" thickBot="1" x14ac:dyDescent="0.4">
      <c r="C805" s="3"/>
    </row>
    <row r="806" spans="3:3" ht="15" thickBot="1" x14ac:dyDescent="0.4">
      <c r="C806" s="3"/>
    </row>
    <row r="807" spans="3:3" ht="15" thickBot="1" x14ac:dyDescent="0.4">
      <c r="C807" s="3"/>
    </row>
    <row r="808" spans="3:3" ht="15" thickBot="1" x14ac:dyDescent="0.4">
      <c r="C808" s="3"/>
    </row>
    <row r="809" spans="3:3" ht="15" thickBot="1" x14ac:dyDescent="0.4">
      <c r="C809" s="3"/>
    </row>
    <row r="810" spans="3:3" ht="15" thickBot="1" x14ac:dyDescent="0.4">
      <c r="C810" s="3"/>
    </row>
    <row r="811" spans="3:3" ht="15" thickBot="1" x14ac:dyDescent="0.4">
      <c r="C811" s="3"/>
    </row>
    <row r="812" spans="3:3" ht="15" thickBot="1" x14ac:dyDescent="0.4">
      <c r="C812" s="3"/>
    </row>
    <row r="813" spans="3:3" ht="15" thickBot="1" x14ac:dyDescent="0.4">
      <c r="C813" s="3"/>
    </row>
    <row r="814" spans="3:3" ht="15" thickBot="1" x14ac:dyDescent="0.4">
      <c r="C814" s="3"/>
    </row>
    <row r="815" spans="3:3" ht="15" thickBot="1" x14ac:dyDescent="0.4">
      <c r="C815" s="3"/>
    </row>
    <row r="816" spans="3:3" ht="15" thickBot="1" x14ac:dyDescent="0.4">
      <c r="C816" s="3"/>
    </row>
    <row r="817" spans="3:3" ht="15" thickBot="1" x14ac:dyDescent="0.4">
      <c r="C817" s="3"/>
    </row>
    <row r="818" spans="3:3" ht="15" thickBot="1" x14ac:dyDescent="0.4">
      <c r="C818" s="3"/>
    </row>
    <row r="819" spans="3:3" ht="15" thickBot="1" x14ac:dyDescent="0.4">
      <c r="C819" s="3"/>
    </row>
    <row r="820" spans="3:3" ht="15" thickBot="1" x14ac:dyDescent="0.4">
      <c r="C820" s="3"/>
    </row>
    <row r="821" spans="3:3" ht="15" thickBot="1" x14ac:dyDescent="0.4">
      <c r="C821" s="3"/>
    </row>
    <row r="822" spans="3:3" ht="15" thickBot="1" x14ac:dyDescent="0.4">
      <c r="C822" s="3"/>
    </row>
    <row r="823" spans="3:3" ht="15" thickBot="1" x14ac:dyDescent="0.4">
      <c r="C823" s="3"/>
    </row>
    <row r="824" spans="3:3" ht="15" thickBot="1" x14ac:dyDescent="0.4">
      <c r="C824" s="3"/>
    </row>
    <row r="825" spans="3:3" ht="15" thickBot="1" x14ac:dyDescent="0.4">
      <c r="C825" s="3"/>
    </row>
    <row r="826" spans="3:3" ht="15" thickBot="1" x14ac:dyDescent="0.4">
      <c r="C826" s="3"/>
    </row>
    <row r="827" spans="3:3" ht="15" thickBot="1" x14ac:dyDescent="0.4">
      <c r="C827" s="3"/>
    </row>
    <row r="828" spans="3:3" ht="15" thickBot="1" x14ac:dyDescent="0.4">
      <c r="C828" s="3"/>
    </row>
    <row r="829" spans="3:3" ht="15" thickBot="1" x14ac:dyDescent="0.4">
      <c r="C829" s="3"/>
    </row>
    <row r="830" spans="3:3" ht="15" thickBot="1" x14ac:dyDescent="0.4">
      <c r="C830" s="3"/>
    </row>
    <row r="831" spans="3:3" ht="15" thickBot="1" x14ac:dyDescent="0.4">
      <c r="C831" s="3"/>
    </row>
    <row r="832" spans="3:3" ht="15" thickBot="1" x14ac:dyDescent="0.4">
      <c r="C832" s="3"/>
    </row>
    <row r="833" spans="3:3" ht="15" thickBot="1" x14ac:dyDescent="0.4">
      <c r="C833" s="3"/>
    </row>
    <row r="834" spans="3:3" ht="15" thickBot="1" x14ac:dyDescent="0.4">
      <c r="C834" s="3"/>
    </row>
    <row r="835" spans="3:3" ht="15" thickBot="1" x14ac:dyDescent="0.4">
      <c r="C835" s="3"/>
    </row>
    <row r="836" spans="3:3" ht="15" thickBot="1" x14ac:dyDescent="0.4">
      <c r="C836" s="3"/>
    </row>
    <row r="837" spans="3:3" ht="15" thickBot="1" x14ac:dyDescent="0.4">
      <c r="C837" s="3"/>
    </row>
    <row r="838" spans="3:3" ht="15" thickBot="1" x14ac:dyDescent="0.4">
      <c r="C838" s="3"/>
    </row>
    <row r="839" spans="3:3" ht="15" thickBot="1" x14ac:dyDescent="0.4">
      <c r="C839" s="3"/>
    </row>
    <row r="840" spans="3:3" ht="15" thickBot="1" x14ac:dyDescent="0.4">
      <c r="C840" s="3"/>
    </row>
    <row r="841" spans="3:3" ht="15" thickBot="1" x14ac:dyDescent="0.4">
      <c r="C841" s="3"/>
    </row>
    <row r="842" spans="3:3" ht="15" thickBot="1" x14ac:dyDescent="0.4">
      <c r="C842" s="3"/>
    </row>
    <row r="843" spans="3:3" ht="15" thickBot="1" x14ac:dyDescent="0.4">
      <c r="C843" s="3"/>
    </row>
    <row r="844" spans="3:3" ht="15" thickBot="1" x14ac:dyDescent="0.4">
      <c r="C844" s="3"/>
    </row>
    <row r="845" spans="3:3" ht="15" thickBot="1" x14ac:dyDescent="0.4">
      <c r="C845" s="3"/>
    </row>
    <row r="846" spans="3:3" ht="15" thickBot="1" x14ac:dyDescent="0.4">
      <c r="C846" s="3"/>
    </row>
    <row r="847" spans="3:3" ht="15" thickBot="1" x14ac:dyDescent="0.4">
      <c r="C847" s="3"/>
    </row>
    <row r="848" spans="3:3" ht="15" thickBot="1" x14ac:dyDescent="0.4">
      <c r="C848" s="3"/>
    </row>
    <row r="849" spans="3:3" ht="15" thickBot="1" x14ac:dyDescent="0.4">
      <c r="C849" s="3"/>
    </row>
    <row r="850" spans="3:3" ht="15" thickBot="1" x14ac:dyDescent="0.4">
      <c r="C850" s="3"/>
    </row>
    <row r="851" spans="3:3" ht="15" thickBot="1" x14ac:dyDescent="0.4">
      <c r="C851" s="3"/>
    </row>
    <row r="852" spans="3:3" ht="15" thickBot="1" x14ac:dyDescent="0.4">
      <c r="C852" s="3"/>
    </row>
    <row r="853" spans="3:3" ht="15" thickBot="1" x14ac:dyDescent="0.4">
      <c r="C853" s="3"/>
    </row>
    <row r="854" spans="3:3" ht="15" thickBot="1" x14ac:dyDescent="0.4">
      <c r="C854" s="3"/>
    </row>
    <row r="855" spans="3:3" ht="15" thickBot="1" x14ac:dyDescent="0.4">
      <c r="C855" s="3"/>
    </row>
    <row r="856" spans="3:3" ht="15" thickBot="1" x14ac:dyDescent="0.4">
      <c r="C856" s="3"/>
    </row>
    <row r="857" spans="3:3" ht="15" thickBot="1" x14ac:dyDescent="0.4">
      <c r="C857" s="3"/>
    </row>
    <row r="858" spans="3:3" ht="15" thickBot="1" x14ac:dyDescent="0.4">
      <c r="C858" s="3"/>
    </row>
    <row r="859" spans="3:3" ht="15" thickBot="1" x14ac:dyDescent="0.4">
      <c r="C859" s="3"/>
    </row>
    <row r="860" spans="3:3" ht="15" thickBot="1" x14ac:dyDescent="0.4">
      <c r="C860" s="3"/>
    </row>
    <row r="861" spans="3:3" ht="15" thickBot="1" x14ac:dyDescent="0.4">
      <c r="C861" s="3"/>
    </row>
    <row r="862" spans="3:3" ht="15" thickBot="1" x14ac:dyDescent="0.4">
      <c r="C862" s="3"/>
    </row>
    <row r="863" spans="3:3" ht="15" thickBot="1" x14ac:dyDescent="0.4">
      <c r="C863" s="3"/>
    </row>
    <row r="864" spans="3:3" ht="15" thickBot="1" x14ac:dyDescent="0.4">
      <c r="C864" s="3"/>
    </row>
    <row r="865" spans="3:3" ht="15" thickBot="1" x14ac:dyDescent="0.4">
      <c r="C865" s="3"/>
    </row>
    <row r="866" spans="3:3" ht="15" thickBot="1" x14ac:dyDescent="0.4">
      <c r="C866" s="3"/>
    </row>
    <row r="867" spans="3:3" ht="15" thickBot="1" x14ac:dyDescent="0.4">
      <c r="C867" s="3"/>
    </row>
    <row r="868" spans="3:3" ht="15" thickBot="1" x14ac:dyDescent="0.4">
      <c r="C868" s="3"/>
    </row>
    <row r="869" spans="3:3" ht="15" thickBot="1" x14ac:dyDescent="0.4">
      <c r="C869" s="3"/>
    </row>
    <row r="870" spans="3:3" ht="15" thickBot="1" x14ac:dyDescent="0.4">
      <c r="C870" s="3"/>
    </row>
    <row r="871" spans="3:3" ht="15" thickBot="1" x14ac:dyDescent="0.4">
      <c r="C871" s="3"/>
    </row>
    <row r="872" spans="3:3" ht="15" thickBot="1" x14ac:dyDescent="0.4">
      <c r="C872" s="3"/>
    </row>
    <row r="873" spans="3:3" ht="15" thickBot="1" x14ac:dyDescent="0.4">
      <c r="C873" s="3"/>
    </row>
    <row r="874" spans="3:3" ht="15" thickBot="1" x14ac:dyDescent="0.4">
      <c r="C874" s="3"/>
    </row>
    <row r="875" spans="3:3" ht="15" thickBot="1" x14ac:dyDescent="0.4">
      <c r="C875" s="3"/>
    </row>
    <row r="876" spans="3:3" ht="15" thickBot="1" x14ac:dyDescent="0.4">
      <c r="C876" s="3"/>
    </row>
    <row r="877" spans="3:3" ht="15" thickBot="1" x14ac:dyDescent="0.4">
      <c r="C877" s="3"/>
    </row>
    <row r="878" spans="3:3" ht="15" thickBot="1" x14ac:dyDescent="0.4">
      <c r="C878" s="3"/>
    </row>
    <row r="879" spans="3:3" ht="15" thickBot="1" x14ac:dyDescent="0.4">
      <c r="C879" s="3"/>
    </row>
    <row r="880" spans="3:3" ht="15" thickBot="1" x14ac:dyDescent="0.4">
      <c r="C880" s="3"/>
    </row>
    <row r="881" spans="3:3" ht="15" thickBot="1" x14ac:dyDescent="0.4">
      <c r="C881" s="3"/>
    </row>
    <row r="882" spans="3:3" ht="15" thickBot="1" x14ac:dyDescent="0.4">
      <c r="C882" s="3"/>
    </row>
    <row r="883" spans="3:3" ht="15" thickBot="1" x14ac:dyDescent="0.4">
      <c r="C883" s="3"/>
    </row>
    <row r="884" spans="3:3" ht="15" thickBot="1" x14ac:dyDescent="0.4">
      <c r="C884" s="3"/>
    </row>
    <row r="885" spans="3:3" ht="15" thickBot="1" x14ac:dyDescent="0.4">
      <c r="C885" s="3"/>
    </row>
    <row r="886" spans="3:3" ht="15" thickBot="1" x14ac:dyDescent="0.4">
      <c r="C886" s="3"/>
    </row>
    <row r="887" spans="3:3" ht="15" thickBot="1" x14ac:dyDescent="0.4">
      <c r="C887" s="3"/>
    </row>
    <row r="888" spans="3:3" ht="15" thickBot="1" x14ac:dyDescent="0.4">
      <c r="C888" s="3"/>
    </row>
    <row r="889" spans="3:3" ht="15" thickBot="1" x14ac:dyDescent="0.4">
      <c r="C889" s="3"/>
    </row>
    <row r="890" spans="3:3" ht="15" thickBot="1" x14ac:dyDescent="0.4">
      <c r="C890" s="3"/>
    </row>
    <row r="891" spans="3:3" ht="15" thickBot="1" x14ac:dyDescent="0.4">
      <c r="C891" s="3"/>
    </row>
    <row r="892" spans="3:3" ht="15" thickBot="1" x14ac:dyDescent="0.4">
      <c r="C892" s="3"/>
    </row>
    <row r="893" spans="3:3" ht="15" thickBot="1" x14ac:dyDescent="0.4">
      <c r="C893" s="3"/>
    </row>
    <row r="894" spans="3:3" ht="15" thickBot="1" x14ac:dyDescent="0.4">
      <c r="C894" s="3"/>
    </row>
    <row r="895" spans="3:3" ht="15" thickBot="1" x14ac:dyDescent="0.4">
      <c r="C895" s="3"/>
    </row>
    <row r="896" spans="3:3" ht="15" thickBot="1" x14ac:dyDescent="0.4">
      <c r="C896" s="3"/>
    </row>
    <row r="897" spans="3:3" ht="15" thickBot="1" x14ac:dyDescent="0.4">
      <c r="C897" s="3"/>
    </row>
    <row r="898" spans="3:3" ht="15" thickBot="1" x14ac:dyDescent="0.4">
      <c r="C898" s="3"/>
    </row>
    <row r="899" spans="3:3" ht="15" thickBot="1" x14ac:dyDescent="0.4">
      <c r="C899" s="3"/>
    </row>
    <row r="900" spans="3:3" ht="15" thickBot="1" x14ac:dyDescent="0.4">
      <c r="C900" s="3"/>
    </row>
    <row r="901" spans="3:3" ht="15" thickBot="1" x14ac:dyDescent="0.4">
      <c r="C901" s="3"/>
    </row>
    <row r="902" spans="3:3" ht="15" thickBot="1" x14ac:dyDescent="0.4">
      <c r="C902" s="3"/>
    </row>
    <row r="903" spans="3:3" ht="15" thickBot="1" x14ac:dyDescent="0.4">
      <c r="C903" s="3"/>
    </row>
    <row r="904" spans="3:3" ht="15" thickBot="1" x14ac:dyDescent="0.4">
      <c r="C904" s="3"/>
    </row>
    <row r="905" spans="3:3" ht="15" thickBot="1" x14ac:dyDescent="0.4">
      <c r="C905" s="3"/>
    </row>
    <row r="906" spans="3:3" ht="15" thickBot="1" x14ac:dyDescent="0.4">
      <c r="C906" s="3"/>
    </row>
    <row r="907" spans="3:3" ht="15" thickBot="1" x14ac:dyDescent="0.4">
      <c r="C907" s="3"/>
    </row>
    <row r="908" spans="3:3" ht="15" thickBot="1" x14ac:dyDescent="0.4">
      <c r="C908" s="3"/>
    </row>
    <row r="909" spans="3:3" ht="15" thickBot="1" x14ac:dyDescent="0.4">
      <c r="C909" s="3"/>
    </row>
    <row r="910" spans="3:3" ht="15" thickBot="1" x14ac:dyDescent="0.4">
      <c r="C910" s="3"/>
    </row>
    <row r="911" spans="3:3" ht="15" thickBot="1" x14ac:dyDescent="0.4">
      <c r="C911" s="3"/>
    </row>
    <row r="912" spans="3:3" ht="15" thickBot="1" x14ac:dyDescent="0.4">
      <c r="C912" s="3"/>
    </row>
    <row r="913" spans="3:3" ht="15" thickBot="1" x14ac:dyDescent="0.4">
      <c r="C913" s="3"/>
    </row>
    <row r="914" spans="3:3" ht="15" thickBot="1" x14ac:dyDescent="0.4">
      <c r="C914" s="3"/>
    </row>
    <row r="915" spans="3:3" ht="15" thickBot="1" x14ac:dyDescent="0.4">
      <c r="C915" s="3"/>
    </row>
    <row r="916" spans="3:3" ht="15" thickBot="1" x14ac:dyDescent="0.4">
      <c r="C916" s="3"/>
    </row>
    <row r="917" spans="3:3" ht="15" thickBot="1" x14ac:dyDescent="0.4">
      <c r="C917" s="3"/>
    </row>
    <row r="918" spans="3:3" ht="15" thickBot="1" x14ac:dyDescent="0.4">
      <c r="C918" s="3"/>
    </row>
    <row r="919" spans="3:3" ht="15" thickBot="1" x14ac:dyDescent="0.4">
      <c r="C919" s="3"/>
    </row>
    <row r="920" spans="3:3" ht="15" thickBot="1" x14ac:dyDescent="0.4">
      <c r="C920" s="3"/>
    </row>
    <row r="921" spans="3:3" ht="15" thickBot="1" x14ac:dyDescent="0.4">
      <c r="C921" s="3"/>
    </row>
    <row r="922" spans="3:3" ht="15" thickBot="1" x14ac:dyDescent="0.4">
      <c r="C922" s="3"/>
    </row>
    <row r="923" spans="3:3" ht="15" thickBot="1" x14ac:dyDescent="0.4">
      <c r="C923" s="3"/>
    </row>
    <row r="924" spans="3:3" ht="15" thickBot="1" x14ac:dyDescent="0.4">
      <c r="C924" s="3"/>
    </row>
    <row r="925" spans="3:3" ht="15" thickBot="1" x14ac:dyDescent="0.4">
      <c r="C925" s="3"/>
    </row>
    <row r="926" spans="3:3" ht="15" thickBot="1" x14ac:dyDescent="0.4">
      <c r="C926" s="3"/>
    </row>
    <row r="927" spans="3:3" ht="15" thickBot="1" x14ac:dyDescent="0.4">
      <c r="C927" s="3"/>
    </row>
    <row r="928" spans="3:3" ht="15" thickBot="1" x14ac:dyDescent="0.4">
      <c r="C928" s="3"/>
    </row>
    <row r="929" spans="3:3" ht="15" thickBot="1" x14ac:dyDescent="0.4">
      <c r="C929" s="3"/>
    </row>
    <row r="930" spans="3:3" ht="15" thickBot="1" x14ac:dyDescent="0.4">
      <c r="C930" s="3"/>
    </row>
    <row r="931" spans="3:3" ht="15" thickBot="1" x14ac:dyDescent="0.4">
      <c r="C931" s="3"/>
    </row>
    <row r="932" spans="3:3" ht="15" thickBot="1" x14ac:dyDescent="0.4">
      <c r="C932" s="3"/>
    </row>
    <row r="933" spans="3:3" ht="15" thickBot="1" x14ac:dyDescent="0.4">
      <c r="C933" s="3"/>
    </row>
    <row r="934" spans="3:3" ht="15" thickBot="1" x14ac:dyDescent="0.4">
      <c r="C934" s="3"/>
    </row>
    <row r="935" spans="3:3" ht="15" thickBot="1" x14ac:dyDescent="0.4">
      <c r="C935" s="3"/>
    </row>
    <row r="936" spans="3:3" ht="15" thickBot="1" x14ac:dyDescent="0.4">
      <c r="C936" s="3"/>
    </row>
    <row r="937" spans="3:3" ht="15" thickBot="1" x14ac:dyDescent="0.4">
      <c r="C937" s="3"/>
    </row>
    <row r="938" spans="3:3" ht="15" thickBot="1" x14ac:dyDescent="0.4">
      <c r="C938" s="3"/>
    </row>
    <row r="939" spans="3:3" ht="15" thickBot="1" x14ac:dyDescent="0.4">
      <c r="C939" s="3"/>
    </row>
    <row r="940" spans="3:3" ht="15" thickBot="1" x14ac:dyDescent="0.4">
      <c r="C940" s="3"/>
    </row>
    <row r="941" spans="3:3" ht="15" thickBot="1" x14ac:dyDescent="0.4">
      <c r="C941" s="3"/>
    </row>
    <row r="942" spans="3:3" ht="15" thickBot="1" x14ac:dyDescent="0.4">
      <c r="C942" s="3"/>
    </row>
    <row r="943" spans="3:3" ht="15" thickBot="1" x14ac:dyDescent="0.4">
      <c r="C943" s="3"/>
    </row>
    <row r="944" spans="3:3" ht="15" thickBot="1" x14ac:dyDescent="0.4">
      <c r="C944" s="3"/>
    </row>
    <row r="945" spans="3:3" ht="15" thickBot="1" x14ac:dyDescent="0.4">
      <c r="C945" s="3"/>
    </row>
    <row r="946" spans="3:3" ht="15" thickBot="1" x14ac:dyDescent="0.4">
      <c r="C946" s="3"/>
    </row>
    <row r="947" spans="3:3" ht="15" thickBot="1" x14ac:dyDescent="0.4">
      <c r="C947" s="3"/>
    </row>
    <row r="948" spans="3:3" ht="15" thickBot="1" x14ac:dyDescent="0.4">
      <c r="C948" s="3"/>
    </row>
    <row r="949" spans="3:3" ht="15" thickBot="1" x14ac:dyDescent="0.4">
      <c r="C949" s="3"/>
    </row>
    <row r="950" spans="3:3" ht="15" thickBot="1" x14ac:dyDescent="0.4">
      <c r="C950" s="3"/>
    </row>
    <row r="951" spans="3:3" ht="15" thickBot="1" x14ac:dyDescent="0.4">
      <c r="C951" s="3"/>
    </row>
    <row r="952" spans="3:3" ht="15" thickBot="1" x14ac:dyDescent="0.4">
      <c r="C952" s="3"/>
    </row>
    <row r="953" spans="3:3" ht="15" thickBot="1" x14ac:dyDescent="0.4">
      <c r="C953" s="3"/>
    </row>
    <row r="954" spans="3:3" ht="15" thickBot="1" x14ac:dyDescent="0.4">
      <c r="C954" s="3"/>
    </row>
    <row r="955" spans="3:3" ht="15" thickBot="1" x14ac:dyDescent="0.4">
      <c r="C955" s="3"/>
    </row>
    <row r="956" spans="3:3" ht="15" thickBot="1" x14ac:dyDescent="0.4">
      <c r="C956" s="3"/>
    </row>
    <row r="957" spans="3:3" ht="15" thickBot="1" x14ac:dyDescent="0.4">
      <c r="C957" s="3"/>
    </row>
    <row r="958" spans="3:3" ht="15" thickBot="1" x14ac:dyDescent="0.4">
      <c r="C958" s="3"/>
    </row>
    <row r="959" spans="3:3" ht="15" thickBot="1" x14ac:dyDescent="0.4">
      <c r="C959" s="3"/>
    </row>
    <row r="960" spans="3:3" ht="15" thickBot="1" x14ac:dyDescent="0.4">
      <c r="C960" s="3"/>
    </row>
    <row r="961" spans="3:3" ht="15" thickBot="1" x14ac:dyDescent="0.4">
      <c r="C961" s="3"/>
    </row>
    <row r="962" spans="3:3" ht="15" thickBot="1" x14ac:dyDescent="0.4">
      <c r="C962" s="3"/>
    </row>
    <row r="963" spans="3:3" ht="15" thickBot="1" x14ac:dyDescent="0.4">
      <c r="C963" s="3"/>
    </row>
    <row r="964" spans="3:3" ht="15" thickBot="1" x14ac:dyDescent="0.4">
      <c r="C964" s="3"/>
    </row>
    <row r="965" spans="3:3" ht="15" thickBot="1" x14ac:dyDescent="0.4">
      <c r="C965" s="3"/>
    </row>
    <row r="966" spans="3:3" ht="15" thickBot="1" x14ac:dyDescent="0.4">
      <c r="C966" s="3"/>
    </row>
    <row r="967" spans="3:3" ht="15" thickBot="1" x14ac:dyDescent="0.4">
      <c r="C967" s="3"/>
    </row>
    <row r="968" spans="3:3" ht="15" thickBot="1" x14ac:dyDescent="0.4">
      <c r="C968" s="3"/>
    </row>
    <row r="969" spans="3:3" ht="15" thickBot="1" x14ac:dyDescent="0.4">
      <c r="C969" s="3"/>
    </row>
    <row r="970" spans="3:3" ht="15" thickBot="1" x14ac:dyDescent="0.4">
      <c r="C970" s="3"/>
    </row>
    <row r="971" spans="3:3" ht="15" thickBot="1" x14ac:dyDescent="0.4">
      <c r="C971" s="3"/>
    </row>
    <row r="972" spans="3:3" ht="15" thickBot="1" x14ac:dyDescent="0.4">
      <c r="C972" s="3"/>
    </row>
    <row r="973" spans="3:3" ht="15" thickBot="1" x14ac:dyDescent="0.4">
      <c r="C973" s="3"/>
    </row>
    <row r="974" spans="3:3" ht="15" thickBot="1" x14ac:dyDescent="0.4">
      <c r="C974" s="3"/>
    </row>
    <row r="975" spans="3:3" ht="15" thickBot="1" x14ac:dyDescent="0.4">
      <c r="C975" s="3"/>
    </row>
    <row r="976" spans="3:3" ht="15" thickBot="1" x14ac:dyDescent="0.4">
      <c r="C976" s="3"/>
    </row>
    <row r="977" spans="3:3" ht="15" thickBot="1" x14ac:dyDescent="0.4">
      <c r="C977" s="3"/>
    </row>
    <row r="978" spans="3:3" ht="15" thickBot="1" x14ac:dyDescent="0.4">
      <c r="C978" s="3"/>
    </row>
    <row r="979" spans="3:3" ht="15" thickBot="1" x14ac:dyDescent="0.4">
      <c r="C979" s="3"/>
    </row>
    <row r="980" spans="3:3" ht="15" thickBot="1" x14ac:dyDescent="0.4">
      <c r="C980" s="3"/>
    </row>
    <row r="981" spans="3:3" ht="15" thickBot="1" x14ac:dyDescent="0.4">
      <c r="C981" s="3"/>
    </row>
    <row r="982" spans="3:3" ht="15" thickBot="1" x14ac:dyDescent="0.4">
      <c r="C982" s="3"/>
    </row>
    <row r="983" spans="3:3" ht="15" thickBot="1" x14ac:dyDescent="0.4">
      <c r="C983" s="3"/>
    </row>
    <row r="984" spans="3:3" ht="15" thickBot="1" x14ac:dyDescent="0.4">
      <c r="C984" s="3"/>
    </row>
    <row r="985" spans="3:3" ht="15" thickBot="1" x14ac:dyDescent="0.4">
      <c r="C985" s="3"/>
    </row>
    <row r="986" spans="3:3" ht="15" thickBot="1" x14ac:dyDescent="0.4">
      <c r="C986" s="3"/>
    </row>
    <row r="987" spans="3:3" ht="15" thickBot="1" x14ac:dyDescent="0.4">
      <c r="C987" s="3"/>
    </row>
    <row r="988" spans="3:3" ht="15" thickBot="1" x14ac:dyDescent="0.4">
      <c r="C988" s="3"/>
    </row>
    <row r="989" spans="3:3" ht="15" thickBot="1" x14ac:dyDescent="0.4">
      <c r="C989" s="3"/>
    </row>
    <row r="990" spans="3:3" ht="15" thickBot="1" x14ac:dyDescent="0.4">
      <c r="C990" s="3"/>
    </row>
    <row r="991" spans="3:3" ht="15" thickBot="1" x14ac:dyDescent="0.4">
      <c r="C991" s="3"/>
    </row>
    <row r="992" spans="3:3" ht="15" thickBot="1" x14ac:dyDescent="0.4">
      <c r="C992" s="3"/>
    </row>
    <row r="993" spans="3:3" ht="15" thickBot="1" x14ac:dyDescent="0.4">
      <c r="C993" s="3"/>
    </row>
    <row r="994" spans="3:3" ht="15" thickBot="1" x14ac:dyDescent="0.4">
      <c r="C994" s="3"/>
    </row>
    <row r="995" spans="3:3" ht="15" thickBot="1" x14ac:dyDescent="0.4">
      <c r="C995" s="3"/>
    </row>
    <row r="996" spans="3:3" ht="15" thickBot="1" x14ac:dyDescent="0.4">
      <c r="C996" s="3"/>
    </row>
    <row r="997" spans="3:3" ht="15" thickBot="1" x14ac:dyDescent="0.4">
      <c r="C997" s="3"/>
    </row>
    <row r="998" spans="3:3" ht="15" thickBot="1" x14ac:dyDescent="0.4">
      <c r="C998" s="3"/>
    </row>
    <row r="999" spans="3:3" ht="15" thickBot="1" x14ac:dyDescent="0.4">
      <c r="C999" s="3"/>
    </row>
    <row r="1000" spans="3:3" ht="15" thickBot="1" x14ac:dyDescent="0.4">
      <c r="C1000" s="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8"/>
  <sheetViews>
    <sheetView workbookViewId="0">
      <selection activeCell="B6" sqref="B6"/>
    </sheetView>
  </sheetViews>
  <sheetFormatPr defaultRowHeight="14.5" x14ac:dyDescent="0.35"/>
  <cols>
    <col min="1" max="1" width="28.72656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0.33333333333333331</v>
      </c>
      <c r="C2" s="3">
        <v>0</v>
      </c>
    </row>
    <row r="3" spans="1:3" ht="15" thickBot="1" x14ac:dyDescent="0.4">
      <c r="A3" t="s">
        <v>4</v>
      </c>
      <c r="B3">
        <v>0</v>
      </c>
      <c r="C3" s="3">
        <v>0</v>
      </c>
    </row>
    <row r="4" spans="1:3" ht="15" thickBot="1" x14ac:dyDescent="0.4">
      <c r="A4" t="s">
        <v>1</v>
      </c>
      <c r="B4">
        <v>1.6666666666666667</v>
      </c>
      <c r="C4" s="3">
        <v>0</v>
      </c>
    </row>
    <row r="5" spans="1:3" ht="15" thickBot="1" x14ac:dyDescent="0.4">
      <c r="A5" t="s">
        <v>3</v>
      </c>
      <c r="B5">
        <v>0</v>
      </c>
      <c r="C5" s="3">
        <v>0</v>
      </c>
    </row>
    <row r="6" spans="1:3" ht="15" thickBot="1" x14ac:dyDescent="0.4">
      <c r="A6" t="s">
        <v>5</v>
      </c>
      <c r="B6">
        <v>0.33333333333333331</v>
      </c>
      <c r="C6" s="3">
        <v>0</v>
      </c>
    </row>
    <row r="7" spans="1:3" ht="15" thickBot="1" x14ac:dyDescent="0.4">
      <c r="A7" t="s">
        <v>6</v>
      </c>
      <c r="B7">
        <v>0.33333333333333331</v>
      </c>
      <c r="C7" s="3">
        <v>0</v>
      </c>
    </row>
    <row r="8" spans="1:3" ht="15" thickBot="1" x14ac:dyDescent="0.4">
      <c r="A8" t="s">
        <v>9</v>
      </c>
      <c r="B8">
        <v>0</v>
      </c>
      <c r="C8" s="3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C16"/>
  <sheetViews>
    <sheetView workbookViewId="0">
      <selection activeCell="C20" sqref="C20"/>
    </sheetView>
  </sheetViews>
  <sheetFormatPr defaultRowHeight="14.5" x14ac:dyDescent="0.35"/>
  <cols>
    <col min="1" max="1" width="38.179687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0.63157894736842102</v>
      </c>
      <c r="C2" s="3">
        <v>0.2</v>
      </c>
    </row>
    <row r="3" spans="1:3" ht="15" thickBot="1" x14ac:dyDescent="0.4">
      <c r="A3" t="s">
        <v>4</v>
      </c>
      <c r="B3" s="3">
        <v>0.47368421052631576</v>
      </c>
      <c r="C3" s="5">
        <v>0</v>
      </c>
    </row>
    <row r="4" spans="1:3" ht="15" thickBot="1" x14ac:dyDescent="0.4">
      <c r="A4" t="s">
        <v>1</v>
      </c>
      <c r="B4" s="3">
        <v>0</v>
      </c>
      <c r="C4" s="5">
        <v>0</v>
      </c>
    </row>
    <row r="5" spans="1:3" ht="15" thickBot="1" x14ac:dyDescent="0.4">
      <c r="A5" t="s">
        <v>3</v>
      </c>
      <c r="B5" s="3">
        <v>0</v>
      </c>
      <c r="C5" s="5">
        <v>2</v>
      </c>
    </row>
    <row r="6" spans="1:3" ht="15" thickBot="1" x14ac:dyDescent="0.4">
      <c r="A6" t="s">
        <v>5</v>
      </c>
      <c r="B6" s="3">
        <v>5.2631578947368418E-2</v>
      </c>
      <c r="C6" s="5">
        <v>0</v>
      </c>
    </row>
    <row r="7" spans="1:3" ht="15" thickBot="1" x14ac:dyDescent="0.4">
      <c r="A7" t="s">
        <v>6</v>
      </c>
      <c r="B7" s="3">
        <v>0</v>
      </c>
      <c r="C7" s="5">
        <v>0</v>
      </c>
    </row>
    <row r="8" spans="1:3" ht="15" thickBot="1" x14ac:dyDescent="0.4">
      <c r="A8" t="s">
        <v>9</v>
      </c>
      <c r="B8" s="3"/>
      <c r="C8" s="5">
        <v>0</v>
      </c>
    </row>
    <row r="9" spans="1:3" ht="15" thickBot="1" x14ac:dyDescent="0.4">
      <c r="A9" s="3"/>
      <c r="B9" s="3"/>
      <c r="C9" s="5"/>
    </row>
    <row r="10" spans="1:3" ht="15" thickBot="1" x14ac:dyDescent="0.4">
      <c r="A10" s="3"/>
      <c r="B10" s="3"/>
      <c r="C10" s="5"/>
    </row>
    <row r="11" spans="1:3" ht="15" thickBot="1" x14ac:dyDescent="0.4">
      <c r="A11" s="3"/>
      <c r="B11" s="3"/>
      <c r="C11" s="5"/>
    </row>
    <row r="12" spans="1:3" ht="15" thickBot="1" x14ac:dyDescent="0.4">
      <c r="A12" s="3"/>
      <c r="B12" s="3"/>
      <c r="C12" s="5"/>
    </row>
    <row r="13" spans="1:3" ht="15" thickBot="1" x14ac:dyDescent="0.4">
      <c r="A13" s="3"/>
      <c r="B13" s="3"/>
      <c r="C13" s="5"/>
    </row>
    <row r="14" spans="1:3" ht="15" thickBot="1" x14ac:dyDescent="0.4">
      <c r="A14" s="3"/>
      <c r="B14" s="3"/>
      <c r="C14" s="5"/>
    </row>
    <row r="15" spans="1:3" ht="15" thickBot="1" x14ac:dyDescent="0.4">
      <c r="A15" s="3"/>
      <c r="B15" s="3"/>
      <c r="C15" s="5"/>
    </row>
    <row r="16" spans="1:3" ht="15" thickBot="1" x14ac:dyDescent="0.4">
      <c r="A16" s="3"/>
      <c r="B16" s="3"/>
      <c r="C16" s="5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C29"/>
  <sheetViews>
    <sheetView workbookViewId="0">
      <selection activeCell="A3" sqref="A1:C8"/>
    </sheetView>
  </sheetViews>
  <sheetFormatPr defaultRowHeight="14.5" x14ac:dyDescent="0.35"/>
  <cols>
    <col min="1" max="1" width="26.3632812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 s="3">
        <v>0.6967741935483871</v>
      </c>
    </row>
    <row r="3" spans="1:3" ht="15" thickBot="1" x14ac:dyDescent="0.4">
      <c r="A3" t="s">
        <v>4</v>
      </c>
      <c r="B3">
        <v>0</v>
      </c>
      <c r="C3" s="5">
        <v>0.2</v>
      </c>
    </row>
    <row r="4" spans="1:3" ht="15" thickBot="1" x14ac:dyDescent="0.4">
      <c r="A4" t="s">
        <v>1</v>
      </c>
      <c r="B4">
        <v>0</v>
      </c>
      <c r="C4" s="5">
        <v>4.1935483870967745E-2</v>
      </c>
    </row>
    <row r="5" spans="1:3" ht="15" thickBot="1" x14ac:dyDescent="0.4">
      <c r="A5" t="s">
        <v>3</v>
      </c>
      <c r="B5">
        <v>0</v>
      </c>
      <c r="C5" s="5">
        <v>0.43225806451612903</v>
      </c>
    </row>
    <row r="6" spans="1:3" ht="15" thickBot="1" x14ac:dyDescent="0.4">
      <c r="A6" t="s">
        <v>5</v>
      </c>
      <c r="B6">
        <v>0</v>
      </c>
      <c r="C6" s="5">
        <v>0.28387096774193549</v>
      </c>
    </row>
    <row r="7" spans="1:3" ht="15" thickBot="1" x14ac:dyDescent="0.4">
      <c r="A7" t="s">
        <v>6</v>
      </c>
      <c r="B7">
        <v>0</v>
      </c>
      <c r="C7" s="5">
        <v>0.13225806451612904</v>
      </c>
    </row>
    <row r="8" spans="1:3" ht="15" thickBot="1" x14ac:dyDescent="0.4">
      <c r="A8" t="s">
        <v>9</v>
      </c>
      <c r="B8">
        <v>0</v>
      </c>
      <c r="C8" s="5">
        <v>0.37096774193548387</v>
      </c>
    </row>
    <row r="9" spans="1:3" ht="15" thickBot="1" x14ac:dyDescent="0.4">
      <c r="A9" s="3"/>
      <c r="B9" s="3"/>
      <c r="C9" s="5"/>
    </row>
    <row r="10" spans="1:3" ht="15" thickBot="1" x14ac:dyDescent="0.4">
      <c r="A10" s="3"/>
      <c r="B10" s="3"/>
      <c r="C10" s="5"/>
    </row>
    <row r="11" spans="1:3" ht="15" thickBot="1" x14ac:dyDescent="0.4">
      <c r="A11" s="3"/>
      <c r="B11" s="3"/>
      <c r="C11" s="5"/>
    </row>
    <row r="12" spans="1:3" ht="15" thickBot="1" x14ac:dyDescent="0.4">
      <c r="A12" s="3"/>
      <c r="B12" s="3"/>
      <c r="C12" s="5"/>
    </row>
    <row r="13" spans="1:3" ht="15" thickBot="1" x14ac:dyDescent="0.4">
      <c r="A13" s="3"/>
      <c r="B13" s="3"/>
      <c r="C13" s="5"/>
    </row>
    <row r="14" spans="1:3" ht="15" thickBot="1" x14ac:dyDescent="0.4">
      <c r="A14" s="3"/>
      <c r="B14" s="3"/>
      <c r="C14" s="5"/>
    </row>
    <row r="15" spans="1:3" ht="15" thickBot="1" x14ac:dyDescent="0.4">
      <c r="A15" s="3"/>
      <c r="B15" s="3"/>
      <c r="C15" s="5"/>
    </row>
    <row r="16" spans="1:3" ht="15" thickBot="1" x14ac:dyDescent="0.4">
      <c r="A16" s="3"/>
      <c r="B16" s="3"/>
      <c r="C16" s="5"/>
    </row>
    <row r="17" spans="1:3" ht="15" thickBot="1" x14ac:dyDescent="0.4">
      <c r="A17" s="3"/>
      <c r="B17" s="3"/>
      <c r="C17" s="5"/>
    </row>
    <row r="18" spans="1:3" ht="15" thickBot="1" x14ac:dyDescent="0.4">
      <c r="A18" s="3"/>
      <c r="B18" s="3"/>
      <c r="C18" s="5"/>
    </row>
    <row r="19" spans="1:3" ht="15" thickBot="1" x14ac:dyDescent="0.4">
      <c r="A19" s="3"/>
      <c r="B19" s="3"/>
      <c r="C19" s="5"/>
    </row>
    <row r="20" spans="1:3" ht="15" thickBot="1" x14ac:dyDescent="0.4">
      <c r="A20" s="3"/>
      <c r="B20" s="3"/>
      <c r="C20" s="5"/>
    </row>
    <row r="21" spans="1:3" ht="15" thickBot="1" x14ac:dyDescent="0.4">
      <c r="A21" s="3"/>
      <c r="B21" s="3"/>
      <c r="C21" s="5"/>
    </row>
    <row r="22" spans="1:3" ht="15" thickBot="1" x14ac:dyDescent="0.4">
      <c r="A22" s="3"/>
      <c r="B22" s="3"/>
      <c r="C22" s="5"/>
    </row>
    <row r="23" spans="1:3" ht="15" thickBot="1" x14ac:dyDescent="0.4">
      <c r="A23" s="3"/>
      <c r="B23" s="3"/>
      <c r="C23" s="5"/>
    </row>
    <row r="24" spans="1:3" ht="15" thickBot="1" x14ac:dyDescent="0.4">
      <c r="A24" s="3"/>
      <c r="B24" s="3"/>
      <c r="C24" s="5"/>
    </row>
    <row r="25" spans="1:3" ht="15" thickBot="1" x14ac:dyDescent="0.4">
      <c r="A25" s="3"/>
      <c r="B25" s="3"/>
      <c r="C25" s="5"/>
    </row>
    <row r="26" spans="1:3" ht="15" thickBot="1" x14ac:dyDescent="0.4">
      <c r="A26" s="3"/>
      <c r="B26" s="3"/>
      <c r="C26" s="5"/>
    </row>
    <row r="27" spans="1:3" ht="15" thickBot="1" x14ac:dyDescent="0.4">
      <c r="A27" s="3"/>
      <c r="B27" s="3"/>
      <c r="C27" s="5"/>
    </row>
    <row r="28" spans="1:3" ht="15" thickBot="1" x14ac:dyDescent="0.4">
      <c r="A28" s="3"/>
      <c r="B28" s="3"/>
      <c r="C28" s="5"/>
    </row>
    <row r="29" spans="1:3" ht="15" thickBot="1" x14ac:dyDescent="0.4">
      <c r="A29" s="3"/>
      <c r="B29" s="3"/>
      <c r="C29" s="5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636"/>
  <sheetViews>
    <sheetView workbookViewId="0">
      <selection activeCell="A3" sqref="A3"/>
    </sheetView>
  </sheetViews>
  <sheetFormatPr defaultRowHeight="14.5" x14ac:dyDescent="0.35"/>
  <cols>
    <col min="1" max="1" width="30.269531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</v>
      </c>
      <c r="C2">
        <f>(274+95)/609</f>
        <v>0.60591133004926112</v>
      </c>
    </row>
    <row r="3" spans="1:3" ht="15" thickBot="1" x14ac:dyDescent="0.4">
      <c r="A3" t="s">
        <v>4</v>
      </c>
      <c r="B3" s="5">
        <v>2.5</v>
      </c>
      <c r="C3" s="4">
        <v>0.16091954022988506</v>
      </c>
    </row>
    <row r="4" spans="1:3" ht="15" thickBot="1" x14ac:dyDescent="0.4">
      <c r="A4" t="s">
        <v>1</v>
      </c>
      <c r="B4" s="5">
        <v>1.5</v>
      </c>
      <c r="C4" s="3">
        <v>0.15270935960591134</v>
      </c>
    </row>
    <row r="5" spans="1:3" ht="15" thickBot="1" x14ac:dyDescent="0.4">
      <c r="A5" t="s">
        <v>3</v>
      </c>
      <c r="B5" s="5">
        <v>0</v>
      </c>
      <c r="C5" s="3">
        <v>0.51395730706075538</v>
      </c>
    </row>
    <row r="6" spans="1:3" ht="15" thickBot="1" x14ac:dyDescent="0.4">
      <c r="A6" t="s">
        <v>5</v>
      </c>
      <c r="B6" s="5">
        <v>0</v>
      </c>
      <c r="C6" s="3">
        <v>0.33004926108374383</v>
      </c>
    </row>
    <row r="7" spans="1:3" ht="15" thickBot="1" x14ac:dyDescent="0.4">
      <c r="A7" t="s">
        <v>6</v>
      </c>
      <c r="B7" s="5">
        <v>0</v>
      </c>
      <c r="C7">
        <f>(46+36)/609</f>
        <v>0.13464696223316913</v>
      </c>
    </row>
    <row r="8" spans="1:3" ht="15" thickBot="1" x14ac:dyDescent="0.4">
      <c r="A8" t="s">
        <v>9</v>
      </c>
      <c r="B8" s="5">
        <v>0.5</v>
      </c>
      <c r="C8" s="3">
        <v>0.24958949096880131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ht="15" thickBot="1" x14ac:dyDescent="0.4">
      <c r="A627" s="3"/>
      <c r="B627" s="5"/>
      <c r="C627" s="3"/>
    </row>
    <row r="628" spans="1:3" ht="15" thickBot="1" x14ac:dyDescent="0.4">
      <c r="A628" s="3"/>
      <c r="B628" s="5"/>
      <c r="C628" s="3"/>
    </row>
    <row r="629" spans="1:3" ht="15" thickBot="1" x14ac:dyDescent="0.4">
      <c r="A629" s="3"/>
      <c r="B629" s="5"/>
      <c r="C629" s="3"/>
    </row>
    <row r="630" spans="1:3" ht="15" thickBot="1" x14ac:dyDescent="0.4">
      <c r="A630" s="3"/>
      <c r="B630" s="5"/>
      <c r="C630" s="3"/>
    </row>
    <row r="631" spans="1:3" ht="15" thickBot="1" x14ac:dyDescent="0.4">
      <c r="A631" s="3"/>
      <c r="B631" s="5"/>
      <c r="C631" s="3"/>
    </row>
    <row r="632" spans="1:3" ht="15" thickBot="1" x14ac:dyDescent="0.4">
      <c r="A632" s="3"/>
      <c r="B632" s="5"/>
      <c r="C632" s="3"/>
    </row>
    <row r="633" spans="1:3" ht="15" thickBot="1" x14ac:dyDescent="0.4">
      <c r="A633" s="3"/>
      <c r="B633" s="5"/>
      <c r="C633" s="3"/>
    </row>
    <row r="634" spans="1:3" ht="15" thickBot="1" x14ac:dyDescent="0.4">
      <c r="A634" s="3"/>
      <c r="B634" s="5"/>
      <c r="C634" s="3"/>
    </row>
    <row r="635" spans="1:3" ht="15" thickBot="1" x14ac:dyDescent="0.4">
      <c r="A635" s="3"/>
      <c r="B635" s="5"/>
      <c r="C635" s="3"/>
    </row>
    <row r="636" spans="1:3" ht="15" thickBot="1" x14ac:dyDescent="0.4">
      <c r="A636" s="3"/>
      <c r="B636" s="5"/>
      <c r="C636" s="3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C627"/>
  <sheetViews>
    <sheetView workbookViewId="0">
      <selection activeCell="B3" sqref="B3"/>
    </sheetView>
  </sheetViews>
  <sheetFormatPr defaultRowHeight="14.5" x14ac:dyDescent="0.35"/>
  <cols>
    <col min="1" max="1" width="30.7265625" customWidth="1"/>
  </cols>
  <sheetData>
    <row r="1" spans="1:3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2</v>
      </c>
      <c r="C2" s="3">
        <v>0.73384516954574541</v>
      </c>
    </row>
    <row r="3" spans="1:3" ht="15" thickBot="1" x14ac:dyDescent="0.4">
      <c r="A3" t="s">
        <v>4</v>
      </c>
      <c r="B3" s="5">
        <v>0.33333333333333331</v>
      </c>
      <c r="C3" s="3">
        <v>0.31094049904030713</v>
      </c>
    </row>
    <row r="4" spans="1:3" ht="15" thickBot="1" x14ac:dyDescent="0.4">
      <c r="A4" t="s">
        <v>1</v>
      </c>
      <c r="B4" s="5">
        <v>0.33333333333333331</v>
      </c>
      <c r="C4" s="3">
        <v>0.14395393474088292</v>
      </c>
    </row>
    <row r="5" spans="1:3" ht="15" thickBot="1" x14ac:dyDescent="0.4">
      <c r="A5" t="s">
        <v>3</v>
      </c>
      <c r="B5" s="5">
        <v>1.3333333333333333</v>
      </c>
      <c r="C5" s="3">
        <v>0.44465770953294947</v>
      </c>
    </row>
    <row r="6" spans="1:3" ht="15" thickBot="1" x14ac:dyDescent="0.4">
      <c r="A6" t="s">
        <v>5</v>
      </c>
      <c r="B6" s="5">
        <v>0.33333333333333331</v>
      </c>
      <c r="C6" s="3">
        <v>0.34740882917466409</v>
      </c>
    </row>
    <row r="7" spans="1:3" ht="15" thickBot="1" x14ac:dyDescent="0.4">
      <c r="A7" t="s">
        <v>6</v>
      </c>
      <c r="B7" s="5">
        <v>0</v>
      </c>
      <c r="C7" s="3">
        <v>0.1036468330134357</v>
      </c>
    </row>
    <row r="8" spans="1:3" ht="15" thickBot="1" x14ac:dyDescent="0.4">
      <c r="A8" t="s">
        <v>9</v>
      </c>
      <c r="B8" s="5">
        <v>0</v>
      </c>
      <c r="C8" s="3">
        <v>0.21049264235444659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x14ac:dyDescent="0.35">
      <c r="C627" s="7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C758"/>
  <sheetViews>
    <sheetView workbookViewId="0">
      <selection activeCell="B2" sqref="B2"/>
    </sheetView>
  </sheetViews>
  <sheetFormatPr defaultRowHeight="14.5" x14ac:dyDescent="0.35"/>
  <cols>
    <col min="1" max="1" width="42.81640625" customWidth="1"/>
    <col min="2" max="2" width="13.26953125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0.33333333333333331</v>
      </c>
      <c r="C2" s="3">
        <v>0.83868481890572821</v>
      </c>
    </row>
    <row r="3" spans="1:3" ht="15" thickBot="1" x14ac:dyDescent="0.4">
      <c r="A3" t="s">
        <v>4</v>
      </c>
      <c r="B3" s="5">
        <v>0</v>
      </c>
      <c r="C3" s="3">
        <v>0.4834318006678654</v>
      </c>
    </row>
    <row r="4" spans="1:3" ht="15" thickBot="1" x14ac:dyDescent="0.4">
      <c r="A4" t="s">
        <v>1</v>
      </c>
      <c r="B4" s="5">
        <v>4.1666666666666664E-2</v>
      </c>
      <c r="C4" s="3">
        <v>0.18725918314924223</v>
      </c>
    </row>
    <row r="5" spans="1:3" ht="15" thickBot="1" x14ac:dyDescent="0.4">
      <c r="A5" t="s">
        <v>3</v>
      </c>
      <c r="B5" s="5">
        <v>4.1666666666666664E-2</v>
      </c>
      <c r="C5" s="3">
        <v>0.50398150526586183</v>
      </c>
    </row>
    <row r="6" spans="1:3" ht="15" thickBot="1" x14ac:dyDescent="0.4">
      <c r="A6" t="s">
        <v>5</v>
      </c>
      <c r="B6" s="5">
        <v>4.1666666666666664E-2</v>
      </c>
      <c r="C6" s="3">
        <v>0.45954276907269459</v>
      </c>
    </row>
    <row r="7" spans="1:3" ht="15" thickBot="1" x14ac:dyDescent="0.4">
      <c r="A7" t="s">
        <v>6</v>
      </c>
      <c r="B7">
        <f>4/24</f>
        <v>0.16666666666666666</v>
      </c>
      <c r="C7" s="3">
        <v>0.23067043411250962</v>
      </c>
    </row>
    <row r="8" spans="1:3" ht="15" thickBot="1" x14ac:dyDescent="0.4">
      <c r="A8" t="s">
        <v>9</v>
      </c>
      <c r="B8" s="5">
        <v>0</v>
      </c>
      <c r="C8" s="3">
        <v>8.2198818391985614E-3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  <row r="399" spans="1:3" ht="15" thickBot="1" x14ac:dyDescent="0.4">
      <c r="A399" s="3"/>
      <c r="B399" s="5"/>
      <c r="C399" s="3"/>
    </row>
    <row r="400" spans="1:3" ht="15" thickBot="1" x14ac:dyDescent="0.4">
      <c r="A400" s="3"/>
      <c r="B400" s="5"/>
      <c r="C400" s="3"/>
    </row>
    <row r="401" spans="1:3" ht="15" thickBot="1" x14ac:dyDescent="0.4">
      <c r="A401" s="3"/>
      <c r="B401" s="5"/>
      <c r="C401" s="3"/>
    </row>
    <row r="402" spans="1:3" ht="15" thickBot="1" x14ac:dyDescent="0.4">
      <c r="A402" s="3"/>
      <c r="B402" s="5"/>
      <c r="C402" s="3"/>
    </row>
    <row r="403" spans="1:3" ht="15" thickBot="1" x14ac:dyDescent="0.4">
      <c r="A403" s="3"/>
      <c r="B403" s="5"/>
      <c r="C403" s="3"/>
    </row>
    <row r="404" spans="1:3" ht="15" thickBot="1" x14ac:dyDescent="0.4">
      <c r="A404" s="3"/>
      <c r="B404" s="5"/>
      <c r="C404" s="3"/>
    </row>
    <row r="405" spans="1:3" ht="15" thickBot="1" x14ac:dyDescent="0.4">
      <c r="A405" s="3"/>
      <c r="B405" s="5"/>
      <c r="C405" s="3"/>
    </row>
    <row r="406" spans="1:3" ht="15" thickBot="1" x14ac:dyDescent="0.4">
      <c r="A406" s="3"/>
      <c r="B406" s="5"/>
      <c r="C406" s="3"/>
    </row>
    <row r="407" spans="1:3" ht="15" thickBot="1" x14ac:dyDescent="0.4">
      <c r="A407" s="3"/>
      <c r="B407" s="5"/>
      <c r="C407" s="3"/>
    </row>
    <row r="408" spans="1:3" ht="15" thickBot="1" x14ac:dyDescent="0.4">
      <c r="A408" s="3"/>
      <c r="B408" s="5"/>
      <c r="C408" s="3"/>
    </row>
    <row r="409" spans="1:3" ht="15" thickBot="1" x14ac:dyDescent="0.4">
      <c r="A409" s="3"/>
      <c r="B409" s="5"/>
      <c r="C409" s="3"/>
    </row>
    <row r="410" spans="1:3" ht="15" thickBot="1" x14ac:dyDescent="0.4">
      <c r="A410" s="3"/>
      <c r="B410" s="5"/>
      <c r="C410" s="3"/>
    </row>
    <row r="411" spans="1:3" ht="15" thickBot="1" x14ac:dyDescent="0.4">
      <c r="A411" s="3"/>
      <c r="B411" s="5"/>
      <c r="C411" s="3"/>
    </row>
    <row r="412" spans="1:3" ht="15" thickBot="1" x14ac:dyDescent="0.4">
      <c r="A412" s="3"/>
      <c r="B412" s="5"/>
      <c r="C412" s="3"/>
    </row>
    <row r="413" spans="1:3" ht="15" thickBot="1" x14ac:dyDescent="0.4">
      <c r="A413" s="3"/>
      <c r="B413" s="5"/>
      <c r="C413" s="3"/>
    </row>
    <row r="414" spans="1:3" ht="15" thickBot="1" x14ac:dyDescent="0.4">
      <c r="A414" s="3"/>
      <c r="B414" s="5"/>
      <c r="C414" s="3"/>
    </row>
    <row r="415" spans="1:3" ht="15" thickBot="1" x14ac:dyDescent="0.4">
      <c r="A415" s="3"/>
      <c r="B415" s="5"/>
      <c r="C415" s="3"/>
    </row>
    <row r="416" spans="1:3" ht="15" thickBot="1" x14ac:dyDescent="0.4">
      <c r="A416" s="3"/>
      <c r="B416" s="5"/>
      <c r="C416" s="3"/>
    </row>
    <row r="417" spans="1:3" ht="15" thickBot="1" x14ac:dyDescent="0.4">
      <c r="A417" s="3"/>
      <c r="B417" s="5"/>
      <c r="C417" s="3"/>
    </row>
    <row r="418" spans="1:3" ht="15" thickBot="1" x14ac:dyDescent="0.4">
      <c r="A418" s="3"/>
      <c r="B418" s="5"/>
      <c r="C418" s="3"/>
    </row>
    <row r="419" spans="1:3" ht="15" thickBot="1" x14ac:dyDescent="0.4">
      <c r="A419" s="3"/>
      <c r="B419" s="5"/>
      <c r="C419" s="3"/>
    </row>
    <row r="420" spans="1:3" ht="15" thickBot="1" x14ac:dyDescent="0.4">
      <c r="A420" s="3"/>
      <c r="B420" s="5"/>
      <c r="C420" s="3"/>
    </row>
    <row r="421" spans="1:3" ht="15" thickBot="1" x14ac:dyDescent="0.4">
      <c r="A421" s="3"/>
      <c r="B421" s="5"/>
      <c r="C421" s="3"/>
    </row>
    <row r="422" spans="1:3" ht="15" thickBot="1" x14ac:dyDescent="0.4">
      <c r="A422" s="3"/>
      <c r="B422" s="5"/>
      <c r="C422" s="3"/>
    </row>
    <row r="423" spans="1:3" ht="15" thickBot="1" x14ac:dyDescent="0.4">
      <c r="A423" s="3"/>
      <c r="B423" s="5"/>
      <c r="C423" s="3"/>
    </row>
    <row r="424" spans="1:3" ht="15" thickBot="1" x14ac:dyDescent="0.4">
      <c r="A424" s="3"/>
      <c r="B424" s="5"/>
      <c r="C424" s="3"/>
    </row>
    <row r="425" spans="1:3" ht="15" thickBot="1" x14ac:dyDescent="0.4">
      <c r="A425" s="3"/>
      <c r="B425" s="5"/>
      <c r="C425" s="3"/>
    </row>
    <row r="426" spans="1:3" ht="15" thickBot="1" x14ac:dyDescent="0.4">
      <c r="A426" s="3"/>
      <c r="B426" s="5"/>
      <c r="C426" s="3"/>
    </row>
    <row r="427" spans="1:3" ht="15" thickBot="1" x14ac:dyDescent="0.4">
      <c r="A427" s="3"/>
      <c r="B427" s="5"/>
      <c r="C427" s="3"/>
    </row>
    <row r="428" spans="1:3" ht="15" thickBot="1" x14ac:dyDescent="0.4">
      <c r="A428" s="3"/>
      <c r="B428" s="5"/>
      <c r="C428" s="3"/>
    </row>
    <row r="429" spans="1:3" ht="15" thickBot="1" x14ac:dyDescent="0.4">
      <c r="A429" s="3"/>
      <c r="B429" s="5"/>
      <c r="C429" s="3"/>
    </row>
    <row r="430" spans="1:3" ht="15" thickBot="1" x14ac:dyDescent="0.4">
      <c r="A430" s="3"/>
      <c r="B430" s="5"/>
      <c r="C430" s="3"/>
    </row>
    <row r="431" spans="1:3" ht="15" thickBot="1" x14ac:dyDescent="0.4">
      <c r="A431" s="3"/>
      <c r="B431" s="5"/>
      <c r="C431" s="3"/>
    </row>
    <row r="432" spans="1:3" ht="15" thickBot="1" x14ac:dyDescent="0.4">
      <c r="A432" s="3"/>
      <c r="B432" s="5"/>
      <c r="C432" s="3"/>
    </row>
    <row r="433" spans="1:3" ht="15" thickBot="1" x14ac:dyDescent="0.4">
      <c r="A433" s="3"/>
      <c r="B433" s="5"/>
      <c r="C433" s="3"/>
    </row>
    <row r="434" spans="1:3" ht="15" thickBot="1" x14ac:dyDescent="0.4">
      <c r="A434" s="3"/>
      <c r="B434" s="5"/>
      <c r="C434" s="3"/>
    </row>
    <row r="435" spans="1:3" ht="15" thickBot="1" x14ac:dyDescent="0.4">
      <c r="A435" s="3"/>
      <c r="B435" s="5"/>
      <c r="C435" s="3"/>
    </row>
    <row r="436" spans="1:3" ht="15" thickBot="1" x14ac:dyDescent="0.4">
      <c r="A436" s="3"/>
      <c r="B436" s="5"/>
      <c r="C436" s="3"/>
    </row>
    <row r="437" spans="1:3" ht="15" thickBot="1" x14ac:dyDescent="0.4">
      <c r="A437" s="3"/>
      <c r="B437" s="5"/>
      <c r="C437" s="3"/>
    </row>
    <row r="438" spans="1:3" ht="15" thickBot="1" x14ac:dyDescent="0.4">
      <c r="A438" s="3"/>
      <c r="B438" s="5"/>
      <c r="C438" s="3"/>
    </row>
    <row r="439" spans="1:3" ht="15" thickBot="1" x14ac:dyDescent="0.4">
      <c r="A439" s="3"/>
      <c r="B439" s="5"/>
      <c r="C439" s="3"/>
    </row>
    <row r="440" spans="1:3" ht="15" thickBot="1" x14ac:dyDescent="0.4">
      <c r="A440" s="3"/>
      <c r="B440" s="5"/>
      <c r="C440" s="3"/>
    </row>
    <row r="441" spans="1:3" ht="15" thickBot="1" x14ac:dyDescent="0.4">
      <c r="A441" s="3"/>
      <c r="B441" s="5"/>
      <c r="C441" s="3"/>
    </row>
    <row r="442" spans="1:3" ht="15" thickBot="1" x14ac:dyDescent="0.4">
      <c r="A442" s="3"/>
      <c r="B442" s="5"/>
      <c r="C442" s="3"/>
    </row>
    <row r="443" spans="1:3" ht="15" thickBot="1" x14ac:dyDescent="0.4">
      <c r="A443" s="3"/>
      <c r="B443" s="5"/>
      <c r="C443" s="3"/>
    </row>
    <row r="444" spans="1:3" ht="15" thickBot="1" x14ac:dyDescent="0.4">
      <c r="A444" s="3"/>
      <c r="B444" s="5"/>
      <c r="C444" s="3"/>
    </row>
    <row r="445" spans="1:3" ht="15" thickBot="1" x14ac:dyDescent="0.4">
      <c r="A445" s="3"/>
      <c r="B445" s="5"/>
      <c r="C445" s="3"/>
    </row>
    <row r="446" spans="1:3" ht="15" thickBot="1" x14ac:dyDescent="0.4">
      <c r="A446" s="3"/>
      <c r="B446" s="5"/>
      <c r="C446" s="3"/>
    </row>
    <row r="447" spans="1:3" ht="15" thickBot="1" x14ac:dyDescent="0.4">
      <c r="A447" s="3"/>
      <c r="B447" s="5"/>
      <c r="C447" s="3"/>
    </row>
    <row r="448" spans="1:3" ht="15" thickBot="1" x14ac:dyDescent="0.4">
      <c r="A448" s="3"/>
      <c r="B448" s="5"/>
      <c r="C448" s="3"/>
    </row>
    <row r="449" spans="1:3" ht="15" thickBot="1" x14ac:dyDescent="0.4">
      <c r="A449" s="3"/>
      <c r="B449" s="5"/>
      <c r="C449" s="3"/>
    </row>
    <row r="450" spans="1:3" ht="15" thickBot="1" x14ac:dyDescent="0.4">
      <c r="A450" s="3"/>
      <c r="B450" s="5"/>
      <c r="C450" s="3"/>
    </row>
    <row r="451" spans="1:3" ht="15" thickBot="1" x14ac:dyDescent="0.4">
      <c r="A451" s="3"/>
      <c r="B451" s="5"/>
      <c r="C451" s="3"/>
    </row>
    <row r="452" spans="1:3" ht="15" thickBot="1" x14ac:dyDescent="0.4">
      <c r="A452" s="3"/>
      <c r="B452" s="5"/>
      <c r="C452" s="3"/>
    </row>
    <row r="453" spans="1:3" ht="15" thickBot="1" x14ac:dyDescent="0.4">
      <c r="A453" s="3"/>
      <c r="B453" s="5"/>
      <c r="C453" s="3"/>
    </row>
    <row r="454" spans="1:3" ht="15" thickBot="1" x14ac:dyDescent="0.4">
      <c r="A454" s="3"/>
      <c r="B454" s="5"/>
      <c r="C454" s="3"/>
    </row>
    <row r="455" spans="1:3" ht="15" thickBot="1" x14ac:dyDescent="0.4">
      <c r="A455" s="3"/>
      <c r="B455" s="5"/>
      <c r="C455" s="3"/>
    </row>
    <row r="456" spans="1:3" ht="15" thickBot="1" x14ac:dyDescent="0.4">
      <c r="A456" s="3"/>
      <c r="B456" s="5"/>
      <c r="C456" s="3"/>
    </row>
    <row r="457" spans="1:3" ht="15" thickBot="1" x14ac:dyDescent="0.4">
      <c r="A457" s="3"/>
      <c r="B457" s="5"/>
      <c r="C457" s="3"/>
    </row>
    <row r="458" spans="1:3" ht="15" thickBot="1" x14ac:dyDescent="0.4">
      <c r="A458" s="3"/>
      <c r="B458" s="5"/>
      <c r="C458" s="3"/>
    </row>
    <row r="459" spans="1:3" ht="15" thickBot="1" x14ac:dyDescent="0.4">
      <c r="A459" s="3"/>
      <c r="B459" s="5"/>
      <c r="C459" s="3"/>
    </row>
    <row r="460" spans="1:3" ht="15" thickBot="1" x14ac:dyDescent="0.4">
      <c r="A460" s="3"/>
      <c r="B460" s="5"/>
      <c r="C460" s="3"/>
    </row>
    <row r="461" spans="1:3" ht="15" thickBot="1" x14ac:dyDescent="0.4">
      <c r="A461" s="3"/>
      <c r="B461" s="5"/>
      <c r="C461" s="3"/>
    </row>
    <row r="462" spans="1:3" ht="15" thickBot="1" x14ac:dyDescent="0.4">
      <c r="A462" s="3"/>
      <c r="B462" s="5"/>
      <c r="C462" s="3"/>
    </row>
    <row r="463" spans="1:3" ht="15" thickBot="1" x14ac:dyDescent="0.4">
      <c r="A463" s="3"/>
      <c r="B463" s="5"/>
      <c r="C463" s="3"/>
    </row>
    <row r="464" spans="1:3" ht="15" thickBot="1" x14ac:dyDescent="0.4">
      <c r="A464" s="3"/>
      <c r="B464" s="5"/>
      <c r="C464" s="3"/>
    </row>
    <row r="465" spans="1:3" ht="15" thickBot="1" x14ac:dyDescent="0.4">
      <c r="A465" s="3"/>
      <c r="B465" s="5"/>
      <c r="C465" s="3"/>
    </row>
    <row r="466" spans="1:3" ht="15" thickBot="1" x14ac:dyDescent="0.4">
      <c r="A466" s="3"/>
      <c r="B466" s="5"/>
      <c r="C466" s="3"/>
    </row>
    <row r="467" spans="1:3" ht="15" thickBot="1" x14ac:dyDescent="0.4">
      <c r="A467" s="3"/>
      <c r="B467" s="5"/>
      <c r="C467" s="3"/>
    </row>
    <row r="468" spans="1:3" ht="15" thickBot="1" x14ac:dyDescent="0.4">
      <c r="A468" s="3"/>
      <c r="B468" s="5"/>
      <c r="C468" s="3"/>
    </row>
    <row r="469" spans="1:3" ht="15" thickBot="1" x14ac:dyDescent="0.4">
      <c r="A469" s="3"/>
      <c r="B469" s="5"/>
      <c r="C469" s="3"/>
    </row>
    <row r="470" spans="1:3" ht="15" thickBot="1" x14ac:dyDescent="0.4">
      <c r="A470" s="3"/>
      <c r="B470" s="5"/>
      <c r="C470" s="3"/>
    </row>
    <row r="471" spans="1:3" ht="15" thickBot="1" x14ac:dyDescent="0.4">
      <c r="A471" s="3"/>
      <c r="B471" s="5"/>
      <c r="C471" s="3"/>
    </row>
    <row r="472" spans="1:3" ht="15" thickBot="1" x14ac:dyDescent="0.4">
      <c r="A472" s="3"/>
      <c r="B472" s="5"/>
      <c r="C472" s="3"/>
    </row>
    <row r="473" spans="1:3" ht="15" thickBot="1" x14ac:dyDescent="0.4">
      <c r="A473" s="3"/>
      <c r="B473" s="5"/>
      <c r="C473" s="3"/>
    </row>
    <row r="474" spans="1:3" ht="15" thickBot="1" x14ac:dyDescent="0.4">
      <c r="A474" s="3"/>
      <c r="B474" s="5"/>
      <c r="C474" s="3"/>
    </row>
    <row r="475" spans="1:3" ht="15" thickBot="1" x14ac:dyDescent="0.4">
      <c r="A475" s="3"/>
      <c r="B475" s="5"/>
      <c r="C475" s="3"/>
    </row>
    <row r="476" spans="1:3" ht="15" thickBot="1" x14ac:dyDescent="0.4">
      <c r="A476" s="3"/>
      <c r="B476" s="5"/>
      <c r="C476" s="3"/>
    </row>
    <row r="477" spans="1:3" ht="15" thickBot="1" x14ac:dyDescent="0.4">
      <c r="A477" s="3"/>
      <c r="B477" s="5"/>
      <c r="C477" s="3"/>
    </row>
    <row r="478" spans="1:3" ht="15" thickBot="1" x14ac:dyDescent="0.4">
      <c r="A478" s="3"/>
      <c r="B478" s="5"/>
      <c r="C478" s="3"/>
    </row>
    <row r="479" spans="1:3" ht="15" thickBot="1" x14ac:dyDescent="0.4">
      <c r="A479" s="3"/>
      <c r="B479" s="5"/>
      <c r="C479" s="3"/>
    </row>
    <row r="480" spans="1:3" ht="15" thickBot="1" x14ac:dyDescent="0.4">
      <c r="A480" s="3"/>
      <c r="B480" s="5"/>
      <c r="C480" s="3"/>
    </row>
    <row r="481" spans="1:3" ht="15" thickBot="1" x14ac:dyDescent="0.4">
      <c r="A481" s="3"/>
      <c r="B481" s="5"/>
      <c r="C481" s="3"/>
    </row>
    <row r="482" spans="1:3" ht="15" thickBot="1" x14ac:dyDescent="0.4">
      <c r="A482" s="3"/>
      <c r="B482" s="5"/>
      <c r="C482" s="3"/>
    </row>
    <row r="483" spans="1:3" ht="15" thickBot="1" x14ac:dyDescent="0.4">
      <c r="A483" s="3"/>
      <c r="B483" s="5"/>
      <c r="C483" s="3"/>
    </row>
    <row r="484" spans="1:3" ht="15" thickBot="1" x14ac:dyDescent="0.4">
      <c r="A484" s="3"/>
      <c r="B484" s="5"/>
      <c r="C484" s="3"/>
    </row>
    <row r="485" spans="1:3" ht="15" thickBot="1" x14ac:dyDescent="0.4">
      <c r="A485" s="3"/>
      <c r="B485" s="5"/>
      <c r="C485" s="3"/>
    </row>
    <row r="486" spans="1:3" ht="15" thickBot="1" x14ac:dyDescent="0.4">
      <c r="A486" s="3"/>
      <c r="B486" s="5"/>
      <c r="C486" s="3"/>
    </row>
    <row r="487" spans="1:3" ht="15" thickBot="1" x14ac:dyDescent="0.4">
      <c r="A487" s="3"/>
      <c r="B487" s="5"/>
      <c r="C487" s="3"/>
    </row>
    <row r="488" spans="1:3" ht="15" thickBot="1" x14ac:dyDescent="0.4">
      <c r="A488" s="3"/>
      <c r="B488" s="5"/>
      <c r="C488" s="3"/>
    </row>
    <row r="489" spans="1:3" ht="15" thickBot="1" x14ac:dyDescent="0.4">
      <c r="A489" s="3"/>
      <c r="B489" s="5"/>
      <c r="C489" s="3"/>
    </row>
    <row r="490" spans="1:3" ht="15" thickBot="1" x14ac:dyDescent="0.4">
      <c r="A490" s="3"/>
      <c r="B490" s="5"/>
      <c r="C490" s="3"/>
    </row>
    <row r="491" spans="1:3" ht="15" thickBot="1" x14ac:dyDescent="0.4">
      <c r="A491" s="3"/>
      <c r="B491" s="5"/>
      <c r="C491" s="3"/>
    </row>
    <row r="492" spans="1:3" ht="15" thickBot="1" x14ac:dyDescent="0.4">
      <c r="A492" s="3"/>
      <c r="B492" s="5"/>
      <c r="C492" s="3"/>
    </row>
    <row r="493" spans="1:3" ht="15" thickBot="1" x14ac:dyDescent="0.4">
      <c r="A493" s="3"/>
      <c r="B493" s="5"/>
      <c r="C493" s="3"/>
    </row>
    <row r="494" spans="1:3" ht="15" thickBot="1" x14ac:dyDescent="0.4">
      <c r="A494" s="3"/>
      <c r="B494" s="5"/>
      <c r="C494" s="3"/>
    </row>
    <row r="495" spans="1:3" ht="15" thickBot="1" x14ac:dyDescent="0.4">
      <c r="A495" s="3"/>
      <c r="B495" s="5"/>
      <c r="C495" s="3"/>
    </row>
    <row r="496" spans="1:3" ht="15" thickBot="1" x14ac:dyDescent="0.4">
      <c r="A496" s="3"/>
      <c r="B496" s="5"/>
      <c r="C496" s="3"/>
    </row>
    <row r="497" spans="1:3" ht="15" thickBot="1" x14ac:dyDescent="0.4">
      <c r="A497" s="3"/>
      <c r="B497" s="5"/>
      <c r="C497" s="3"/>
    </row>
    <row r="498" spans="1:3" ht="15" thickBot="1" x14ac:dyDescent="0.4">
      <c r="A498" s="3"/>
      <c r="B498" s="5"/>
      <c r="C498" s="3"/>
    </row>
    <row r="499" spans="1:3" ht="15" thickBot="1" x14ac:dyDescent="0.4">
      <c r="A499" s="3"/>
      <c r="B499" s="5"/>
      <c r="C499" s="3"/>
    </row>
    <row r="500" spans="1:3" ht="15" thickBot="1" x14ac:dyDescent="0.4">
      <c r="A500" s="3"/>
      <c r="B500" s="5"/>
      <c r="C500" s="3"/>
    </row>
    <row r="501" spans="1:3" ht="15" thickBot="1" x14ac:dyDescent="0.4">
      <c r="A501" s="3"/>
      <c r="B501" s="5"/>
      <c r="C501" s="3"/>
    </row>
    <row r="502" spans="1:3" ht="15" thickBot="1" x14ac:dyDescent="0.4">
      <c r="A502" s="3"/>
      <c r="B502" s="5"/>
      <c r="C502" s="3"/>
    </row>
    <row r="503" spans="1:3" ht="15" thickBot="1" x14ac:dyDescent="0.4">
      <c r="A503" s="3"/>
      <c r="B503" s="5"/>
      <c r="C503" s="3"/>
    </row>
    <row r="504" spans="1:3" ht="15" thickBot="1" x14ac:dyDescent="0.4">
      <c r="A504" s="3"/>
      <c r="B504" s="5"/>
      <c r="C504" s="3"/>
    </row>
    <row r="505" spans="1:3" ht="15" thickBot="1" x14ac:dyDescent="0.4">
      <c r="A505" s="3"/>
      <c r="B505" s="5"/>
      <c r="C505" s="3"/>
    </row>
    <row r="506" spans="1:3" ht="15" thickBot="1" x14ac:dyDescent="0.4">
      <c r="A506" s="3"/>
      <c r="B506" s="5"/>
      <c r="C506" s="3"/>
    </row>
    <row r="507" spans="1:3" ht="15" thickBot="1" x14ac:dyDescent="0.4">
      <c r="A507" s="3"/>
      <c r="B507" s="5"/>
      <c r="C507" s="3"/>
    </row>
    <row r="508" spans="1:3" ht="15" thickBot="1" x14ac:dyDescent="0.4">
      <c r="A508" s="3"/>
      <c r="B508" s="5"/>
      <c r="C508" s="3"/>
    </row>
    <row r="509" spans="1:3" ht="15" thickBot="1" x14ac:dyDescent="0.4">
      <c r="A509" s="3"/>
      <c r="B509" s="5"/>
      <c r="C509" s="3"/>
    </row>
    <row r="510" spans="1:3" ht="15" thickBot="1" x14ac:dyDescent="0.4">
      <c r="A510" s="3"/>
      <c r="B510" s="5"/>
      <c r="C510" s="3"/>
    </row>
    <row r="511" spans="1:3" ht="15" thickBot="1" x14ac:dyDescent="0.4">
      <c r="A511" s="3"/>
      <c r="B511" s="5"/>
      <c r="C511" s="3"/>
    </row>
    <row r="512" spans="1:3" ht="15" thickBot="1" x14ac:dyDescent="0.4">
      <c r="A512" s="3"/>
      <c r="B512" s="5"/>
      <c r="C512" s="3"/>
    </row>
    <row r="513" spans="1:3" ht="15" thickBot="1" x14ac:dyDescent="0.4">
      <c r="A513" s="3"/>
      <c r="B513" s="5"/>
      <c r="C513" s="3"/>
    </row>
    <row r="514" spans="1:3" ht="15" thickBot="1" x14ac:dyDescent="0.4">
      <c r="A514" s="3"/>
      <c r="B514" s="5"/>
      <c r="C514" s="3"/>
    </row>
    <row r="515" spans="1:3" ht="15" thickBot="1" x14ac:dyDescent="0.4">
      <c r="A515" s="3"/>
      <c r="B515" s="5"/>
      <c r="C515" s="3"/>
    </row>
    <row r="516" spans="1:3" ht="15" thickBot="1" x14ac:dyDescent="0.4">
      <c r="A516" s="3"/>
      <c r="B516" s="5"/>
      <c r="C516" s="3"/>
    </row>
    <row r="517" spans="1:3" ht="15" thickBot="1" x14ac:dyDescent="0.4">
      <c r="A517" s="3"/>
      <c r="B517" s="5"/>
      <c r="C517" s="3"/>
    </row>
    <row r="518" spans="1:3" ht="15" thickBot="1" x14ac:dyDescent="0.4">
      <c r="A518" s="3"/>
      <c r="B518" s="5"/>
      <c r="C518" s="3"/>
    </row>
    <row r="519" spans="1:3" ht="15" thickBot="1" x14ac:dyDescent="0.4">
      <c r="A519" s="3"/>
      <c r="B519" s="5"/>
      <c r="C519" s="3"/>
    </row>
    <row r="520" spans="1:3" ht="15" thickBot="1" x14ac:dyDescent="0.4">
      <c r="A520" s="3"/>
      <c r="B520" s="5"/>
      <c r="C520" s="3"/>
    </row>
    <row r="521" spans="1:3" ht="15" thickBot="1" x14ac:dyDescent="0.4">
      <c r="A521" s="3"/>
      <c r="B521" s="5"/>
      <c r="C521" s="3"/>
    </row>
    <row r="522" spans="1:3" ht="15" thickBot="1" x14ac:dyDescent="0.4">
      <c r="A522" s="3"/>
      <c r="B522" s="5"/>
      <c r="C522" s="3"/>
    </row>
    <row r="523" spans="1:3" ht="15" thickBot="1" x14ac:dyDescent="0.4">
      <c r="A523" s="3"/>
      <c r="B523" s="5"/>
      <c r="C523" s="3"/>
    </row>
    <row r="524" spans="1:3" ht="15" thickBot="1" x14ac:dyDescent="0.4">
      <c r="A524" s="3"/>
      <c r="B524" s="5"/>
      <c r="C524" s="3"/>
    </row>
    <row r="525" spans="1:3" ht="15" thickBot="1" x14ac:dyDescent="0.4">
      <c r="A525" s="3"/>
      <c r="B525" s="5"/>
      <c r="C525" s="3"/>
    </row>
    <row r="526" spans="1:3" ht="15" thickBot="1" x14ac:dyDescent="0.4">
      <c r="A526" s="3"/>
      <c r="B526" s="5"/>
      <c r="C526" s="3"/>
    </row>
    <row r="527" spans="1:3" ht="15" thickBot="1" x14ac:dyDescent="0.4">
      <c r="A527" s="3"/>
      <c r="B527" s="5"/>
      <c r="C527" s="3"/>
    </row>
    <row r="528" spans="1:3" ht="15" thickBot="1" x14ac:dyDescent="0.4">
      <c r="A528" s="3"/>
      <c r="B528" s="5"/>
      <c r="C528" s="3"/>
    </row>
    <row r="529" spans="1:3" ht="15" thickBot="1" x14ac:dyDescent="0.4">
      <c r="A529" s="3"/>
      <c r="B529" s="5"/>
      <c r="C529" s="3"/>
    </row>
    <row r="530" spans="1:3" ht="15" thickBot="1" x14ac:dyDescent="0.4">
      <c r="A530" s="3"/>
      <c r="B530" s="5"/>
      <c r="C530" s="3"/>
    </row>
    <row r="531" spans="1:3" ht="15" thickBot="1" x14ac:dyDescent="0.4">
      <c r="A531" s="3"/>
      <c r="B531" s="5"/>
      <c r="C531" s="3"/>
    </row>
    <row r="532" spans="1:3" ht="15" thickBot="1" x14ac:dyDescent="0.4">
      <c r="A532" s="3"/>
      <c r="B532" s="5"/>
      <c r="C532" s="3"/>
    </row>
    <row r="533" spans="1:3" ht="15" thickBot="1" x14ac:dyDescent="0.4">
      <c r="A533" s="3"/>
      <c r="B533" s="5"/>
      <c r="C533" s="3"/>
    </row>
    <row r="534" spans="1:3" ht="15" thickBot="1" x14ac:dyDescent="0.4">
      <c r="A534" s="3"/>
      <c r="B534" s="5"/>
      <c r="C534" s="3"/>
    </row>
    <row r="535" spans="1:3" ht="15" thickBot="1" x14ac:dyDescent="0.4">
      <c r="A535" s="3"/>
      <c r="B535" s="5"/>
      <c r="C535" s="3"/>
    </row>
    <row r="536" spans="1:3" ht="15" thickBot="1" x14ac:dyDescent="0.4">
      <c r="A536" s="3"/>
      <c r="B536" s="5"/>
      <c r="C536" s="3"/>
    </row>
    <row r="537" spans="1:3" ht="15" thickBot="1" x14ac:dyDescent="0.4">
      <c r="A537" s="3"/>
      <c r="B537" s="5"/>
      <c r="C537" s="3"/>
    </row>
    <row r="538" spans="1:3" ht="15" thickBot="1" x14ac:dyDescent="0.4">
      <c r="A538" s="3"/>
      <c r="B538" s="5"/>
      <c r="C538" s="3"/>
    </row>
    <row r="539" spans="1:3" ht="15" thickBot="1" x14ac:dyDescent="0.4">
      <c r="A539" s="3"/>
      <c r="B539" s="5"/>
      <c r="C539" s="3"/>
    </row>
    <row r="540" spans="1:3" ht="15" thickBot="1" x14ac:dyDescent="0.4">
      <c r="A540" s="3"/>
      <c r="B540" s="5"/>
      <c r="C540" s="3"/>
    </row>
    <row r="541" spans="1:3" ht="15" thickBot="1" x14ac:dyDescent="0.4">
      <c r="A541" s="3"/>
      <c r="B541" s="5"/>
      <c r="C541" s="3"/>
    </row>
    <row r="542" spans="1:3" ht="15" thickBot="1" x14ac:dyDescent="0.4">
      <c r="A542" s="3"/>
      <c r="B542" s="5"/>
      <c r="C542" s="3"/>
    </row>
    <row r="543" spans="1:3" ht="15" thickBot="1" x14ac:dyDescent="0.4">
      <c r="A543" s="3"/>
      <c r="B543" s="5"/>
      <c r="C543" s="3"/>
    </row>
    <row r="544" spans="1:3" ht="15" thickBot="1" x14ac:dyDescent="0.4">
      <c r="A544" s="3"/>
      <c r="B544" s="5"/>
      <c r="C544" s="3"/>
    </row>
    <row r="545" spans="1:3" ht="15" thickBot="1" x14ac:dyDescent="0.4">
      <c r="A545" s="3"/>
      <c r="B545" s="5"/>
      <c r="C545" s="3"/>
    </row>
    <row r="546" spans="1:3" ht="15" thickBot="1" x14ac:dyDescent="0.4">
      <c r="A546" s="3"/>
      <c r="B546" s="5"/>
      <c r="C546" s="3"/>
    </row>
    <row r="547" spans="1:3" ht="15" thickBot="1" x14ac:dyDescent="0.4">
      <c r="A547" s="3"/>
      <c r="B547" s="5"/>
      <c r="C547" s="3"/>
    </row>
    <row r="548" spans="1:3" ht="15" thickBot="1" x14ac:dyDescent="0.4">
      <c r="A548" s="3"/>
      <c r="B548" s="5"/>
      <c r="C548" s="3"/>
    </row>
    <row r="549" spans="1:3" ht="15" thickBot="1" x14ac:dyDescent="0.4">
      <c r="A549" s="3"/>
      <c r="B549" s="5"/>
      <c r="C549" s="3"/>
    </row>
    <row r="550" spans="1:3" ht="15" thickBot="1" x14ac:dyDescent="0.4">
      <c r="A550" s="3"/>
      <c r="B550" s="5"/>
      <c r="C550" s="3"/>
    </row>
    <row r="551" spans="1:3" ht="15" thickBot="1" x14ac:dyDescent="0.4">
      <c r="A551" s="3"/>
      <c r="B551" s="5"/>
      <c r="C551" s="3"/>
    </row>
    <row r="552" spans="1:3" ht="15" thickBot="1" x14ac:dyDescent="0.4">
      <c r="A552" s="3"/>
      <c r="B552" s="5"/>
      <c r="C552" s="3"/>
    </row>
    <row r="553" spans="1:3" ht="15" thickBot="1" x14ac:dyDescent="0.4">
      <c r="A553" s="3"/>
      <c r="B553" s="5"/>
      <c r="C553" s="3"/>
    </row>
    <row r="554" spans="1:3" ht="15" thickBot="1" x14ac:dyDescent="0.4">
      <c r="A554" s="3"/>
      <c r="B554" s="5"/>
      <c r="C554" s="3"/>
    </row>
    <row r="555" spans="1:3" ht="15" thickBot="1" x14ac:dyDescent="0.4">
      <c r="A555" s="3"/>
      <c r="B555" s="5"/>
      <c r="C555" s="3"/>
    </row>
    <row r="556" spans="1:3" ht="15" thickBot="1" x14ac:dyDescent="0.4">
      <c r="A556" s="3"/>
      <c r="B556" s="5"/>
      <c r="C556" s="3"/>
    </row>
    <row r="557" spans="1:3" ht="15" thickBot="1" x14ac:dyDescent="0.4">
      <c r="A557" s="3"/>
      <c r="B557" s="5"/>
      <c r="C557" s="3"/>
    </row>
    <row r="558" spans="1:3" ht="15" thickBot="1" x14ac:dyDescent="0.4">
      <c r="A558" s="3"/>
      <c r="B558" s="5"/>
      <c r="C558" s="3"/>
    </row>
    <row r="559" spans="1:3" ht="15" thickBot="1" x14ac:dyDescent="0.4">
      <c r="A559" s="3"/>
      <c r="B559" s="5"/>
      <c r="C559" s="3"/>
    </row>
    <row r="560" spans="1:3" ht="15" thickBot="1" x14ac:dyDescent="0.4">
      <c r="A560" s="3"/>
      <c r="B560" s="5"/>
      <c r="C560" s="3"/>
    </row>
    <row r="561" spans="1:3" ht="15" thickBot="1" x14ac:dyDescent="0.4">
      <c r="A561" s="3"/>
      <c r="B561" s="5"/>
      <c r="C561" s="3"/>
    </row>
    <row r="562" spans="1:3" ht="15" thickBot="1" x14ac:dyDescent="0.4">
      <c r="A562" s="3"/>
      <c r="B562" s="5"/>
      <c r="C562" s="3"/>
    </row>
    <row r="563" spans="1:3" ht="15" thickBot="1" x14ac:dyDescent="0.4">
      <c r="A563" s="3"/>
      <c r="B563" s="5"/>
      <c r="C563" s="3"/>
    </row>
    <row r="564" spans="1:3" ht="15" thickBot="1" x14ac:dyDescent="0.4">
      <c r="A564" s="3"/>
      <c r="B564" s="5"/>
      <c r="C564" s="3"/>
    </row>
    <row r="565" spans="1:3" ht="15" thickBot="1" x14ac:dyDescent="0.4">
      <c r="A565" s="3"/>
      <c r="B565" s="5"/>
      <c r="C565" s="3"/>
    </row>
    <row r="566" spans="1:3" ht="15" thickBot="1" x14ac:dyDescent="0.4">
      <c r="A566" s="3"/>
      <c r="B566" s="5"/>
      <c r="C566" s="3"/>
    </row>
    <row r="567" spans="1:3" ht="15" thickBot="1" x14ac:dyDescent="0.4">
      <c r="A567" s="3"/>
      <c r="B567" s="5"/>
      <c r="C567" s="3"/>
    </row>
    <row r="568" spans="1:3" ht="15" thickBot="1" x14ac:dyDescent="0.4">
      <c r="A568" s="3"/>
      <c r="B568" s="5"/>
      <c r="C568" s="3"/>
    </row>
    <row r="569" spans="1:3" ht="15" thickBot="1" x14ac:dyDescent="0.4">
      <c r="A569" s="3"/>
      <c r="B569" s="5"/>
      <c r="C569" s="3"/>
    </row>
    <row r="570" spans="1:3" ht="15" thickBot="1" x14ac:dyDescent="0.4">
      <c r="A570" s="3"/>
      <c r="B570" s="5"/>
      <c r="C570" s="3"/>
    </row>
    <row r="571" spans="1:3" ht="15" thickBot="1" x14ac:dyDescent="0.4">
      <c r="A571" s="3"/>
      <c r="B571" s="5"/>
      <c r="C571" s="3"/>
    </row>
    <row r="572" spans="1:3" ht="15" thickBot="1" x14ac:dyDescent="0.4">
      <c r="A572" s="3"/>
      <c r="B572" s="5"/>
      <c r="C572" s="3"/>
    </row>
    <row r="573" spans="1:3" ht="15" thickBot="1" x14ac:dyDescent="0.4">
      <c r="A573" s="3"/>
      <c r="B573" s="5"/>
      <c r="C573" s="3"/>
    </row>
    <row r="574" spans="1:3" ht="15" thickBot="1" x14ac:dyDescent="0.4">
      <c r="A574" s="3"/>
      <c r="B574" s="5"/>
      <c r="C574" s="3"/>
    </row>
    <row r="575" spans="1:3" ht="15" thickBot="1" x14ac:dyDescent="0.4">
      <c r="A575" s="3"/>
      <c r="B575" s="5"/>
      <c r="C575" s="3"/>
    </row>
    <row r="576" spans="1:3" ht="15" thickBot="1" x14ac:dyDescent="0.4">
      <c r="A576" s="3"/>
      <c r="B576" s="5"/>
      <c r="C576" s="3"/>
    </row>
    <row r="577" spans="1:3" ht="15" thickBot="1" x14ac:dyDescent="0.4">
      <c r="A577" s="3"/>
      <c r="B577" s="5"/>
      <c r="C577" s="3"/>
    </row>
    <row r="578" spans="1:3" ht="15" thickBot="1" x14ac:dyDescent="0.4">
      <c r="A578" s="3"/>
      <c r="B578" s="5"/>
      <c r="C578" s="3"/>
    </row>
    <row r="579" spans="1:3" ht="15" thickBot="1" x14ac:dyDescent="0.4">
      <c r="A579" s="3"/>
      <c r="B579" s="5"/>
      <c r="C579" s="3"/>
    </row>
    <row r="580" spans="1:3" ht="15" thickBot="1" x14ac:dyDescent="0.4">
      <c r="A580" s="3"/>
      <c r="B580" s="5"/>
      <c r="C580" s="3"/>
    </row>
    <row r="581" spans="1:3" ht="15" thickBot="1" x14ac:dyDescent="0.4">
      <c r="A581" s="3"/>
      <c r="B581" s="5"/>
      <c r="C581" s="3"/>
    </row>
    <row r="582" spans="1:3" ht="15" thickBot="1" x14ac:dyDescent="0.4">
      <c r="A582" s="3"/>
      <c r="B582" s="5"/>
      <c r="C582" s="3"/>
    </row>
    <row r="583" spans="1:3" ht="15" thickBot="1" x14ac:dyDescent="0.4">
      <c r="A583" s="3"/>
      <c r="B583" s="5"/>
      <c r="C583" s="3"/>
    </row>
    <row r="584" spans="1:3" ht="15" thickBot="1" x14ac:dyDescent="0.4">
      <c r="A584" s="3"/>
      <c r="B584" s="5"/>
      <c r="C584" s="3"/>
    </row>
    <row r="585" spans="1:3" ht="15" thickBot="1" x14ac:dyDescent="0.4">
      <c r="A585" s="3"/>
      <c r="B585" s="5"/>
      <c r="C585" s="3"/>
    </row>
    <row r="586" spans="1:3" ht="15" thickBot="1" x14ac:dyDescent="0.4">
      <c r="A586" s="3"/>
      <c r="B586" s="5"/>
      <c r="C586" s="3"/>
    </row>
    <row r="587" spans="1:3" ht="15" thickBot="1" x14ac:dyDescent="0.4">
      <c r="A587" s="3"/>
      <c r="B587" s="5"/>
      <c r="C587" s="3"/>
    </row>
    <row r="588" spans="1:3" ht="15" thickBot="1" x14ac:dyDescent="0.4">
      <c r="A588" s="3"/>
      <c r="B588" s="5"/>
      <c r="C588" s="3"/>
    </row>
    <row r="589" spans="1:3" ht="15" thickBot="1" x14ac:dyDescent="0.4">
      <c r="A589" s="3"/>
      <c r="B589" s="5"/>
      <c r="C589" s="3"/>
    </row>
    <row r="590" spans="1:3" ht="15" thickBot="1" x14ac:dyDescent="0.4">
      <c r="A590" s="3"/>
      <c r="B590" s="5"/>
      <c r="C590" s="3"/>
    </row>
    <row r="591" spans="1:3" ht="15" thickBot="1" x14ac:dyDescent="0.4">
      <c r="A591" s="3"/>
      <c r="B591" s="5"/>
      <c r="C591" s="3"/>
    </row>
    <row r="592" spans="1:3" ht="15" thickBot="1" x14ac:dyDescent="0.4">
      <c r="A592" s="3"/>
      <c r="B592" s="5"/>
      <c r="C592" s="3"/>
    </row>
    <row r="593" spans="1:3" ht="15" thickBot="1" x14ac:dyDescent="0.4">
      <c r="A593" s="3"/>
      <c r="B593" s="5"/>
      <c r="C593" s="3"/>
    </row>
    <row r="594" spans="1:3" ht="15" thickBot="1" x14ac:dyDescent="0.4">
      <c r="A594" s="3"/>
      <c r="B594" s="5"/>
      <c r="C594" s="3"/>
    </row>
    <row r="595" spans="1:3" ht="15" thickBot="1" x14ac:dyDescent="0.4">
      <c r="A595" s="3"/>
      <c r="B595" s="5"/>
      <c r="C595" s="3"/>
    </row>
    <row r="596" spans="1:3" ht="15" thickBot="1" x14ac:dyDescent="0.4">
      <c r="A596" s="3"/>
      <c r="B596" s="5"/>
      <c r="C596" s="3"/>
    </row>
    <row r="597" spans="1:3" ht="15" thickBot="1" x14ac:dyDescent="0.4">
      <c r="A597" s="3"/>
      <c r="B597" s="5"/>
      <c r="C597" s="3"/>
    </row>
    <row r="598" spans="1:3" ht="15" thickBot="1" x14ac:dyDescent="0.4">
      <c r="A598" s="3"/>
      <c r="B598" s="5"/>
      <c r="C598" s="3"/>
    </row>
    <row r="599" spans="1:3" ht="15" thickBot="1" x14ac:dyDescent="0.4">
      <c r="A599" s="3"/>
      <c r="B599" s="5"/>
      <c r="C599" s="3"/>
    </row>
    <row r="600" spans="1:3" ht="15" thickBot="1" x14ac:dyDescent="0.4">
      <c r="A600" s="3"/>
      <c r="B600" s="5"/>
      <c r="C600" s="3"/>
    </row>
    <row r="601" spans="1:3" ht="15" thickBot="1" x14ac:dyDescent="0.4">
      <c r="A601" s="3"/>
      <c r="B601" s="5"/>
      <c r="C601" s="3"/>
    </row>
    <row r="602" spans="1:3" ht="15" thickBot="1" x14ac:dyDescent="0.4">
      <c r="A602" s="3"/>
      <c r="B602" s="5"/>
      <c r="C602" s="3"/>
    </row>
    <row r="603" spans="1:3" ht="15" thickBot="1" x14ac:dyDescent="0.4">
      <c r="A603" s="3"/>
      <c r="B603" s="5"/>
      <c r="C603" s="3"/>
    </row>
    <row r="604" spans="1:3" ht="15" thickBot="1" x14ac:dyDescent="0.4">
      <c r="A604" s="3"/>
      <c r="B604" s="5"/>
      <c r="C604" s="3"/>
    </row>
    <row r="605" spans="1:3" ht="15" thickBot="1" x14ac:dyDescent="0.4">
      <c r="A605" s="3"/>
      <c r="B605" s="5"/>
      <c r="C605" s="3"/>
    </row>
    <row r="606" spans="1:3" ht="15" thickBot="1" x14ac:dyDescent="0.4">
      <c r="A606" s="3"/>
      <c r="B606" s="5"/>
      <c r="C606" s="3"/>
    </row>
    <row r="607" spans="1:3" ht="15" thickBot="1" x14ac:dyDescent="0.4">
      <c r="A607" s="3"/>
      <c r="B607" s="5"/>
      <c r="C607" s="3"/>
    </row>
    <row r="608" spans="1:3" ht="15" thickBot="1" x14ac:dyDescent="0.4">
      <c r="A608" s="3"/>
      <c r="B608" s="5"/>
      <c r="C608" s="3"/>
    </row>
    <row r="609" spans="1:3" ht="15" thickBot="1" x14ac:dyDescent="0.4">
      <c r="A609" s="3"/>
      <c r="B609" s="5"/>
      <c r="C609" s="3"/>
    </row>
    <row r="610" spans="1:3" ht="15" thickBot="1" x14ac:dyDescent="0.4">
      <c r="A610" s="3"/>
      <c r="B610" s="5"/>
      <c r="C610" s="3"/>
    </row>
    <row r="611" spans="1:3" ht="15" thickBot="1" x14ac:dyDescent="0.4">
      <c r="A611" s="3"/>
      <c r="B611" s="5"/>
      <c r="C611" s="3"/>
    </row>
    <row r="612" spans="1:3" ht="15" thickBot="1" x14ac:dyDescent="0.4">
      <c r="A612" s="3"/>
      <c r="B612" s="5"/>
      <c r="C612" s="3"/>
    </row>
    <row r="613" spans="1:3" ht="15" thickBot="1" x14ac:dyDescent="0.4">
      <c r="A613" s="3"/>
      <c r="B613" s="5"/>
      <c r="C613" s="3"/>
    </row>
    <row r="614" spans="1:3" ht="15" thickBot="1" x14ac:dyDescent="0.4">
      <c r="A614" s="3"/>
      <c r="B614" s="5"/>
      <c r="C614" s="3"/>
    </row>
    <row r="615" spans="1:3" ht="15" thickBot="1" x14ac:dyDescent="0.4">
      <c r="A615" s="3"/>
      <c r="B615" s="5"/>
      <c r="C615" s="3"/>
    </row>
    <row r="616" spans="1:3" ht="15" thickBot="1" x14ac:dyDescent="0.4">
      <c r="A616" s="3"/>
      <c r="B616" s="5"/>
      <c r="C616" s="3"/>
    </row>
    <row r="617" spans="1:3" ht="15" thickBot="1" x14ac:dyDescent="0.4">
      <c r="A617" s="3"/>
      <c r="B617" s="5"/>
      <c r="C617" s="3"/>
    </row>
    <row r="618" spans="1:3" ht="15" thickBot="1" x14ac:dyDescent="0.4">
      <c r="A618" s="3"/>
      <c r="B618" s="5"/>
      <c r="C618" s="3"/>
    </row>
    <row r="619" spans="1:3" ht="15" thickBot="1" x14ac:dyDescent="0.4">
      <c r="A619" s="3"/>
      <c r="B619" s="5"/>
      <c r="C619" s="3"/>
    </row>
    <row r="620" spans="1:3" ht="15" thickBot="1" x14ac:dyDescent="0.4">
      <c r="A620" s="3"/>
      <c r="B620" s="5"/>
      <c r="C620" s="3"/>
    </row>
    <row r="621" spans="1:3" ht="15" thickBot="1" x14ac:dyDescent="0.4">
      <c r="A621" s="3"/>
      <c r="B621" s="5"/>
      <c r="C621" s="3"/>
    </row>
    <row r="622" spans="1:3" ht="15" thickBot="1" x14ac:dyDescent="0.4">
      <c r="A622" s="3"/>
      <c r="B622" s="5"/>
      <c r="C622" s="3"/>
    </row>
    <row r="623" spans="1:3" ht="15" thickBot="1" x14ac:dyDescent="0.4">
      <c r="A623" s="3"/>
      <c r="B623" s="5"/>
      <c r="C623" s="3"/>
    </row>
    <row r="624" spans="1:3" ht="15" thickBot="1" x14ac:dyDescent="0.4">
      <c r="A624" s="3"/>
      <c r="B624" s="5"/>
      <c r="C624" s="3"/>
    </row>
    <row r="625" spans="1:3" ht="15" thickBot="1" x14ac:dyDescent="0.4">
      <c r="A625" s="3"/>
      <c r="B625" s="5"/>
      <c r="C625" s="3"/>
    </row>
    <row r="626" spans="1:3" ht="15" thickBot="1" x14ac:dyDescent="0.4">
      <c r="A626" s="3"/>
      <c r="B626" s="5"/>
      <c r="C626" s="3"/>
    </row>
    <row r="627" spans="1:3" ht="15" thickBot="1" x14ac:dyDescent="0.4">
      <c r="A627" s="3"/>
      <c r="B627" s="5"/>
      <c r="C627" s="3"/>
    </row>
    <row r="628" spans="1:3" ht="15" thickBot="1" x14ac:dyDescent="0.4">
      <c r="A628" s="3"/>
      <c r="B628" s="5"/>
      <c r="C628" s="3"/>
    </row>
    <row r="629" spans="1:3" ht="15" thickBot="1" x14ac:dyDescent="0.4">
      <c r="A629" s="3"/>
      <c r="B629" s="5"/>
      <c r="C629" s="3"/>
    </row>
    <row r="630" spans="1:3" ht="15" thickBot="1" x14ac:dyDescent="0.4">
      <c r="A630" s="3"/>
      <c r="B630" s="5"/>
      <c r="C630" s="3"/>
    </row>
    <row r="631" spans="1:3" ht="15" thickBot="1" x14ac:dyDescent="0.4">
      <c r="A631" s="3"/>
      <c r="B631" s="5"/>
      <c r="C631" s="3"/>
    </row>
    <row r="632" spans="1:3" ht="15" thickBot="1" x14ac:dyDescent="0.4">
      <c r="A632" s="3"/>
      <c r="B632" s="5"/>
      <c r="C632" s="3"/>
    </row>
    <row r="633" spans="1:3" ht="15" thickBot="1" x14ac:dyDescent="0.4">
      <c r="A633" s="3"/>
      <c r="B633" s="5"/>
      <c r="C633" s="3"/>
    </row>
    <row r="634" spans="1:3" ht="15" thickBot="1" x14ac:dyDescent="0.4">
      <c r="A634" s="3"/>
      <c r="B634" s="5"/>
      <c r="C634" s="3"/>
    </row>
    <row r="635" spans="1:3" ht="15" thickBot="1" x14ac:dyDescent="0.4">
      <c r="A635" s="3"/>
      <c r="B635" s="5"/>
      <c r="C635" s="3"/>
    </row>
    <row r="636" spans="1:3" ht="15" thickBot="1" x14ac:dyDescent="0.4">
      <c r="A636" s="3"/>
      <c r="B636" s="5"/>
      <c r="C636" s="3"/>
    </row>
    <row r="637" spans="1:3" ht="15" thickBot="1" x14ac:dyDescent="0.4">
      <c r="A637" s="3"/>
      <c r="B637" s="5"/>
      <c r="C637" s="3"/>
    </row>
    <row r="638" spans="1:3" ht="15" thickBot="1" x14ac:dyDescent="0.4">
      <c r="A638" s="3"/>
      <c r="B638" s="5"/>
      <c r="C638" s="3"/>
    </row>
    <row r="639" spans="1:3" ht="15" thickBot="1" x14ac:dyDescent="0.4">
      <c r="A639" s="3"/>
      <c r="B639" s="5"/>
      <c r="C639" s="3"/>
    </row>
    <row r="640" spans="1:3" ht="15" thickBot="1" x14ac:dyDescent="0.4">
      <c r="A640" s="3"/>
      <c r="B640" s="5"/>
      <c r="C640" s="3"/>
    </row>
    <row r="641" spans="1:3" ht="15" thickBot="1" x14ac:dyDescent="0.4">
      <c r="A641" s="3"/>
      <c r="B641" s="5"/>
      <c r="C641" s="3"/>
    </row>
    <row r="642" spans="1:3" ht="15" thickBot="1" x14ac:dyDescent="0.4">
      <c r="A642" s="3"/>
      <c r="B642" s="5"/>
      <c r="C642" s="3"/>
    </row>
    <row r="643" spans="1:3" ht="15" thickBot="1" x14ac:dyDescent="0.4">
      <c r="A643" s="3"/>
      <c r="B643" s="5"/>
      <c r="C643" s="3"/>
    </row>
    <row r="644" spans="1:3" ht="15" thickBot="1" x14ac:dyDescent="0.4">
      <c r="A644" s="3"/>
      <c r="B644" s="5"/>
      <c r="C644" s="3"/>
    </row>
    <row r="645" spans="1:3" ht="15" thickBot="1" x14ac:dyDescent="0.4">
      <c r="A645" s="3"/>
      <c r="B645" s="5"/>
      <c r="C645" s="3"/>
    </row>
    <row r="646" spans="1:3" ht="15" thickBot="1" x14ac:dyDescent="0.4">
      <c r="A646" s="3"/>
      <c r="B646" s="5"/>
      <c r="C646" s="3"/>
    </row>
    <row r="647" spans="1:3" ht="15" thickBot="1" x14ac:dyDescent="0.4">
      <c r="A647" s="3"/>
      <c r="B647" s="5"/>
      <c r="C647" s="3"/>
    </row>
    <row r="648" spans="1:3" ht="15" thickBot="1" x14ac:dyDescent="0.4">
      <c r="A648" s="3"/>
      <c r="B648" s="5"/>
      <c r="C648" s="3"/>
    </row>
    <row r="649" spans="1:3" ht="15" thickBot="1" x14ac:dyDescent="0.4">
      <c r="A649" s="3"/>
      <c r="B649" s="5"/>
      <c r="C649" s="3"/>
    </row>
    <row r="650" spans="1:3" ht="15" thickBot="1" x14ac:dyDescent="0.4">
      <c r="A650" s="3"/>
      <c r="B650" s="5"/>
      <c r="C650" s="3"/>
    </row>
    <row r="651" spans="1:3" ht="15" thickBot="1" x14ac:dyDescent="0.4">
      <c r="A651" s="3"/>
      <c r="B651" s="5"/>
      <c r="C651" s="3"/>
    </row>
    <row r="652" spans="1:3" ht="15" thickBot="1" x14ac:dyDescent="0.4">
      <c r="A652" s="3"/>
      <c r="B652" s="5"/>
      <c r="C652" s="3"/>
    </row>
    <row r="653" spans="1:3" ht="15" thickBot="1" x14ac:dyDescent="0.4">
      <c r="A653" s="3"/>
      <c r="B653" s="5"/>
      <c r="C653" s="3"/>
    </row>
    <row r="654" spans="1:3" ht="15" thickBot="1" x14ac:dyDescent="0.4">
      <c r="A654" s="3"/>
      <c r="B654" s="5"/>
      <c r="C654" s="3"/>
    </row>
    <row r="655" spans="1:3" ht="15" thickBot="1" x14ac:dyDescent="0.4">
      <c r="A655" s="3"/>
      <c r="B655" s="5"/>
      <c r="C655" s="3"/>
    </row>
    <row r="656" spans="1:3" ht="15" thickBot="1" x14ac:dyDescent="0.4">
      <c r="A656" s="3"/>
      <c r="B656" s="5"/>
      <c r="C656" s="3"/>
    </row>
    <row r="657" spans="1:3" ht="15" thickBot="1" x14ac:dyDescent="0.4">
      <c r="A657" s="3"/>
      <c r="B657" s="5"/>
      <c r="C657" s="3"/>
    </row>
    <row r="658" spans="1:3" ht="15" thickBot="1" x14ac:dyDescent="0.4">
      <c r="A658" s="3"/>
      <c r="B658" s="5"/>
      <c r="C658" s="3"/>
    </row>
    <row r="659" spans="1:3" ht="15" thickBot="1" x14ac:dyDescent="0.4">
      <c r="A659" s="3"/>
      <c r="B659" s="5"/>
      <c r="C659" s="3"/>
    </row>
    <row r="660" spans="1:3" ht="15" thickBot="1" x14ac:dyDescent="0.4">
      <c r="A660" s="3"/>
      <c r="B660" s="5"/>
      <c r="C660" s="3"/>
    </row>
    <row r="661" spans="1:3" ht="15" thickBot="1" x14ac:dyDescent="0.4">
      <c r="A661" s="3"/>
      <c r="B661" s="5"/>
      <c r="C661" s="3"/>
    </row>
    <row r="662" spans="1:3" ht="15" thickBot="1" x14ac:dyDescent="0.4">
      <c r="A662" s="3"/>
      <c r="B662" s="5"/>
      <c r="C662" s="3"/>
    </row>
    <row r="663" spans="1:3" ht="15" thickBot="1" x14ac:dyDescent="0.4">
      <c r="A663" s="3"/>
      <c r="B663" s="5"/>
      <c r="C663" s="3"/>
    </row>
    <row r="664" spans="1:3" ht="15" thickBot="1" x14ac:dyDescent="0.4">
      <c r="A664" s="3"/>
      <c r="B664" s="5"/>
      <c r="C664" s="3"/>
    </row>
    <row r="665" spans="1:3" ht="15" thickBot="1" x14ac:dyDescent="0.4">
      <c r="A665" s="3"/>
      <c r="B665" s="5"/>
      <c r="C665" s="3"/>
    </row>
    <row r="666" spans="1:3" ht="15" thickBot="1" x14ac:dyDescent="0.4">
      <c r="A666" s="3"/>
      <c r="B666" s="5"/>
      <c r="C666" s="3"/>
    </row>
    <row r="667" spans="1:3" ht="15" thickBot="1" x14ac:dyDescent="0.4">
      <c r="A667" s="3"/>
      <c r="B667" s="5"/>
      <c r="C667" s="3"/>
    </row>
    <row r="668" spans="1:3" ht="15" thickBot="1" x14ac:dyDescent="0.4">
      <c r="A668" s="3"/>
      <c r="B668" s="5"/>
      <c r="C668" s="3"/>
    </row>
    <row r="669" spans="1:3" ht="15" thickBot="1" x14ac:dyDescent="0.4">
      <c r="A669" s="3"/>
      <c r="B669" s="5"/>
      <c r="C669" s="3"/>
    </row>
    <row r="670" spans="1:3" ht="15" thickBot="1" x14ac:dyDescent="0.4">
      <c r="A670" s="3"/>
      <c r="B670" s="5"/>
      <c r="C670" s="3"/>
    </row>
    <row r="671" spans="1:3" ht="15" thickBot="1" x14ac:dyDescent="0.4">
      <c r="A671" s="3"/>
      <c r="B671" s="5"/>
      <c r="C671" s="3"/>
    </row>
    <row r="672" spans="1:3" ht="15" thickBot="1" x14ac:dyDescent="0.4">
      <c r="A672" s="3"/>
      <c r="B672" s="5"/>
      <c r="C672" s="3"/>
    </row>
    <row r="673" spans="1:3" ht="15" thickBot="1" x14ac:dyDescent="0.4">
      <c r="A673" s="3"/>
      <c r="B673" s="5"/>
      <c r="C673" s="3"/>
    </row>
    <row r="674" spans="1:3" ht="15" thickBot="1" x14ac:dyDescent="0.4">
      <c r="A674" s="3"/>
      <c r="B674" s="5"/>
      <c r="C674" s="3"/>
    </row>
    <row r="675" spans="1:3" ht="15" thickBot="1" x14ac:dyDescent="0.4">
      <c r="A675" s="3"/>
      <c r="B675" s="5"/>
      <c r="C675" s="3"/>
    </row>
    <row r="676" spans="1:3" ht="15" thickBot="1" x14ac:dyDescent="0.4">
      <c r="A676" s="3"/>
      <c r="B676" s="5"/>
      <c r="C676" s="3"/>
    </row>
    <row r="677" spans="1:3" ht="15" thickBot="1" x14ac:dyDescent="0.4">
      <c r="A677" s="3"/>
      <c r="B677" s="5"/>
      <c r="C677" s="3"/>
    </row>
    <row r="678" spans="1:3" ht="15" thickBot="1" x14ac:dyDescent="0.4">
      <c r="A678" s="3"/>
      <c r="B678" s="5"/>
      <c r="C678" s="3"/>
    </row>
    <row r="679" spans="1:3" ht="15" thickBot="1" x14ac:dyDescent="0.4">
      <c r="A679" s="3"/>
      <c r="B679" s="5"/>
      <c r="C679" s="3"/>
    </row>
    <row r="680" spans="1:3" ht="15" thickBot="1" x14ac:dyDescent="0.4">
      <c r="A680" s="3"/>
      <c r="B680" s="5"/>
      <c r="C680" s="3"/>
    </row>
    <row r="681" spans="1:3" ht="15" thickBot="1" x14ac:dyDescent="0.4">
      <c r="A681" s="3"/>
      <c r="B681" s="5"/>
      <c r="C681" s="3"/>
    </row>
    <row r="682" spans="1:3" ht="15" thickBot="1" x14ac:dyDescent="0.4">
      <c r="A682" s="3"/>
      <c r="B682" s="5"/>
      <c r="C682" s="3"/>
    </row>
    <row r="683" spans="1:3" ht="15" thickBot="1" x14ac:dyDescent="0.4">
      <c r="A683" s="3"/>
      <c r="B683" s="5"/>
      <c r="C683" s="3"/>
    </row>
    <row r="684" spans="1:3" ht="15" thickBot="1" x14ac:dyDescent="0.4">
      <c r="A684" s="3"/>
      <c r="B684" s="5"/>
      <c r="C684" s="3"/>
    </row>
    <row r="685" spans="1:3" ht="15" thickBot="1" x14ac:dyDescent="0.4">
      <c r="A685" s="3"/>
      <c r="B685" s="5"/>
      <c r="C685" s="3"/>
    </row>
    <row r="686" spans="1:3" ht="15" thickBot="1" x14ac:dyDescent="0.4">
      <c r="A686" s="3"/>
      <c r="B686" s="5"/>
      <c r="C686" s="3"/>
    </row>
    <row r="687" spans="1:3" ht="15" thickBot="1" x14ac:dyDescent="0.4">
      <c r="A687" s="3"/>
      <c r="B687" s="5"/>
      <c r="C687" s="3"/>
    </row>
    <row r="688" spans="1:3" ht="15" thickBot="1" x14ac:dyDescent="0.4">
      <c r="A688" s="3"/>
      <c r="B688" s="5"/>
      <c r="C688" s="3"/>
    </row>
    <row r="689" spans="1:3" ht="15" thickBot="1" x14ac:dyDescent="0.4">
      <c r="A689" s="3"/>
      <c r="B689" s="5"/>
      <c r="C689" s="3"/>
    </row>
    <row r="690" spans="1:3" ht="15" thickBot="1" x14ac:dyDescent="0.4">
      <c r="A690" s="3"/>
      <c r="B690" s="5"/>
      <c r="C690" s="3"/>
    </row>
    <row r="691" spans="1:3" ht="15" thickBot="1" x14ac:dyDescent="0.4">
      <c r="A691" s="3"/>
      <c r="B691" s="5"/>
      <c r="C691" s="3"/>
    </row>
    <row r="692" spans="1:3" ht="15" thickBot="1" x14ac:dyDescent="0.4">
      <c r="A692" s="3"/>
      <c r="B692" s="5"/>
      <c r="C692" s="3"/>
    </row>
    <row r="693" spans="1:3" ht="15" thickBot="1" x14ac:dyDescent="0.4">
      <c r="A693" s="3"/>
      <c r="B693" s="5"/>
      <c r="C693" s="3"/>
    </row>
    <row r="694" spans="1:3" ht="15" thickBot="1" x14ac:dyDescent="0.4">
      <c r="A694" s="3"/>
      <c r="B694" s="5"/>
      <c r="C694" s="3"/>
    </row>
    <row r="695" spans="1:3" ht="15" thickBot="1" x14ac:dyDescent="0.4">
      <c r="A695" s="3"/>
      <c r="B695" s="5"/>
      <c r="C695" s="3"/>
    </row>
    <row r="696" spans="1:3" ht="15" thickBot="1" x14ac:dyDescent="0.4">
      <c r="A696" s="3"/>
      <c r="B696" s="5"/>
      <c r="C696" s="3"/>
    </row>
    <row r="697" spans="1:3" ht="15" thickBot="1" x14ac:dyDescent="0.4">
      <c r="A697" s="3"/>
      <c r="B697" s="5"/>
      <c r="C697" s="3"/>
    </row>
    <row r="698" spans="1:3" ht="15" thickBot="1" x14ac:dyDescent="0.4">
      <c r="A698" s="3"/>
      <c r="B698" s="5"/>
      <c r="C698" s="3"/>
    </row>
    <row r="699" spans="1:3" ht="15" thickBot="1" x14ac:dyDescent="0.4">
      <c r="A699" s="3"/>
      <c r="B699" s="5"/>
      <c r="C699" s="3"/>
    </row>
    <row r="700" spans="1:3" ht="15" thickBot="1" x14ac:dyDescent="0.4">
      <c r="A700" s="3"/>
      <c r="B700" s="5"/>
      <c r="C700" s="3"/>
    </row>
    <row r="701" spans="1:3" ht="15" thickBot="1" x14ac:dyDescent="0.4">
      <c r="A701" s="3"/>
      <c r="B701" s="5"/>
      <c r="C701" s="3"/>
    </row>
    <row r="702" spans="1:3" ht="15" thickBot="1" x14ac:dyDescent="0.4">
      <c r="A702" s="3"/>
      <c r="B702" s="5"/>
      <c r="C702" s="3"/>
    </row>
    <row r="703" spans="1:3" ht="15" thickBot="1" x14ac:dyDescent="0.4">
      <c r="A703" s="3"/>
      <c r="B703" s="5"/>
      <c r="C703" s="3"/>
    </row>
    <row r="704" spans="1:3" ht="15" thickBot="1" x14ac:dyDescent="0.4">
      <c r="A704" s="3"/>
      <c r="B704" s="5"/>
      <c r="C704" s="3"/>
    </row>
    <row r="705" spans="1:3" ht="15" thickBot="1" x14ac:dyDescent="0.4">
      <c r="A705" s="3"/>
      <c r="B705" s="5"/>
      <c r="C705" s="3"/>
    </row>
    <row r="706" spans="1:3" ht="15" thickBot="1" x14ac:dyDescent="0.4">
      <c r="A706" s="3"/>
      <c r="B706" s="5"/>
      <c r="C706" s="3"/>
    </row>
    <row r="707" spans="1:3" ht="15" thickBot="1" x14ac:dyDescent="0.4">
      <c r="A707" s="3"/>
      <c r="B707" s="5"/>
      <c r="C707" s="3"/>
    </row>
    <row r="708" spans="1:3" ht="15" thickBot="1" x14ac:dyDescent="0.4">
      <c r="A708" s="3"/>
      <c r="B708" s="5"/>
      <c r="C708" s="3"/>
    </row>
    <row r="709" spans="1:3" ht="15" thickBot="1" x14ac:dyDescent="0.4">
      <c r="A709" s="3"/>
      <c r="B709" s="5"/>
      <c r="C709" s="3"/>
    </row>
    <row r="710" spans="1:3" ht="15" thickBot="1" x14ac:dyDescent="0.4">
      <c r="A710" s="3"/>
      <c r="B710" s="5"/>
      <c r="C710" s="3"/>
    </row>
    <row r="711" spans="1:3" ht="15" thickBot="1" x14ac:dyDescent="0.4">
      <c r="A711" s="3"/>
      <c r="B711" s="5"/>
      <c r="C711" s="3"/>
    </row>
    <row r="712" spans="1:3" ht="15" thickBot="1" x14ac:dyDescent="0.4">
      <c r="A712" s="3"/>
      <c r="B712" s="5"/>
      <c r="C712" s="3"/>
    </row>
    <row r="713" spans="1:3" ht="15" thickBot="1" x14ac:dyDescent="0.4">
      <c r="A713" s="3"/>
      <c r="B713" s="5"/>
      <c r="C713" s="3"/>
    </row>
    <row r="714" spans="1:3" ht="15" thickBot="1" x14ac:dyDescent="0.4">
      <c r="A714" s="3"/>
      <c r="B714" s="5"/>
      <c r="C714" s="3"/>
    </row>
    <row r="715" spans="1:3" ht="15" thickBot="1" x14ac:dyDescent="0.4">
      <c r="A715" s="3"/>
      <c r="B715" s="5"/>
      <c r="C715" s="3"/>
    </row>
    <row r="716" spans="1:3" ht="15" thickBot="1" x14ac:dyDescent="0.4">
      <c r="A716" s="3"/>
      <c r="B716" s="5"/>
      <c r="C716" s="3"/>
    </row>
    <row r="717" spans="1:3" ht="15" thickBot="1" x14ac:dyDescent="0.4">
      <c r="A717" s="3"/>
      <c r="B717" s="5"/>
      <c r="C717" s="3"/>
    </row>
    <row r="718" spans="1:3" ht="15" thickBot="1" x14ac:dyDescent="0.4">
      <c r="A718" s="3"/>
      <c r="B718" s="5"/>
      <c r="C718" s="3"/>
    </row>
    <row r="719" spans="1:3" ht="15" thickBot="1" x14ac:dyDescent="0.4">
      <c r="A719" s="3"/>
      <c r="B719" s="5"/>
      <c r="C719" s="3"/>
    </row>
    <row r="720" spans="1:3" ht="15" thickBot="1" x14ac:dyDescent="0.4">
      <c r="A720" s="3"/>
      <c r="B720" s="5"/>
      <c r="C720" s="3"/>
    </row>
    <row r="721" spans="1:3" ht="15" thickBot="1" x14ac:dyDescent="0.4">
      <c r="A721" s="3"/>
      <c r="B721" s="5"/>
      <c r="C721" s="3"/>
    </row>
    <row r="722" spans="1:3" ht="15" thickBot="1" x14ac:dyDescent="0.4">
      <c r="A722" s="3"/>
      <c r="B722" s="5"/>
      <c r="C722" s="3"/>
    </row>
    <row r="723" spans="1:3" ht="15" thickBot="1" x14ac:dyDescent="0.4">
      <c r="A723" s="3"/>
      <c r="B723" s="5"/>
      <c r="C723" s="3"/>
    </row>
    <row r="724" spans="1:3" ht="15" thickBot="1" x14ac:dyDescent="0.4">
      <c r="A724" s="3"/>
      <c r="B724" s="5"/>
      <c r="C724" s="3"/>
    </row>
    <row r="725" spans="1:3" ht="15" thickBot="1" x14ac:dyDescent="0.4">
      <c r="A725" s="3"/>
      <c r="B725" s="5"/>
      <c r="C725" s="3"/>
    </row>
    <row r="726" spans="1:3" ht="15" thickBot="1" x14ac:dyDescent="0.4">
      <c r="A726" s="3"/>
      <c r="B726" s="5"/>
      <c r="C726" s="3"/>
    </row>
    <row r="727" spans="1:3" ht="15" thickBot="1" x14ac:dyDescent="0.4">
      <c r="A727" s="3"/>
      <c r="B727" s="5"/>
      <c r="C727" s="3"/>
    </row>
    <row r="728" spans="1:3" ht="15" thickBot="1" x14ac:dyDescent="0.4">
      <c r="A728" s="3"/>
      <c r="B728" s="5"/>
      <c r="C728" s="3"/>
    </row>
    <row r="729" spans="1:3" ht="15" thickBot="1" x14ac:dyDescent="0.4">
      <c r="A729" s="3"/>
      <c r="B729" s="5"/>
      <c r="C729" s="3"/>
    </row>
    <row r="730" spans="1:3" ht="15" thickBot="1" x14ac:dyDescent="0.4">
      <c r="A730" s="3"/>
      <c r="B730" s="5"/>
      <c r="C730" s="3"/>
    </row>
    <row r="731" spans="1:3" ht="15" thickBot="1" x14ac:dyDescent="0.4">
      <c r="A731" s="3"/>
      <c r="B731" s="5"/>
      <c r="C731" s="3"/>
    </row>
    <row r="732" spans="1:3" ht="15" thickBot="1" x14ac:dyDescent="0.4">
      <c r="A732" s="3"/>
      <c r="B732" s="5"/>
      <c r="C732" s="3"/>
    </row>
    <row r="733" spans="1:3" ht="15" thickBot="1" x14ac:dyDescent="0.4">
      <c r="A733" s="3"/>
      <c r="B733" s="5"/>
      <c r="C733" s="3"/>
    </row>
    <row r="734" spans="1:3" ht="15" thickBot="1" x14ac:dyDescent="0.4">
      <c r="A734" s="3"/>
      <c r="B734" s="5"/>
      <c r="C734" s="3"/>
    </row>
    <row r="735" spans="1:3" ht="15" thickBot="1" x14ac:dyDescent="0.4">
      <c r="A735" s="3"/>
      <c r="B735" s="5"/>
      <c r="C735" s="3"/>
    </row>
    <row r="736" spans="1:3" ht="15" thickBot="1" x14ac:dyDescent="0.4">
      <c r="A736" s="3"/>
      <c r="B736" s="5"/>
      <c r="C736" s="3"/>
    </row>
    <row r="737" spans="1:3" ht="15" thickBot="1" x14ac:dyDescent="0.4">
      <c r="A737" s="3"/>
      <c r="B737" s="5"/>
      <c r="C737" s="3"/>
    </row>
    <row r="738" spans="1:3" ht="15" thickBot="1" x14ac:dyDescent="0.4">
      <c r="A738" s="3"/>
      <c r="B738" s="5"/>
      <c r="C738" s="3"/>
    </row>
    <row r="739" spans="1:3" ht="15" thickBot="1" x14ac:dyDescent="0.4">
      <c r="A739" s="3"/>
      <c r="B739" s="5"/>
      <c r="C739" s="3"/>
    </row>
    <row r="740" spans="1:3" ht="15" thickBot="1" x14ac:dyDescent="0.4">
      <c r="A740" s="3"/>
      <c r="B740" s="5"/>
      <c r="C740" s="3"/>
    </row>
    <row r="741" spans="1:3" ht="15" thickBot="1" x14ac:dyDescent="0.4">
      <c r="A741" s="3"/>
      <c r="B741" s="5"/>
      <c r="C741" s="3"/>
    </row>
    <row r="742" spans="1:3" ht="15" thickBot="1" x14ac:dyDescent="0.4">
      <c r="A742" s="3"/>
      <c r="B742" s="5"/>
      <c r="C742" s="3"/>
    </row>
    <row r="743" spans="1:3" ht="15" thickBot="1" x14ac:dyDescent="0.4">
      <c r="A743" s="3"/>
      <c r="B743" s="5"/>
      <c r="C743" s="3"/>
    </row>
    <row r="744" spans="1:3" ht="15" thickBot="1" x14ac:dyDescent="0.4">
      <c r="A744" s="3"/>
      <c r="B744" s="5"/>
      <c r="C744" s="3"/>
    </row>
    <row r="745" spans="1:3" ht="15" thickBot="1" x14ac:dyDescent="0.4">
      <c r="A745" s="3"/>
      <c r="B745" s="5"/>
      <c r="C745" s="3"/>
    </row>
    <row r="746" spans="1:3" ht="15" thickBot="1" x14ac:dyDescent="0.4">
      <c r="A746" s="3"/>
      <c r="B746" s="5"/>
      <c r="C746" s="3"/>
    </row>
    <row r="747" spans="1:3" ht="15" thickBot="1" x14ac:dyDescent="0.4">
      <c r="A747" s="3"/>
      <c r="B747" s="5"/>
      <c r="C747" s="3"/>
    </row>
    <row r="748" spans="1:3" ht="15" thickBot="1" x14ac:dyDescent="0.4">
      <c r="A748" s="3"/>
      <c r="B748" s="5"/>
      <c r="C748" s="3"/>
    </row>
    <row r="749" spans="1:3" ht="15" thickBot="1" x14ac:dyDescent="0.4">
      <c r="A749" s="3"/>
      <c r="B749" s="5"/>
      <c r="C749" s="3"/>
    </row>
    <row r="750" spans="1:3" ht="15" thickBot="1" x14ac:dyDescent="0.4">
      <c r="A750" s="3"/>
      <c r="B750" s="5"/>
      <c r="C750" s="3"/>
    </row>
    <row r="751" spans="1:3" ht="15" thickBot="1" x14ac:dyDescent="0.4">
      <c r="A751" s="3"/>
      <c r="B751" s="5"/>
      <c r="C751" s="3"/>
    </row>
    <row r="752" spans="1:3" ht="15" thickBot="1" x14ac:dyDescent="0.4">
      <c r="A752" s="3"/>
      <c r="B752" s="5"/>
      <c r="C752" s="3"/>
    </row>
    <row r="753" spans="1:3" ht="15" thickBot="1" x14ac:dyDescent="0.4">
      <c r="A753" s="3"/>
      <c r="B753" s="5"/>
      <c r="C753" s="3"/>
    </row>
    <row r="754" spans="1:3" ht="15" thickBot="1" x14ac:dyDescent="0.4">
      <c r="A754" s="3"/>
      <c r="B754" s="5"/>
      <c r="C754" s="3"/>
    </row>
    <row r="755" spans="1:3" ht="15" thickBot="1" x14ac:dyDescent="0.4">
      <c r="A755" s="3"/>
      <c r="B755" s="5"/>
      <c r="C755" s="3"/>
    </row>
    <row r="756" spans="1:3" ht="15" thickBot="1" x14ac:dyDescent="0.4">
      <c r="A756" s="3"/>
      <c r="B756" s="5"/>
      <c r="C756" s="3"/>
    </row>
    <row r="757" spans="1:3" ht="15" thickBot="1" x14ac:dyDescent="0.4">
      <c r="A757" s="3"/>
      <c r="B757" s="5"/>
      <c r="C757" s="3"/>
    </row>
    <row r="758" spans="1:3" ht="15" thickBot="1" x14ac:dyDescent="0.4">
      <c r="A758" s="3"/>
      <c r="B758" s="5"/>
      <c r="C758" s="3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/>
  <dimension ref="A1:C398"/>
  <sheetViews>
    <sheetView tabSelected="1" workbookViewId="0">
      <selection activeCell="C16" sqref="C16"/>
    </sheetView>
  </sheetViews>
  <sheetFormatPr defaultRowHeight="14.5" x14ac:dyDescent="0.35"/>
  <cols>
    <col min="1" max="1" width="42.36328125" customWidth="1"/>
    <col min="2" max="2" width="17" customWidth="1"/>
  </cols>
  <sheetData>
    <row r="1" spans="1:3" s="2" customFormat="1" ht="15" thickBot="1" x14ac:dyDescent="0.4">
      <c r="A1" s="1" t="s">
        <v>0</v>
      </c>
      <c r="B1" s="1" t="s">
        <v>7</v>
      </c>
      <c r="C1" s="6" t="s">
        <v>8</v>
      </c>
    </row>
    <row r="2" spans="1:3" ht="15" thickBot="1" x14ac:dyDescent="0.4">
      <c r="A2" t="s">
        <v>2</v>
      </c>
      <c r="B2">
        <v>0.8571428571428571</v>
      </c>
      <c r="C2">
        <f>447/646</f>
        <v>0.69195046439628483</v>
      </c>
    </row>
    <row r="3" spans="1:3" ht="15" thickBot="1" x14ac:dyDescent="0.4">
      <c r="A3" t="s">
        <v>4</v>
      </c>
      <c r="B3" s="5">
        <v>0.7142857142857143</v>
      </c>
      <c r="C3">
        <f>279/646</f>
        <v>0.43188854489164086</v>
      </c>
    </row>
    <row r="4" spans="1:3" ht="15" thickBot="1" x14ac:dyDescent="0.4">
      <c r="A4" t="s">
        <v>1</v>
      </c>
      <c r="B4" s="5">
        <v>0</v>
      </c>
      <c r="C4" s="3">
        <v>3.0959752321981424E-2</v>
      </c>
    </row>
    <row r="5" spans="1:3" ht="15" thickBot="1" x14ac:dyDescent="0.4">
      <c r="A5" t="s">
        <v>3</v>
      </c>
      <c r="B5" s="5">
        <v>0.42857142857142855</v>
      </c>
      <c r="C5" s="3">
        <v>0.37616099071207432</v>
      </c>
    </row>
    <row r="6" spans="1:3" ht="15" thickBot="1" x14ac:dyDescent="0.4">
      <c r="A6" t="s">
        <v>5</v>
      </c>
      <c r="B6" s="5">
        <v>1.4285714285714286</v>
      </c>
      <c r="C6" s="3">
        <v>0.39009287925696595</v>
      </c>
    </row>
    <row r="7" spans="1:3" ht="15" thickBot="1" x14ac:dyDescent="0.4">
      <c r="A7" t="s">
        <v>6</v>
      </c>
      <c r="B7" s="5">
        <v>0.2857142857142857</v>
      </c>
      <c r="C7">
        <f>111/646</f>
        <v>0.17182662538699692</v>
      </c>
    </row>
    <row r="8" spans="1:3" ht="15" thickBot="1" x14ac:dyDescent="0.4">
      <c r="A8" t="s">
        <v>9</v>
      </c>
      <c r="B8" s="5">
        <v>0.2857142857142857</v>
      </c>
      <c r="C8" s="3">
        <v>0.1021671826625387</v>
      </c>
    </row>
    <row r="9" spans="1:3" ht="15" thickBot="1" x14ac:dyDescent="0.4">
      <c r="A9" s="3"/>
      <c r="B9" s="5"/>
      <c r="C9" s="3"/>
    </row>
    <row r="10" spans="1:3" ht="15" thickBot="1" x14ac:dyDescent="0.4">
      <c r="A10" s="3"/>
      <c r="B10" s="5"/>
      <c r="C10" s="3"/>
    </row>
    <row r="11" spans="1:3" ht="15" thickBot="1" x14ac:dyDescent="0.4">
      <c r="A11" s="3"/>
      <c r="B11" s="5"/>
      <c r="C11" s="3"/>
    </row>
    <row r="12" spans="1:3" ht="15" thickBot="1" x14ac:dyDescent="0.4">
      <c r="A12" s="3"/>
      <c r="B12" s="5"/>
      <c r="C12" s="3"/>
    </row>
    <row r="13" spans="1:3" ht="15" thickBot="1" x14ac:dyDescent="0.4">
      <c r="A13" s="3"/>
      <c r="B13" s="5"/>
      <c r="C13" s="3"/>
    </row>
    <row r="14" spans="1:3" ht="15" thickBot="1" x14ac:dyDescent="0.4">
      <c r="A14" s="3"/>
      <c r="B14" s="5"/>
      <c r="C14" s="3"/>
    </row>
    <row r="15" spans="1:3" ht="15" thickBot="1" x14ac:dyDescent="0.4">
      <c r="A15" s="3"/>
      <c r="B15" s="5"/>
      <c r="C15" s="3"/>
    </row>
    <row r="16" spans="1:3" ht="15" thickBot="1" x14ac:dyDescent="0.4">
      <c r="A16" s="3"/>
      <c r="B16" s="5"/>
      <c r="C16" s="3"/>
    </row>
    <row r="17" spans="1:3" ht="15" thickBot="1" x14ac:dyDescent="0.4">
      <c r="A17" s="3"/>
      <c r="B17" s="5"/>
      <c r="C17" s="3"/>
    </row>
    <row r="18" spans="1:3" ht="15" thickBot="1" x14ac:dyDescent="0.4">
      <c r="A18" s="3"/>
      <c r="B18" s="5"/>
      <c r="C18" s="3"/>
    </row>
    <row r="19" spans="1:3" ht="15" thickBot="1" x14ac:dyDescent="0.4">
      <c r="A19" s="3"/>
      <c r="B19" s="5"/>
      <c r="C19" s="3"/>
    </row>
    <row r="20" spans="1:3" ht="15" thickBot="1" x14ac:dyDescent="0.4">
      <c r="A20" s="3"/>
      <c r="B20" s="5"/>
      <c r="C20" s="3"/>
    </row>
    <row r="21" spans="1:3" ht="15" thickBot="1" x14ac:dyDescent="0.4">
      <c r="A21" s="3"/>
      <c r="B21" s="5"/>
      <c r="C21" s="3"/>
    </row>
    <row r="22" spans="1:3" ht="15" thickBot="1" x14ac:dyDescent="0.4">
      <c r="A22" s="3"/>
      <c r="B22" s="5"/>
      <c r="C22" s="3"/>
    </row>
    <row r="23" spans="1:3" ht="15" thickBot="1" x14ac:dyDescent="0.4">
      <c r="A23" s="3"/>
      <c r="B23" s="5"/>
      <c r="C23" s="3"/>
    </row>
    <row r="24" spans="1:3" ht="15" thickBot="1" x14ac:dyDescent="0.4">
      <c r="A24" s="3"/>
      <c r="B24" s="5"/>
      <c r="C24" s="3"/>
    </row>
    <row r="25" spans="1:3" ht="15" thickBot="1" x14ac:dyDescent="0.4">
      <c r="A25" s="3"/>
      <c r="B25" s="5"/>
      <c r="C25" s="3"/>
    </row>
    <row r="26" spans="1:3" ht="15" thickBot="1" x14ac:dyDescent="0.4">
      <c r="A26" s="3"/>
      <c r="B26" s="5"/>
      <c r="C26" s="3"/>
    </row>
    <row r="27" spans="1:3" ht="15" thickBot="1" x14ac:dyDescent="0.4">
      <c r="A27" s="3"/>
      <c r="B27" s="5"/>
      <c r="C27" s="3"/>
    </row>
    <row r="28" spans="1:3" ht="15" thickBot="1" x14ac:dyDescent="0.4">
      <c r="A28" s="3"/>
      <c r="B28" s="5"/>
      <c r="C28" s="3"/>
    </row>
    <row r="29" spans="1:3" ht="15" thickBot="1" x14ac:dyDescent="0.4">
      <c r="A29" s="3"/>
      <c r="B29" s="5"/>
      <c r="C29" s="3"/>
    </row>
    <row r="30" spans="1:3" ht="15" thickBot="1" x14ac:dyDescent="0.4">
      <c r="A30" s="3"/>
      <c r="B30" s="5"/>
      <c r="C30" s="3"/>
    </row>
    <row r="31" spans="1:3" ht="15" thickBot="1" x14ac:dyDescent="0.4">
      <c r="A31" s="3"/>
      <c r="B31" s="5"/>
      <c r="C31" s="3"/>
    </row>
    <row r="32" spans="1:3" ht="15" thickBot="1" x14ac:dyDescent="0.4">
      <c r="A32" s="3"/>
      <c r="B32" s="5"/>
      <c r="C32" s="3"/>
    </row>
    <row r="33" spans="1:3" ht="15" thickBot="1" x14ac:dyDescent="0.4">
      <c r="A33" s="3"/>
      <c r="B33" s="5"/>
      <c r="C33" s="3"/>
    </row>
    <row r="34" spans="1:3" ht="15" thickBot="1" x14ac:dyDescent="0.4">
      <c r="A34" s="3"/>
      <c r="B34" s="5"/>
      <c r="C34" s="3"/>
    </row>
    <row r="35" spans="1:3" ht="15" thickBot="1" x14ac:dyDescent="0.4">
      <c r="A35" s="3"/>
      <c r="B35" s="5"/>
      <c r="C35" s="3"/>
    </row>
    <row r="36" spans="1:3" ht="15" thickBot="1" x14ac:dyDescent="0.4">
      <c r="A36" s="3"/>
      <c r="B36" s="5"/>
      <c r="C36" s="3"/>
    </row>
    <row r="37" spans="1:3" ht="15" thickBot="1" x14ac:dyDescent="0.4">
      <c r="A37" s="3"/>
      <c r="B37" s="5"/>
      <c r="C37" s="3"/>
    </row>
    <row r="38" spans="1:3" ht="15" thickBot="1" x14ac:dyDescent="0.4">
      <c r="A38" s="3"/>
      <c r="B38" s="5"/>
      <c r="C38" s="3"/>
    </row>
    <row r="39" spans="1:3" ht="15" thickBot="1" x14ac:dyDescent="0.4">
      <c r="A39" s="3"/>
      <c r="B39" s="5"/>
      <c r="C39" s="3"/>
    </row>
    <row r="40" spans="1:3" ht="15" thickBot="1" x14ac:dyDescent="0.4">
      <c r="A40" s="3"/>
      <c r="B40" s="5"/>
      <c r="C40" s="3"/>
    </row>
    <row r="41" spans="1:3" ht="15" thickBot="1" x14ac:dyDescent="0.4">
      <c r="A41" s="3"/>
      <c r="B41" s="5"/>
      <c r="C41" s="3"/>
    </row>
    <row r="42" spans="1:3" ht="15" thickBot="1" x14ac:dyDescent="0.4">
      <c r="A42" s="3"/>
      <c r="B42" s="5"/>
      <c r="C42" s="3"/>
    </row>
    <row r="43" spans="1:3" ht="15" thickBot="1" x14ac:dyDescent="0.4">
      <c r="A43" s="3"/>
      <c r="B43" s="5"/>
      <c r="C43" s="3"/>
    </row>
    <row r="44" spans="1:3" ht="15" thickBot="1" x14ac:dyDescent="0.4">
      <c r="A44" s="3"/>
      <c r="B44" s="5"/>
      <c r="C44" s="3"/>
    </row>
    <row r="45" spans="1:3" ht="15" thickBot="1" x14ac:dyDescent="0.4">
      <c r="A45" s="3"/>
      <c r="B45" s="5"/>
      <c r="C45" s="3"/>
    </row>
    <row r="46" spans="1:3" ht="15" thickBot="1" x14ac:dyDescent="0.4">
      <c r="A46" s="3"/>
      <c r="B46" s="5"/>
      <c r="C46" s="3"/>
    </row>
    <row r="47" spans="1:3" ht="15" thickBot="1" x14ac:dyDescent="0.4">
      <c r="A47" s="3"/>
      <c r="B47" s="5"/>
      <c r="C47" s="3"/>
    </row>
    <row r="48" spans="1:3" ht="15" thickBot="1" x14ac:dyDescent="0.4">
      <c r="A48" s="3"/>
      <c r="B48" s="5"/>
      <c r="C48" s="3"/>
    </row>
    <row r="49" spans="1:3" ht="15" thickBot="1" x14ac:dyDescent="0.4">
      <c r="A49" s="3"/>
      <c r="B49" s="5"/>
      <c r="C49" s="3"/>
    </row>
    <row r="50" spans="1:3" ht="15" thickBot="1" x14ac:dyDescent="0.4">
      <c r="A50" s="3"/>
      <c r="B50" s="5"/>
      <c r="C50" s="3"/>
    </row>
    <row r="51" spans="1:3" ht="15" thickBot="1" x14ac:dyDescent="0.4">
      <c r="A51" s="3"/>
      <c r="B51" s="5"/>
      <c r="C51" s="3"/>
    </row>
    <row r="52" spans="1:3" ht="15" thickBot="1" x14ac:dyDescent="0.4">
      <c r="A52" s="3"/>
      <c r="B52" s="5"/>
      <c r="C52" s="3"/>
    </row>
    <row r="53" spans="1:3" ht="15" thickBot="1" x14ac:dyDescent="0.4">
      <c r="A53" s="3"/>
      <c r="B53" s="5"/>
      <c r="C53" s="3"/>
    </row>
    <row r="54" spans="1:3" ht="15" thickBot="1" x14ac:dyDescent="0.4">
      <c r="A54" s="3"/>
      <c r="B54" s="5"/>
      <c r="C54" s="3"/>
    </row>
    <row r="55" spans="1:3" ht="15" thickBot="1" x14ac:dyDescent="0.4">
      <c r="A55" s="3"/>
      <c r="B55" s="5"/>
      <c r="C55" s="3"/>
    </row>
    <row r="56" spans="1:3" ht="15" thickBot="1" x14ac:dyDescent="0.4">
      <c r="A56" s="3"/>
      <c r="B56" s="5"/>
      <c r="C56" s="3"/>
    </row>
    <row r="57" spans="1:3" ht="15" thickBot="1" x14ac:dyDescent="0.4">
      <c r="A57" s="3"/>
      <c r="B57" s="5"/>
      <c r="C57" s="3"/>
    </row>
    <row r="58" spans="1:3" ht="15" thickBot="1" x14ac:dyDescent="0.4">
      <c r="A58" s="3"/>
      <c r="B58" s="5"/>
      <c r="C58" s="3"/>
    </row>
    <row r="59" spans="1:3" ht="15" thickBot="1" x14ac:dyDescent="0.4">
      <c r="A59" s="3"/>
      <c r="B59" s="5"/>
      <c r="C59" s="3"/>
    </row>
    <row r="60" spans="1:3" ht="15" thickBot="1" x14ac:dyDescent="0.4">
      <c r="A60" s="3"/>
      <c r="B60" s="5"/>
      <c r="C60" s="3"/>
    </row>
    <row r="61" spans="1:3" ht="15" thickBot="1" x14ac:dyDescent="0.4">
      <c r="A61" s="3"/>
      <c r="B61" s="5"/>
      <c r="C61" s="3"/>
    </row>
    <row r="62" spans="1:3" ht="15" thickBot="1" x14ac:dyDescent="0.4">
      <c r="A62" s="3"/>
      <c r="B62" s="5"/>
      <c r="C62" s="3"/>
    </row>
    <row r="63" spans="1:3" ht="15" thickBot="1" x14ac:dyDescent="0.4">
      <c r="A63" s="3"/>
      <c r="B63" s="5"/>
      <c r="C63" s="3"/>
    </row>
    <row r="64" spans="1:3" ht="15" thickBot="1" x14ac:dyDescent="0.4">
      <c r="A64" s="3"/>
      <c r="B64" s="5"/>
      <c r="C64" s="3"/>
    </row>
    <row r="65" spans="1:3" ht="15" thickBot="1" x14ac:dyDescent="0.4">
      <c r="A65" s="3"/>
      <c r="B65" s="5"/>
      <c r="C65" s="3"/>
    </row>
    <row r="66" spans="1:3" ht="15" thickBot="1" x14ac:dyDescent="0.4">
      <c r="A66" s="3"/>
      <c r="B66" s="5"/>
      <c r="C66" s="3"/>
    </row>
    <row r="67" spans="1:3" ht="15" thickBot="1" x14ac:dyDescent="0.4">
      <c r="A67" s="3"/>
      <c r="B67" s="5"/>
      <c r="C67" s="3"/>
    </row>
    <row r="68" spans="1:3" ht="15" thickBot="1" x14ac:dyDescent="0.4">
      <c r="A68" s="3"/>
      <c r="B68" s="5"/>
      <c r="C68" s="3"/>
    </row>
    <row r="69" spans="1:3" ht="15" thickBot="1" x14ac:dyDescent="0.4">
      <c r="A69" s="3"/>
      <c r="B69" s="5"/>
      <c r="C69" s="3"/>
    </row>
    <row r="70" spans="1:3" ht="15" thickBot="1" x14ac:dyDescent="0.4">
      <c r="A70" s="3"/>
      <c r="B70" s="5"/>
      <c r="C70" s="3"/>
    </row>
    <row r="71" spans="1:3" ht="15" thickBot="1" x14ac:dyDescent="0.4">
      <c r="A71" s="3"/>
      <c r="B71" s="5"/>
      <c r="C71" s="3"/>
    </row>
    <row r="72" spans="1:3" ht="15" thickBot="1" x14ac:dyDescent="0.4">
      <c r="A72" s="3"/>
      <c r="B72" s="5"/>
      <c r="C72" s="3"/>
    </row>
    <row r="73" spans="1:3" ht="15" thickBot="1" x14ac:dyDescent="0.4">
      <c r="A73" s="3"/>
      <c r="B73" s="5"/>
      <c r="C73" s="3"/>
    </row>
    <row r="74" spans="1:3" ht="15" thickBot="1" x14ac:dyDescent="0.4">
      <c r="A74" s="3"/>
      <c r="B74" s="5"/>
      <c r="C74" s="3"/>
    </row>
    <row r="75" spans="1:3" ht="15" thickBot="1" x14ac:dyDescent="0.4">
      <c r="A75" s="3"/>
      <c r="B75" s="5"/>
      <c r="C75" s="3"/>
    </row>
    <row r="76" spans="1:3" ht="15" thickBot="1" x14ac:dyDescent="0.4">
      <c r="A76" s="3"/>
      <c r="B76" s="5"/>
      <c r="C76" s="3"/>
    </row>
    <row r="77" spans="1:3" ht="15" thickBot="1" x14ac:dyDescent="0.4">
      <c r="A77" s="3"/>
      <c r="B77" s="5"/>
      <c r="C77" s="3"/>
    </row>
    <row r="78" spans="1:3" ht="15" thickBot="1" x14ac:dyDescent="0.4">
      <c r="A78" s="3"/>
      <c r="B78" s="5"/>
      <c r="C78" s="3"/>
    </row>
    <row r="79" spans="1:3" ht="15" thickBot="1" x14ac:dyDescent="0.4">
      <c r="A79" s="3"/>
      <c r="B79" s="5"/>
      <c r="C79" s="3"/>
    </row>
    <row r="80" spans="1:3" ht="15" thickBot="1" x14ac:dyDescent="0.4">
      <c r="A80" s="3"/>
      <c r="B80" s="5"/>
      <c r="C80" s="3"/>
    </row>
    <row r="81" spans="1:3" ht="15" thickBot="1" x14ac:dyDescent="0.4">
      <c r="A81" s="3"/>
      <c r="B81" s="5"/>
      <c r="C81" s="3"/>
    </row>
    <row r="82" spans="1:3" ht="15" thickBot="1" x14ac:dyDescent="0.4">
      <c r="A82" s="3"/>
      <c r="B82" s="5"/>
      <c r="C82" s="3"/>
    </row>
    <row r="83" spans="1:3" ht="15" thickBot="1" x14ac:dyDescent="0.4">
      <c r="A83" s="3"/>
      <c r="B83" s="5"/>
      <c r="C83" s="3"/>
    </row>
    <row r="84" spans="1:3" ht="15" thickBot="1" x14ac:dyDescent="0.4">
      <c r="A84" s="3"/>
      <c r="B84" s="5"/>
      <c r="C84" s="3"/>
    </row>
    <row r="85" spans="1:3" ht="15" thickBot="1" x14ac:dyDescent="0.4">
      <c r="A85" s="3"/>
      <c r="B85" s="5"/>
      <c r="C85" s="3"/>
    </row>
    <row r="86" spans="1:3" ht="15" thickBot="1" x14ac:dyDescent="0.4">
      <c r="A86" s="3"/>
      <c r="B86" s="5"/>
      <c r="C86" s="3"/>
    </row>
    <row r="87" spans="1:3" ht="15" thickBot="1" x14ac:dyDescent="0.4">
      <c r="A87" s="3"/>
      <c r="B87" s="5"/>
      <c r="C87" s="3"/>
    </row>
    <row r="88" spans="1:3" ht="15" thickBot="1" x14ac:dyDescent="0.4">
      <c r="A88" s="3"/>
      <c r="B88" s="5"/>
      <c r="C88" s="3"/>
    </row>
    <row r="89" spans="1:3" ht="15" thickBot="1" x14ac:dyDescent="0.4">
      <c r="A89" s="3"/>
      <c r="B89" s="5"/>
      <c r="C89" s="3"/>
    </row>
    <row r="90" spans="1:3" ht="15" thickBot="1" x14ac:dyDescent="0.4">
      <c r="A90" s="3"/>
      <c r="B90" s="5"/>
      <c r="C90" s="3"/>
    </row>
    <row r="91" spans="1:3" ht="15" thickBot="1" x14ac:dyDescent="0.4">
      <c r="A91" s="3"/>
      <c r="B91" s="5"/>
      <c r="C91" s="3"/>
    </row>
    <row r="92" spans="1:3" ht="15" thickBot="1" x14ac:dyDescent="0.4">
      <c r="A92" s="3"/>
      <c r="B92" s="5"/>
      <c r="C92" s="3"/>
    </row>
    <row r="93" spans="1:3" ht="15" thickBot="1" x14ac:dyDescent="0.4">
      <c r="A93" s="3"/>
      <c r="B93" s="5"/>
      <c r="C93" s="3"/>
    </row>
    <row r="94" spans="1:3" ht="15" thickBot="1" x14ac:dyDescent="0.4">
      <c r="A94" s="3"/>
      <c r="B94" s="5"/>
      <c r="C94" s="3"/>
    </row>
    <row r="95" spans="1:3" ht="15" thickBot="1" x14ac:dyDescent="0.4">
      <c r="A95" s="3"/>
      <c r="B95" s="5"/>
      <c r="C95" s="3"/>
    </row>
    <row r="96" spans="1:3" ht="15" thickBot="1" x14ac:dyDescent="0.4">
      <c r="A96" s="3"/>
      <c r="B96" s="5"/>
      <c r="C96" s="3"/>
    </row>
    <row r="97" spans="1:3" ht="15" thickBot="1" x14ac:dyDescent="0.4">
      <c r="A97" s="3"/>
      <c r="B97" s="5"/>
      <c r="C97" s="3"/>
    </row>
    <row r="98" spans="1:3" ht="15" thickBot="1" x14ac:dyDescent="0.4">
      <c r="A98" s="3"/>
      <c r="B98" s="5"/>
      <c r="C98" s="3"/>
    </row>
    <row r="99" spans="1:3" ht="15" thickBot="1" x14ac:dyDescent="0.4">
      <c r="A99" s="3"/>
      <c r="B99" s="5"/>
      <c r="C99" s="3"/>
    </row>
    <row r="100" spans="1:3" ht="15" thickBot="1" x14ac:dyDescent="0.4">
      <c r="A100" s="3"/>
      <c r="B100" s="5"/>
      <c r="C100" s="3"/>
    </row>
    <row r="101" spans="1:3" ht="15" thickBot="1" x14ac:dyDescent="0.4">
      <c r="A101" s="3"/>
      <c r="B101" s="5"/>
      <c r="C101" s="3"/>
    </row>
    <row r="102" spans="1:3" ht="15" thickBot="1" x14ac:dyDescent="0.4">
      <c r="A102" s="3"/>
      <c r="B102" s="5"/>
      <c r="C102" s="3"/>
    </row>
    <row r="103" spans="1:3" ht="15" thickBot="1" x14ac:dyDescent="0.4">
      <c r="A103" s="3"/>
      <c r="B103" s="5"/>
      <c r="C103" s="3"/>
    </row>
    <row r="104" spans="1:3" ht="15" thickBot="1" x14ac:dyDescent="0.4">
      <c r="A104" s="3"/>
      <c r="B104" s="5"/>
      <c r="C104" s="3"/>
    </row>
    <row r="105" spans="1:3" ht="15" thickBot="1" x14ac:dyDescent="0.4">
      <c r="A105" s="3"/>
      <c r="B105" s="5"/>
      <c r="C105" s="3"/>
    </row>
    <row r="106" spans="1:3" ht="15" thickBot="1" x14ac:dyDescent="0.4">
      <c r="A106" s="3"/>
      <c r="B106" s="5"/>
      <c r="C106" s="3"/>
    </row>
    <row r="107" spans="1:3" ht="15" thickBot="1" x14ac:dyDescent="0.4">
      <c r="A107" s="3"/>
      <c r="B107" s="5"/>
      <c r="C107" s="3"/>
    </row>
    <row r="108" spans="1:3" ht="15" thickBot="1" x14ac:dyDescent="0.4">
      <c r="A108" s="3"/>
      <c r="B108" s="5"/>
      <c r="C108" s="3"/>
    </row>
    <row r="109" spans="1:3" ht="15" thickBot="1" x14ac:dyDescent="0.4">
      <c r="A109" s="3"/>
      <c r="B109" s="5"/>
      <c r="C109" s="3"/>
    </row>
    <row r="110" spans="1:3" ht="15" thickBot="1" x14ac:dyDescent="0.4">
      <c r="A110" s="3"/>
      <c r="B110" s="5"/>
      <c r="C110" s="3"/>
    </row>
    <row r="111" spans="1:3" ht="15" thickBot="1" x14ac:dyDescent="0.4">
      <c r="A111" s="3"/>
      <c r="B111" s="5"/>
      <c r="C111" s="3"/>
    </row>
    <row r="112" spans="1:3" ht="15" thickBot="1" x14ac:dyDescent="0.4">
      <c r="A112" s="3"/>
      <c r="B112" s="5"/>
      <c r="C112" s="3"/>
    </row>
    <row r="113" spans="1:3" ht="15" thickBot="1" x14ac:dyDescent="0.4">
      <c r="A113" s="3"/>
      <c r="B113" s="5"/>
      <c r="C113" s="3"/>
    </row>
    <row r="114" spans="1:3" ht="15" thickBot="1" x14ac:dyDescent="0.4">
      <c r="A114" s="3"/>
      <c r="B114" s="5"/>
      <c r="C114" s="3"/>
    </row>
    <row r="115" spans="1:3" ht="15" thickBot="1" x14ac:dyDescent="0.4">
      <c r="A115" s="3"/>
      <c r="B115" s="5"/>
      <c r="C115" s="3"/>
    </row>
    <row r="116" spans="1:3" ht="15" thickBot="1" x14ac:dyDescent="0.4">
      <c r="A116" s="3"/>
      <c r="B116" s="5"/>
      <c r="C116" s="3"/>
    </row>
    <row r="117" spans="1:3" ht="15" thickBot="1" x14ac:dyDescent="0.4">
      <c r="A117" s="3"/>
      <c r="B117" s="5"/>
      <c r="C117" s="3"/>
    </row>
    <row r="118" spans="1:3" ht="15" thickBot="1" x14ac:dyDescent="0.4">
      <c r="A118" s="3"/>
      <c r="B118" s="5"/>
      <c r="C118" s="3"/>
    </row>
    <row r="119" spans="1:3" ht="15" thickBot="1" x14ac:dyDescent="0.4">
      <c r="A119" s="3"/>
      <c r="B119" s="5"/>
      <c r="C119" s="3"/>
    </row>
    <row r="120" spans="1:3" ht="15" thickBot="1" x14ac:dyDescent="0.4">
      <c r="A120" s="3"/>
      <c r="B120" s="5"/>
      <c r="C120" s="3"/>
    </row>
    <row r="121" spans="1:3" ht="15" thickBot="1" x14ac:dyDescent="0.4">
      <c r="A121" s="3"/>
      <c r="B121" s="5"/>
      <c r="C121" s="3"/>
    </row>
    <row r="122" spans="1:3" ht="15" thickBot="1" x14ac:dyDescent="0.4">
      <c r="A122" s="3"/>
      <c r="B122" s="5"/>
      <c r="C122" s="3"/>
    </row>
    <row r="123" spans="1:3" ht="15" thickBot="1" x14ac:dyDescent="0.4">
      <c r="A123" s="3"/>
      <c r="B123" s="5"/>
      <c r="C123" s="3"/>
    </row>
    <row r="124" spans="1:3" ht="15" thickBot="1" x14ac:dyDescent="0.4">
      <c r="A124" s="3"/>
      <c r="B124" s="5"/>
      <c r="C124" s="3"/>
    </row>
    <row r="125" spans="1:3" ht="15" thickBot="1" x14ac:dyDescent="0.4">
      <c r="A125" s="3"/>
      <c r="B125" s="5"/>
      <c r="C125" s="3"/>
    </row>
    <row r="126" spans="1:3" ht="15" thickBot="1" x14ac:dyDescent="0.4">
      <c r="A126" s="3"/>
      <c r="B126" s="5"/>
      <c r="C126" s="3"/>
    </row>
    <row r="127" spans="1:3" ht="15" thickBot="1" x14ac:dyDescent="0.4">
      <c r="A127" s="3"/>
      <c r="B127" s="5"/>
      <c r="C127" s="3"/>
    </row>
    <row r="128" spans="1:3" ht="15" thickBot="1" x14ac:dyDescent="0.4">
      <c r="A128" s="3"/>
      <c r="B128" s="5"/>
      <c r="C128" s="3"/>
    </row>
    <row r="129" spans="1:3" ht="15" thickBot="1" x14ac:dyDescent="0.4">
      <c r="A129" s="3"/>
      <c r="B129" s="5"/>
      <c r="C129" s="3"/>
    </row>
    <row r="130" spans="1:3" ht="15" thickBot="1" x14ac:dyDescent="0.4">
      <c r="A130" s="3"/>
      <c r="B130" s="5"/>
      <c r="C130" s="3"/>
    </row>
    <row r="131" spans="1:3" ht="15" thickBot="1" x14ac:dyDescent="0.4">
      <c r="A131" s="3"/>
      <c r="B131" s="5"/>
      <c r="C131" s="3"/>
    </row>
    <row r="132" spans="1:3" ht="15" thickBot="1" x14ac:dyDescent="0.4">
      <c r="A132" s="3"/>
      <c r="B132" s="5"/>
      <c r="C132" s="3"/>
    </row>
    <row r="133" spans="1:3" ht="15" thickBot="1" x14ac:dyDescent="0.4">
      <c r="A133" s="3"/>
      <c r="B133" s="5"/>
      <c r="C133" s="3"/>
    </row>
    <row r="134" spans="1:3" ht="15" thickBot="1" x14ac:dyDescent="0.4">
      <c r="A134" s="3"/>
      <c r="B134" s="5"/>
      <c r="C134" s="3"/>
    </row>
    <row r="135" spans="1:3" ht="15" thickBot="1" x14ac:dyDescent="0.4">
      <c r="A135" s="3"/>
      <c r="B135" s="5"/>
      <c r="C135" s="3"/>
    </row>
    <row r="136" spans="1:3" ht="15" thickBot="1" x14ac:dyDescent="0.4">
      <c r="A136" s="3"/>
      <c r="B136" s="5"/>
      <c r="C136" s="3"/>
    </row>
    <row r="137" spans="1:3" ht="15" thickBot="1" x14ac:dyDescent="0.4">
      <c r="A137" s="3"/>
      <c r="B137" s="5"/>
      <c r="C137" s="3"/>
    </row>
    <row r="138" spans="1:3" ht="15" thickBot="1" x14ac:dyDescent="0.4">
      <c r="A138" s="3"/>
      <c r="B138" s="5"/>
      <c r="C138" s="3"/>
    </row>
    <row r="139" spans="1:3" ht="15" thickBot="1" x14ac:dyDescent="0.4">
      <c r="A139" s="3"/>
      <c r="B139" s="5"/>
      <c r="C139" s="3"/>
    </row>
    <row r="140" spans="1:3" ht="15" thickBot="1" x14ac:dyDescent="0.4">
      <c r="A140" s="3"/>
      <c r="B140" s="5"/>
      <c r="C140" s="3"/>
    </row>
    <row r="141" spans="1:3" ht="15" thickBot="1" x14ac:dyDescent="0.4">
      <c r="A141" s="3"/>
      <c r="B141" s="5"/>
      <c r="C141" s="3"/>
    </row>
    <row r="142" spans="1:3" ht="15" thickBot="1" x14ac:dyDescent="0.4">
      <c r="A142" s="3"/>
      <c r="B142" s="5"/>
      <c r="C142" s="3"/>
    </row>
    <row r="143" spans="1:3" ht="15" thickBot="1" x14ac:dyDescent="0.4">
      <c r="A143" s="3"/>
      <c r="B143" s="5"/>
      <c r="C143" s="3"/>
    </row>
    <row r="144" spans="1:3" ht="15" thickBot="1" x14ac:dyDescent="0.4">
      <c r="A144" s="3"/>
      <c r="B144" s="5"/>
      <c r="C144" s="3"/>
    </row>
    <row r="145" spans="1:3" ht="15" thickBot="1" x14ac:dyDescent="0.4">
      <c r="A145" s="3"/>
      <c r="B145" s="5"/>
      <c r="C145" s="3"/>
    </row>
    <row r="146" spans="1:3" ht="15" thickBot="1" x14ac:dyDescent="0.4">
      <c r="A146" s="3"/>
      <c r="B146" s="5"/>
      <c r="C146" s="3"/>
    </row>
    <row r="147" spans="1:3" ht="15" thickBot="1" x14ac:dyDescent="0.4">
      <c r="A147" s="3"/>
      <c r="B147" s="5"/>
      <c r="C147" s="3"/>
    </row>
    <row r="148" spans="1:3" ht="15" thickBot="1" x14ac:dyDescent="0.4">
      <c r="A148" s="3"/>
      <c r="B148" s="5"/>
      <c r="C148" s="3"/>
    </row>
    <row r="149" spans="1:3" ht="15" thickBot="1" x14ac:dyDescent="0.4">
      <c r="A149" s="3"/>
      <c r="B149" s="5"/>
      <c r="C149" s="3"/>
    </row>
    <row r="150" spans="1:3" ht="15" thickBot="1" x14ac:dyDescent="0.4">
      <c r="A150" s="3"/>
      <c r="B150" s="5"/>
      <c r="C150" s="3"/>
    </row>
    <row r="151" spans="1:3" ht="15" thickBot="1" x14ac:dyDescent="0.4">
      <c r="A151" s="3"/>
      <c r="B151" s="5"/>
      <c r="C151" s="3"/>
    </row>
    <row r="152" spans="1:3" ht="15" thickBot="1" x14ac:dyDescent="0.4">
      <c r="A152" s="3"/>
      <c r="B152" s="5"/>
      <c r="C152" s="3"/>
    </row>
    <row r="153" spans="1:3" ht="15" thickBot="1" x14ac:dyDescent="0.4">
      <c r="A153" s="3"/>
      <c r="B153" s="5"/>
      <c r="C153" s="3"/>
    </row>
    <row r="154" spans="1:3" ht="15" thickBot="1" x14ac:dyDescent="0.4">
      <c r="A154" s="3"/>
      <c r="B154" s="5"/>
      <c r="C154" s="3"/>
    </row>
    <row r="155" spans="1:3" ht="15" thickBot="1" x14ac:dyDescent="0.4">
      <c r="A155" s="3"/>
      <c r="B155" s="5"/>
      <c r="C155" s="3"/>
    </row>
    <row r="156" spans="1:3" ht="15" thickBot="1" x14ac:dyDescent="0.4">
      <c r="A156" s="3"/>
      <c r="B156" s="5"/>
      <c r="C156" s="3"/>
    </row>
    <row r="157" spans="1:3" ht="15" thickBot="1" x14ac:dyDescent="0.4">
      <c r="A157" s="3"/>
      <c r="B157" s="5"/>
      <c r="C157" s="3"/>
    </row>
    <row r="158" spans="1:3" ht="15" thickBot="1" x14ac:dyDescent="0.4">
      <c r="A158" s="3"/>
      <c r="B158" s="5"/>
      <c r="C158" s="3"/>
    </row>
    <row r="159" spans="1:3" ht="15" thickBot="1" x14ac:dyDescent="0.4">
      <c r="A159" s="3"/>
      <c r="B159" s="5"/>
      <c r="C159" s="3"/>
    </row>
    <row r="160" spans="1:3" ht="15" thickBot="1" x14ac:dyDescent="0.4">
      <c r="A160" s="3"/>
      <c r="B160" s="5"/>
      <c r="C160" s="3"/>
    </row>
    <row r="161" spans="1:3" ht="15" thickBot="1" x14ac:dyDescent="0.4">
      <c r="A161" s="3"/>
      <c r="B161" s="5"/>
      <c r="C161" s="3"/>
    </row>
    <row r="162" spans="1:3" ht="15" thickBot="1" x14ac:dyDescent="0.4">
      <c r="A162" s="3"/>
      <c r="B162" s="5"/>
      <c r="C162" s="3"/>
    </row>
    <row r="163" spans="1:3" ht="15" thickBot="1" x14ac:dyDescent="0.4">
      <c r="A163" s="3"/>
      <c r="B163" s="5"/>
      <c r="C163" s="3"/>
    </row>
    <row r="164" spans="1:3" ht="15" thickBot="1" x14ac:dyDescent="0.4">
      <c r="A164" s="3"/>
      <c r="B164" s="5"/>
      <c r="C164" s="3"/>
    </row>
    <row r="165" spans="1:3" ht="15" thickBot="1" x14ac:dyDescent="0.4">
      <c r="A165" s="3"/>
      <c r="B165" s="5"/>
      <c r="C165" s="3"/>
    </row>
    <row r="166" spans="1:3" ht="15" thickBot="1" x14ac:dyDescent="0.4">
      <c r="A166" s="3"/>
      <c r="B166" s="5"/>
      <c r="C166" s="3"/>
    </row>
    <row r="167" spans="1:3" ht="15" thickBot="1" x14ac:dyDescent="0.4">
      <c r="A167" s="3"/>
      <c r="B167" s="5"/>
      <c r="C167" s="3"/>
    </row>
    <row r="168" spans="1:3" ht="15" thickBot="1" x14ac:dyDescent="0.4">
      <c r="A168" s="3"/>
      <c r="B168" s="5"/>
      <c r="C168" s="3"/>
    </row>
    <row r="169" spans="1:3" ht="15" thickBot="1" x14ac:dyDescent="0.4">
      <c r="A169" s="3"/>
      <c r="B169" s="5"/>
      <c r="C169" s="3"/>
    </row>
    <row r="170" spans="1:3" ht="15" thickBot="1" x14ac:dyDescent="0.4">
      <c r="A170" s="3"/>
      <c r="B170" s="5"/>
      <c r="C170" s="3"/>
    </row>
    <row r="171" spans="1:3" ht="15" thickBot="1" x14ac:dyDescent="0.4">
      <c r="A171" s="3"/>
      <c r="B171" s="5"/>
      <c r="C171" s="3"/>
    </row>
    <row r="172" spans="1:3" ht="15" thickBot="1" x14ac:dyDescent="0.4">
      <c r="A172" s="3"/>
      <c r="B172" s="5"/>
      <c r="C172" s="3"/>
    </row>
    <row r="173" spans="1:3" ht="15" thickBot="1" x14ac:dyDescent="0.4">
      <c r="A173" s="3"/>
      <c r="B173" s="5"/>
      <c r="C173" s="3"/>
    </row>
    <row r="174" spans="1:3" ht="15" thickBot="1" x14ac:dyDescent="0.4">
      <c r="A174" s="3"/>
      <c r="B174" s="5"/>
      <c r="C174" s="3"/>
    </row>
    <row r="175" spans="1:3" ht="15" thickBot="1" x14ac:dyDescent="0.4">
      <c r="A175" s="3"/>
      <c r="B175" s="5"/>
      <c r="C175" s="3"/>
    </row>
    <row r="176" spans="1:3" ht="15" thickBot="1" x14ac:dyDescent="0.4">
      <c r="A176" s="3"/>
      <c r="B176" s="5"/>
      <c r="C176" s="3"/>
    </row>
    <row r="177" spans="1:3" ht="15" thickBot="1" x14ac:dyDescent="0.4">
      <c r="A177" s="3"/>
      <c r="B177" s="5"/>
      <c r="C177" s="3"/>
    </row>
    <row r="178" spans="1:3" ht="15" thickBot="1" x14ac:dyDescent="0.4">
      <c r="A178" s="3"/>
      <c r="B178" s="5"/>
      <c r="C178" s="3"/>
    </row>
    <row r="179" spans="1:3" ht="15" thickBot="1" x14ac:dyDescent="0.4">
      <c r="A179" s="3"/>
      <c r="B179" s="5"/>
      <c r="C179" s="3"/>
    </row>
    <row r="180" spans="1:3" ht="15" thickBot="1" x14ac:dyDescent="0.4">
      <c r="A180" s="3"/>
      <c r="B180" s="5"/>
      <c r="C180" s="3"/>
    </row>
    <row r="181" spans="1:3" ht="15" thickBot="1" x14ac:dyDescent="0.4">
      <c r="A181" s="3"/>
      <c r="B181" s="5"/>
      <c r="C181" s="3"/>
    </row>
    <row r="182" spans="1:3" ht="15" thickBot="1" x14ac:dyDescent="0.4">
      <c r="A182" s="3"/>
      <c r="B182" s="5"/>
      <c r="C182" s="3"/>
    </row>
    <row r="183" spans="1:3" ht="15" thickBot="1" x14ac:dyDescent="0.4">
      <c r="A183" s="3"/>
      <c r="B183" s="5"/>
      <c r="C183" s="3"/>
    </row>
    <row r="184" spans="1:3" ht="15" thickBot="1" x14ac:dyDescent="0.4">
      <c r="A184" s="3"/>
      <c r="B184" s="5"/>
      <c r="C184" s="3"/>
    </row>
    <row r="185" spans="1:3" ht="15" thickBot="1" x14ac:dyDescent="0.4">
      <c r="A185" s="3"/>
      <c r="B185" s="5"/>
      <c r="C185" s="3"/>
    </row>
    <row r="186" spans="1:3" ht="15" thickBot="1" x14ac:dyDescent="0.4">
      <c r="A186" s="3"/>
      <c r="B186" s="5"/>
      <c r="C186" s="3"/>
    </row>
    <row r="187" spans="1:3" ht="15" thickBot="1" x14ac:dyDescent="0.4">
      <c r="A187" s="3"/>
      <c r="B187" s="5"/>
      <c r="C187" s="3"/>
    </row>
    <row r="188" spans="1:3" ht="15" thickBot="1" x14ac:dyDescent="0.4">
      <c r="A188" s="3"/>
      <c r="B188" s="5"/>
      <c r="C188" s="3"/>
    </row>
    <row r="189" spans="1:3" ht="15" thickBot="1" x14ac:dyDescent="0.4">
      <c r="A189" s="3"/>
      <c r="B189" s="5"/>
      <c r="C189" s="3"/>
    </row>
    <row r="190" spans="1:3" ht="15" thickBot="1" x14ac:dyDescent="0.4">
      <c r="A190" s="3"/>
      <c r="B190" s="5"/>
      <c r="C190" s="3"/>
    </row>
    <row r="191" spans="1:3" ht="15" thickBot="1" x14ac:dyDescent="0.4">
      <c r="A191" s="3"/>
      <c r="B191" s="5"/>
      <c r="C191" s="3"/>
    </row>
    <row r="192" spans="1:3" ht="15" thickBot="1" x14ac:dyDescent="0.4">
      <c r="A192" s="3"/>
      <c r="B192" s="5"/>
      <c r="C192" s="3"/>
    </row>
    <row r="193" spans="1:3" ht="15" thickBot="1" x14ac:dyDescent="0.4">
      <c r="A193" s="3"/>
      <c r="B193" s="5"/>
      <c r="C193" s="3"/>
    </row>
    <row r="194" spans="1:3" ht="15" thickBot="1" x14ac:dyDescent="0.4">
      <c r="A194" s="3"/>
      <c r="B194" s="5"/>
      <c r="C194" s="3"/>
    </row>
    <row r="195" spans="1:3" ht="15" thickBot="1" x14ac:dyDescent="0.4">
      <c r="A195" s="3"/>
      <c r="B195" s="5"/>
      <c r="C195" s="3"/>
    </row>
    <row r="196" spans="1:3" ht="15" thickBot="1" x14ac:dyDescent="0.4">
      <c r="A196" s="3"/>
      <c r="B196" s="5"/>
      <c r="C196" s="3"/>
    </row>
    <row r="197" spans="1:3" ht="15" thickBot="1" x14ac:dyDescent="0.4">
      <c r="A197" s="3"/>
      <c r="B197" s="5"/>
      <c r="C197" s="3"/>
    </row>
    <row r="198" spans="1:3" ht="15" thickBot="1" x14ac:dyDescent="0.4">
      <c r="A198" s="3"/>
      <c r="B198" s="5"/>
      <c r="C198" s="3"/>
    </row>
    <row r="199" spans="1:3" ht="15" thickBot="1" x14ac:dyDescent="0.4">
      <c r="A199" s="3"/>
      <c r="B199" s="5"/>
      <c r="C199" s="3"/>
    </row>
    <row r="200" spans="1:3" ht="15" thickBot="1" x14ac:dyDescent="0.4">
      <c r="A200" s="3"/>
      <c r="B200" s="5"/>
      <c r="C200" s="3"/>
    </row>
    <row r="201" spans="1:3" ht="15" thickBot="1" x14ac:dyDescent="0.4">
      <c r="A201" s="3"/>
      <c r="B201" s="5"/>
      <c r="C201" s="3"/>
    </row>
    <row r="202" spans="1:3" ht="15" thickBot="1" x14ac:dyDescent="0.4">
      <c r="A202" s="3"/>
      <c r="B202" s="5"/>
      <c r="C202" s="3"/>
    </row>
    <row r="203" spans="1:3" ht="15" thickBot="1" x14ac:dyDescent="0.4">
      <c r="A203" s="3"/>
      <c r="B203" s="5"/>
      <c r="C203" s="3"/>
    </row>
    <row r="204" spans="1:3" ht="15" thickBot="1" x14ac:dyDescent="0.4">
      <c r="A204" s="3"/>
      <c r="B204" s="5"/>
      <c r="C204" s="3"/>
    </row>
    <row r="205" spans="1:3" ht="15" thickBot="1" x14ac:dyDescent="0.4">
      <c r="A205" s="3"/>
      <c r="B205" s="5"/>
      <c r="C205" s="3"/>
    </row>
    <row r="206" spans="1:3" ht="15" thickBot="1" x14ac:dyDescent="0.4">
      <c r="A206" s="3"/>
      <c r="B206" s="5"/>
      <c r="C206" s="3"/>
    </row>
    <row r="207" spans="1:3" ht="15" thickBot="1" x14ac:dyDescent="0.4">
      <c r="A207" s="3"/>
      <c r="B207" s="5"/>
      <c r="C207" s="3"/>
    </row>
    <row r="208" spans="1:3" ht="15" thickBot="1" x14ac:dyDescent="0.4">
      <c r="A208" s="3"/>
      <c r="B208" s="5"/>
      <c r="C208" s="3"/>
    </row>
    <row r="209" spans="1:3" ht="15" thickBot="1" x14ac:dyDescent="0.4">
      <c r="A209" s="3"/>
      <c r="B209" s="5"/>
      <c r="C209" s="3"/>
    </row>
    <row r="210" spans="1:3" ht="15" thickBot="1" x14ac:dyDescent="0.4">
      <c r="A210" s="3"/>
      <c r="B210" s="5"/>
      <c r="C210" s="3"/>
    </row>
    <row r="211" spans="1:3" ht="15" thickBot="1" x14ac:dyDescent="0.4">
      <c r="A211" s="3"/>
      <c r="B211" s="5"/>
      <c r="C211" s="3"/>
    </row>
    <row r="212" spans="1:3" ht="15" thickBot="1" x14ac:dyDescent="0.4">
      <c r="A212" s="3"/>
      <c r="B212" s="5"/>
      <c r="C212" s="3"/>
    </row>
    <row r="213" spans="1:3" ht="15" thickBot="1" x14ac:dyDescent="0.4">
      <c r="A213" s="3"/>
      <c r="B213" s="5"/>
      <c r="C213" s="3"/>
    </row>
    <row r="214" spans="1:3" ht="15" thickBot="1" x14ac:dyDescent="0.4">
      <c r="A214" s="3"/>
      <c r="B214" s="5"/>
      <c r="C214" s="3"/>
    </row>
    <row r="215" spans="1:3" ht="15" thickBot="1" x14ac:dyDescent="0.4">
      <c r="A215" s="3"/>
      <c r="B215" s="5"/>
      <c r="C215" s="3"/>
    </row>
    <row r="216" spans="1:3" ht="15" thickBot="1" x14ac:dyDescent="0.4">
      <c r="A216" s="3"/>
      <c r="B216" s="5"/>
      <c r="C216" s="3"/>
    </row>
    <row r="217" spans="1:3" ht="15" thickBot="1" x14ac:dyDescent="0.4">
      <c r="A217" s="3"/>
      <c r="B217" s="5"/>
      <c r="C217" s="3"/>
    </row>
    <row r="218" spans="1:3" ht="15" thickBot="1" x14ac:dyDescent="0.4">
      <c r="A218" s="3"/>
      <c r="B218" s="5"/>
      <c r="C218" s="3"/>
    </row>
    <row r="219" spans="1:3" ht="15" thickBot="1" x14ac:dyDescent="0.4">
      <c r="A219" s="3"/>
      <c r="B219" s="5"/>
      <c r="C219" s="3"/>
    </row>
    <row r="220" spans="1:3" ht="15" thickBot="1" x14ac:dyDescent="0.4">
      <c r="A220" s="3"/>
      <c r="B220" s="5"/>
      <c r="C220" s="3"/>
    </row>
    <row r="221" spans="1:3" ht="15" thickBot="1" x14ac:dyDescent="0.4">
      <c r="A221" s="3"/>
      <c r="B221" s="5"/>
      <c r="C221" s="3"/>
    </row>
    <row r="222" spans="1:3" ht="15" thickBot="1" x14ac:dyDescent="0.4">
      <c r="A222" s="3"/>
      <c r="B222" s="5"/>
      <c r="C222" s="3"/>
    </row>
    <row r="223" spans="1:3" ht="15" thickBot="1" x14ac:dyDescent="0.4">
      <c r="A223" s="3"/>
      <c r="B223" s="5"/>
      <c r="C223" s="3"/>
    </row>
    <row r="224" spans="1:3" ht="15" thickBot="1" x14ac:dyDescent="0.4">
      <c r="A224" s="3"/>
      <c r="B224" s="5"/>
      <c r="C224" s="3"/>
    </row>
    <row r="225" spans="1:3" ht="15" thickBot="1" x14ac:dyDescent="0.4">
      <c r="A225" s="3"/>
      <c r="B225" s="5"/>
      <c r="C225" s="3"/>
    </row>
    <row r="226" spans="1:3" ht="15" thickBot="1" x14ac:dyDescent="0.4">
      <c r="A226" s="3"/>
      <c r="B226" s="5"/>
      <c r="C226" s="3"/>
    </row>
    <row r="227" spans="1:3" ht="15" thickBot="1" x14ac:dyDescent="0.4">
      <c r="A227" s="3"/>
      <c r="B227" s="5"/>
      <c r="C227" s="3"/>
    </row>
    <row r="228" spans="1:3" ht="15" thickBot="1" x14ac:dyDescent="0.4">
      <c r="A228" s="3"/>
      <c r="B228" s="5"/>
      <c r="C228" s="3"/>
    </row>
    <row r="229" spans="1:3" ht="15" thickBot="1" x14ac:dyDescent="0.4">
      <c r="A229" s="3"/>
      <c r="B229" s="5"/>
      <c r="C229" s="3"/>
    </row>
    <row r="230" spans="1:3" ht="15" thickBot="1" x14ac:dyDescent="0.4">
      <c r="A230" s="3"/>
      <c r="B230" s="5"/>
      <c r="C230" s="3"/>
    </row>
    <row r="231" spans="1:3" ht="15" thickBot="1" x14ac:dyDescent="0.4">
      <c r="A231" s="3"/>
      <c r="B231" s="5"/>
      <c r="C231" s="3"/>
    </row>
    <row r="232" spans="1:3" ht="15" thickBot="1" x14ac:dyDescent="0.4">
      <c r="A232" s="3"/>
      <c r="B232" s="5"/>
      <c r="C232" s="3"/>
    </row>
    <row r="233" spans="1:3" ht="15" thickBot="1" x14ac:dyDescent="0.4">
      <c r="A233" s="3"/>
      <c r="B233" s="5"/>
      <c r="C233" s="3"/>
    </row>
    <row r="234" spans="1:3" ht="15" thickBot="1" x14ac:dyDescent="0.4">
      <c r="A234" s="3"/>
      <c r="B234" s="5"/>
      <c r="C234" s="3"/>
    </row>
    <row r="235" spans="1:3" ht="15" thickBot="1" x14ac:dyDescent="0.4">
      <c r="A235" s="3"/>
      <c r="B235" s="5"/>
      <c r="C235" s="3"/>
    </row>
    <row r="236" spans="1:3" ht="15" thickBot="1" x14ac:dyDescent="0.4">
      <c r="A236" s="3"/>
      <c r="B236" s="5"/>
      <c r="C236" s="3"/>
    </row>
    <row r="237" spans="1:3" ht="15" thickBot="1" x14ac:dyDescent="0.4">
      <c r="A237" s="3"/>
      <c r="B237" s="5"/>
      <c r="C237" s="3"/>
    </row>
    <row r="238" spans="1:3" ht="15" thickBot="1" x14ac:dyDescent="0.4">
      <c r="A238" s="3"/>
      <c r="B238" s="5"/>
      <c r="C238" s="3"/>
    </row>
    <row r="239" spans="1:3" ht="15" thickBot="1" x14ac:dyDescent="0.4">
      <c r="A239" s="3"/>
      <c r="B239" s="5"/>
      <c r="C239" s="3"/>
    </row>
    <row r="240" spans="1:3" ht="15" thickBot="1" x14ac:dyDescent="0.4">
      <c r="A240" s="3"/>
      <c r="B240" s="5"/>
      <c r="C240" s="3"/>
    </row>
    <row r="241" spans="1:3" ht="15" thickBot="1" x14ac:dyDescent="0.4">
      <c r="A241" s="3"/>
      <c r="B241" s="5"/>
      <c r="C241" s="3"/>
    </row>
    <row r="242" spans="1:3" ht="15" thickBot="1" x14ac:dyDescent="0.4">
      <c r="A242" s="3"/>
      <c r="B242" s="5"/>
      <c r="C242" s="3"/>
    </row>
    <row r="243" spans="1:3" ht="15" thickBot="1" x14ac:dyDescent="0.4">
      <c r="A243" s="3"/>
      <c r="B243" s="5"/>
      <c r="C243" s="3"/>
    </row>
    <row r="244" spans="1:3" ht="15" thickBot="1" x14ac:dyDescent="0.4">
      <c r="A244" s="3"/>
      <c r="B244" s="5"/>
      <c r="C244" s="3"/>
    </row>
    <row r="245" spans="1:3" ht="15" thickBot="1" x14ac:dyDescent="0.4">
      <c r="A245" s="3"/>
      <c r="B245" s="5"/>
      <c r="C245" s="3"/>
    </row>
    <row r="246" spans="1:3" ht="15" thickBot="1" x14ac:dyDescent="0.4">
      <c r="A246" s="3"/>
      <c r="B246" s="5"/>
      <c r="C246" s="3"/>
    </row>
    <row r="247" spans="1:3" ht="15" thickBot="1" x14ac:dyDescent="0.4">
      <c r="A247" s="3"/>
      <c r="B247" s="5"/>
      <c r="C247" s="3"/>
    </row>
    <row r="248" spans="1:3" ht="15" thickBot="1" x14ac:dyDescent="0.4">
      <c r="A248" s="3"/>
      <c r="B248" s="5"/>
      <c r="C248" s="3"/>
    </row>
    <row r="249" spans="1:3" ht="15" thickBot="1" x14ac:dyDescent="0.4">
      <c r="A249" s="3"/>
      <c r="B249" s="5"/>
      <c r="C249" s="3"/>
    </row>
    <row r="250" spans="1:3" ht="15" thickBot="1" x14ac:dyDescent="0.4">
      <c r="A250" s="3"/>
      <c r="B250" s="5"/>
      <c r="C250" s="3"/>
    </row>
    <row r="251" spans="1:3" ht="15" thickBot="1" x14ac:dyDescent="0.4">
      <c r="A251" s="3"/>
      <c r="B251" s="5"/>
      <c r="C251" s="3"/>
    </row>
    <row r="252" spans="1:3" ht="15" thickBot="1" x14ac:dyDescent="0.4">
      <c r="A252" s="3"/>
      <c r="B252" s="5"/>
      <c r="C252" s="3"/>
    </row>
    <row r="253" spans="1:3" ht="15" thickBot="1" x14ac:dyDescent="0.4">
      <c r="A253" s="3"/>
      <c r="B253" s="5"/>
      <c r="C253" s="3"/>
    </row>
    <row r="254" spans="1:3" ht="15" thickBot="1" x14ac:dyDescent="0.4">
      <c r="A254" s="3"/>
      <c r="B254" s="5"/>
      <c r="C254" s="3"/>
    </row>
    <row r="255" spans="1:3" ht="15" thickBot="1" x14ac:dyDescent="0.4">
      <c r="A255" s="3"/>
      <c r="B255" s="5"/>
      <c r="C255" s="3"/>
    </row>
    <row r="256" spans="1:3" ht="15" thickBot="1" x14ac:dyDescent="0.4">
      <c r="A256" s="3"/>
      <c r="B256" s="5"/>
      <c r="C256" s="3"/>
    </row>
    <row r="257" spans="1:3" ht="15" thickBot="1" x14ac:dyDescent="0.4">
      <c r="A257" s="3"/>
      <c r="B257" s="5"/>
      <c r="C257" s="3"/>
    </row>
    <row r="258" spans="1:3" ht="15" thickBot="1" x14ac:dyDescent="0.4">
      <c r="A258" s="3"/>
      <c r="B258" s="5"/>
      <c r="C258" s="3"/>
    </row>
    <row r="259" spans="1:3" ht="15" thickBot="1" x14ac:dyDescent="0.4">
      <c r="A259" s="3"/>
      <c r="B259" s="5"/>
      <c r="C259" s="3"/>
    </row>
    <row r="260" spans="1:3" ht="15" thickBot="1" x14ac:dyDescent="0.4">
      <c r="A260" s="3"/>
      <c r="B260" s="5"/>
      <c r="C260" s="3"/>
    </row>
    <row r="261" spans="1:3" ht="15" thickBot="1" x14ac:dyDescent="0.4">
      <c r="A261" s="3"/>
      <c r="B261" s="5"/>
      <c r="C261" s="3"/>
    </row>
    <row r="262" spans="1:3" ht="15" thickBot="1" x14ac:dyDescent="0.4">
      <c r="A262" s="3"/>
      <c r="B262" s="5"/>
      <c r="C262" s="3"/>
    </row>
    <row r="263" spans="1:3" ht="15" thickBot="1" x14ac:dyDescent="0.4">
      <c r="A263" s="3"/>
      <c r="B263" s="5"/>
      <c r="C263" s="3"/>
    </row>
    <row r="264" spans="1:3" ht="15" thickBot="1" x14ac:dyDescent="0.4">
      <c r="A264" s="3"/>
      <c r="B264" s="5"/>
      <c r="C264" s="3"/>
    </row>
    <row r="265" spans="1:3" ht="15" thickBot="1" x14ac:dyDescent="0.4">
      <c r="A265" s="3"/>
      <c r="B265" s="5"/>
      <c r="C265" s="3"/>
    </row>
    <row r="266" spans="1:3" ht="15" thickBot="1" x14ac:dyDescent="0.4">
      <c r="A266" s="3"/>
      <c r="B266" s="5"/>
      <c r="C266" s="3"/>
    </row>
    <row r="267" spans="1:3" ht="15" thickBot="1" x14ac:dyDescent="0.4">
      <c r="A267" s="3"/>
      <c r="B267" s="5"/>
      <c r="C267" s="3"/>
    </row>
    <row r="268" spans="1:3" ht="15" thickBot="1" x14ac:dyDescent="0.4">
      <c r="A268" s="3"/>
      <c r="B268" s="5"/>
      <c r="C268" s="3"/>
    </row>
    <row r="269" spans="1:3" ht="15" thickBot="1" x14ac:dyDescent="0.4">
      <c r="A269" s="3"/>
      <c r="B269" s="5"/>
      <c r="C269" s="3"/>
    </row>
    <row r="270" spans="1:3" ht="15" thickBot="1" x14ac:dyDescent="0.4">
      <c r="A270" s="3"/>
      <c r="B270" s="5"/>
      <c r="C270" s="3"/>
    </row>
    <row r="271" spans="1:3" ht="15" thickBot="1" x14ac:dyDescent="0.4">
      <c r="A271" s="3"/>
      <c r="B271" s="5"/>
      <c r="C271" s="3"/>
    </row>
    <row r="272" spans="1:3" ht="15" thickBot="1" x14ac:dyDescent="0.4">
      <c r="A272" s="3"/>
      <c r="B272" s="5"/>
      <c r="C272" s="3"/>
    </row>
    <row r="273" spans="1:3" ht="15" thickBot="1" x14ac:dyDescent="0.4">
      <c r="A273" s="3"/>
      <c r="B273" s="5"/>
      <c r="C273" s="3"/>
    </row>
    <row r="274" spans="1:3" ht="15" thickBot="1" x14ac:dyDescent="0.4">
      <c r="A274" s="3"/>
      <c r="B274" s="5"/>
      <c r="C274" s="3"/>
    </row>
    <row r="275" spans="1:3" ht="15" thickBot="1" x14ac:dyDescent="0.4">
      <c r="A275" s="3"/>
      <c r="B275" s="5"/>
      <c r="C275" s="3"/>
    </row>
    <row r="276" spans="1:3" ht="15" thickBot="1" x14ac:dyDescent="0.4">
      <c r="A276" s="3"/>
      <c r="B276" s="5"/>
      <c r="C276" s="3"/>
    </row>
    <row r="277" spans="1:3" ht="15" thickBot="1" x14ac:dyDescent="0.4">
      <c r="A277" s="3"/>
      <c r="B277" s="5"/>
      <c r="C277" s="3"/>
    </row>
    <row r="278" spans="1:3" ht="15" thickBot="1" x14ac:dyDescent="0.4">
      <c r="A278" s="3"/>
      <c r="B278" s="5"/>
      <c r="C278" s="3"/>
    </row>
    <row r="279" spans="1:3" ht="15" thickBot="1" x14ac:dyDescent="0.4">
      <c r="A279" s="3"/>
      <c r="B279" s="5"/>
      <c r="C279" s="3"/>
    </row>
    <row r="280" spans="1:3" ht="15" thickBot="1" x14ac:dyDescent="0.4">
      <c r="A280" s="3"/>
      <c r="B280" s="5"/>
      <c r="C280" s="3"/>
    </row>
    <row r="281" spans="1:3" ht="15" thickBot="1" x14ac:dyDescent="0.4">
      <c r="A281" s="3"/>
      <c r="B281" s="5"/>
      <c r="C281" s="3"/>
    </row>
    <row r="282" spans="1:3" ht="15" thickBot="1" x14ac:dyDescent="0.4">
      <c r="A282" s="3"/>
      <c r="B282" s="5"/>
      <c r="C282" s="3"/>
    </row>
    <row r="283" spans="1:3" ht="15" thickBot="1" x14ac:dyDescent="0.4">
      <c r="A283" s="3"/>
      <c r="B283" s="5"/>
      <c r="C283" s="3"/>
    </row>
    <row r="284" spans="1:3" ht="15" thickBot="1" x14ac:dyDescent="0.4">
      <c r="A284" s="3"/>
      <c r="B284" s="5"/>
      <c r="C284" s="3"/>
    </row>
    <row r="285" spans="1:3" ht="15" thickBot="1" x14ac:dyDescent="0.4">
      <c r="A285" s="3"/>
      <c r="B285" s="5"/>
      <c r="C285" s="3"/>
    </row>
    <row r="286" spans="1:3" ht="15" thickBot="1" x14ac:dyDescent="0.4">
      <c r="A286" s="3"/>
      <c r="B286" s="5"/>
      <c r="C286" s="3"/>
    </row>
    <row r="287" spans="1:3" ht="15" thickBot="1" x14ac:dyDescent="0.4">
      <c r="A287" s="3"/>
      <c r="B287" s="5"/>
      <c r="C287" s="3"/>
    </row>
    <row r="288" spans="1:3" ht="15" thickBot="1" x14ac:dyDescent="0.4">
      <c r="A288" s="3"/>
      <c r="B288" s="5"/>
      <c r="C288" s="3"/>
    </row>
    <row r="289" spans="1:3" ht="15" thickBot="1" x14ac:dyDescent="0.4">
      <c r="A289" s="3"/>
      <c r="B289" s="5"/>
      <c r="C289" s="3"/>
    </row>
    <row r="290" spans="1:3" ht="15" thickBot="1" x14ac:dyDescent="0.4">
      <c r="A290" s="3"/>
      <c r="B290" s="5"/>
      <c r="C290" s="3"/>
    </row>
    <row r="291" spans="1:3" ht="15" thickBot="1" x14ac:dyDescent="0.4">
      <c r="A291" s="3"/>
      <c r="B291" s="5"/>
      <c r="C291" s="3"/>
    </row>
    <row r="292" spans="1:3" ht="15" thickBot="1" x14ac:dyDescent="0.4">
      <c r="A292" s="3"/>
      <c r="B292" s="5"/>
      <c r="C292" s="3"/>
    </row>
    <row r="293" spans="1:3" ht="15" thickBot="1" x14ac:dyDescent="0.4">
      <c r="A293" s="3"/>
      <c r="B293" s="5"/>
      <c r="C293" s="3"/>
    </row>
    <row r="294" spans="1:3" ht="15" thickBot="1" x14ac:dyDescent="0.4">
      <c r="A294" s="3"/>
      <c r="B294" s="5"/>
      <c r="C294" s="3"/>
    </row>
    <row r="295" spans="1:3" ht="15" thickBot="1" x14ac:dyDescent="0.4">
      <c r="A295" s="3"/>
      <c r="B295" s="5"/>
      <c r="C295" s="3"/>
    </row>
    <row r="296" spans="1:3" ht="15" thickBot="1" x14ac:dyDescent="0.4">
      <c r="A296" s="3"/>
      <c r="B296" s="5"/>
      <c r="C296" s="3"/>
    </row>
    <row r="297" spans="1:3" ht="15" thickBot="1" x14ac:dyDescent="0.4">
      <c r="A297" s="3"/>
      <c r="B297" s="5"/>
      <c r="C297" s="3"/>
    </row>
    <row r="298" spans="1:3" ht="15" thickBot="1" x14ac:dyDescent="0.4">
      <c r="A298" s="3"/>
      <c r="B298" s="5"/>
      <c r="C298" s="3"/>
    </row>
    <row r="299" spans="1:3" ht="15" thickBot="1" x14ac:dyDescent="0.4">
      <c r="A299" s="3"/>
      <c r="B299" s="5"/>
      <c r="C299" s="3"/>
    </row>
    <row r="300" spans="1:3" ht="15" thickBot="1" x14ac:dyDescent="0.4">
      <c r="A300" s="3"/>
      <c r="B300" s="5"/>
      <c r="C300" s="3"/>
    </row>
    <row r="301" spans="1:3" ht="15" thickBot="1" x14ac:dyDescent="0.4">
      <c r="A301" s="3"/>
      <c r="B301" s="5"/>
      <c r="C301" s="3"/>
    </row>
    <row r="302" spans="1:3" ht="15" thickBot="1" x14ac:dyDescent="0.4">
      <c r="A302" s="3"/>
      <c r="B302" s="5"/>
      <c r="C302" s="3"/>
    </row>
    <row r="303" spans="1:3" ht="15" thickBot="1" x14ac:dyDescent="0.4">
      <c r="A303" s="3"/>
      <c r="B303" s="5"/>
      <c r="C303" s="3"/>
    </row>
    <row r="304" spans="1:3" ht="15" thickBot="1" x14ac:dyDescent="0.4">
      <c r="A304" s="3"/>
      <c r="B304" s="5"/>
      <c r="C304" s="3"/>
    </row>
    <row r="305" spans="1:3" ht="15" thickBot="1" x14ac:dyDescent="0.4">
      <c r="A305" s="3"/>
      <c r="B305" s="5"/>
      <c r="C305" s="3"/>
    </row>
    <row r="306" spans="1:3" ht="15" thickBot="1" x14ac:dyDescent="0.4">
      <c r="A306" s="3"/>
      <c r="B306" s="5"/>
      <c r="C306" s="3"/>
    </row>
    <row r="307" spans="1:3" ht="15" thickBot="1" x14ac:dyDescent="0.4">
      <c r="A307" s="3"/>
      <c r="B307" s="5"/>
      <c r="C307" s="3"/>
    </row>
    <row r="308" spans="1:3" ht="15" thickBot="1" x14ac:dyDescent="0.4">
      <c r="A308" s="3"/>
      <c r="B308" s="5"/>
      <c r="C308" s="3"/>
    </row>
    <row r="309" spans="1:3" ht="15" thickBot="1" x14ac:dyDescent="0.4">
      <c r="A309" s="3"/>
      <c r="B309" s="5"/>
      <c r="C309" s="3"/>
    </row>
    <row r="310" spans="1:3" ht="15" thickBot="1" x14ac:dyDescent="0.4">
      <c r="A310" s="3"/>
      <c r="B310" s="5"/>
      <c r="C310" s="3"/>
    </row>
    <row r="311" spans="1:3" ht="15" thickBot="1" x14ac:dyDescent="0.4">
      <c r="A311" s="3"/>
      <c r="B311" s="5"/>
      <c r="C311" s="3"/>
    </row>
    <row r="312" spans="1:3" ht="15" thickBot="1" x14ac:dyDescent="0.4">
      <c r="A312" s="3"/>
      <c r="B312" s="5"/>
      <c r="C312" s="3"/>
    </row>
    <row r="313" spans="1:3" ht="15" thickBot="1" x14ac:dyDescent="0.4">
      <c r="A313" s="3"/>
      <c r="B313" s="5"/>
      <c r="C313" s="3"/>
    </row>
    <row r="314" spans="1:3" ht="15" thickBot="1" x14ac:dyDescent="0.4">
      <c r="A314" s="3"/>
      <c r="B314" s="5"/>
      <c r="C314" s="3"/>
    </row>
    <row r="315" spans="1:3" ht="15" thickBot="1" x14ac:dyDescent="0.4">
      <c r="A315" s="3"/>
      <c r="B315" s="5"/>
      <c r="C315" s="3"/>
    </row>
    <row r="316" spans="1:3" ht="15" thickBot="1" x14ac:dyDescent="0.4">
      <c r="A316" s="3"/>
      <c r="B316" s="5"/>
      <c r="C316" s="3"/>
    </row>
    <row r="317" spans="1:3" ht="15" thickBot="1" x14ac:dyDescent="0.4">
      <c r="A317" s="3"/>
      <c r="B317" s="5"/>
      <c r="C317" s="3"/>
    </row>
    <row r="318" spans="1:3" ht="15" thickBot="1" x14ac:dyDescent="0.4">
      <c r="A318" s="3"/>
      <c r="B318" s="5"/>
      <c r="C318" s="3"/>
    </row>
    <row r="319" spans="1:3" ht="15" thickBot="1" x14ac:dyDescent="0.4">
      <c r="A319" s="3"/>
      <c r="B319" s="5"/>
      <c r="C319" s="3"/>
    </row>
    <row r="320" spans="1:3" ht="15" thickBot="1" x14ac:dyDescent="0.4">
      <c r="A320" s="3"/>
      <c r="B320" s="5"/>
      <c r="C320" s="3"/>
    </row>
    <row r="321" spans="1:3" ht="15" thickBot="1" x14ac:dyDescent="0.4">
      <c r="A321" s="3"/>
      <c r="B321" s="5"/>
      <c r="C321" s="3"/>
    </row>
    <row r="322" spans="1:3" ht="15" thickBot="1" x14ac:dyDescent="0.4">
      <c r="A322" s="3"/>
      <c r="B322" s="5"/>
      <c r="C322" s="3"/>
    </row>
    <row r="323" spans="1:3" ht="15" thickBot="1" x14ac:dyDescent="0.4">
      <c r="A323" s="3"/>
      <c r="B323" s="5"/>
      <c r="C323" s="3"/>
    </row>
    <row r="324" spans="1:3" ht="15" thickBot="1" x14ac:dyDescent="0.4">
      <c r="A324" s="3"/>
      <c r="B324" s="5"/>
      <c r="C324" s="3"/>
    </row>
    <row r="325" spans="1:3" ht="15" thickBot="1" x14ac:dyDescent="0.4">
      <c r="A325" s="3"/>
      <c r="B325" s="5"/>
      <c r="C325" s="3"/>
    </row>
    <row r="326" spans="1:3" ht="15" thickBot="1" x14ac:dyDescent="0.4">
      <c r="A326" s="3"/>
      <c r="B326" s="5"/>
      <c r="C326" s="3"/>
    </row>
    <row r="327" spans="1:3" ht="15" thickBot="1" x14ac:dyDescent="0.4">
      <c r="A327" s="3"/>
      <c r="B327" s="5"/>
      <c r="C327" s="3"/>
    </row>
    <row r="328" spans="1:3" ht="15" thickBot="1" x14ac:dyDescent="0.4">
      <c r="A328" s="3"/>
      <c r="B328" s="5"/>
      <c r="C328" s="3"/>
    </row>
    <row r="329" spans="1:3" ht="15" thickBot="1" x14ac:dyDescent="0.4">
      <c r="A329" s="3"/>
      <c r="B329" s="5"/>
      <c r="C329" s="3"/>
    </row>
    <row r="330" spans="1:3" ht="15" thickBot="1" x14ac:dyDescent="0.4">
      <c r="A330" s="3"/>
      <c r="B330" s="5"/>
      <c r="C330" s="3"/>
    </row>
    <row r="331" spans="1:3" ht="15" thickBot="1" x14ac:dyDescent="0.4">
      <c r="A331" s="3"/>
      <c r="B331" s="5"/>
      <c r="C331" s="3"/>
    </row>
    <row r="332" spans="1:3" ht="15" thickBot="1" x14ac:dyDescent="0.4">
      <c r="A332" s="3"/>
      <c r="B332" s="5"/>
      <c r="C332" s="3"/>
    </row>
    <row r="333" spans="1:3" ht="15" thickBot="1" x14ac:dyDescent="0.4">
      <c r="A333" s="3"/>
      <c r="B333" s="5"/>
      <c r="C333" s="3"/>
    </row>
    <row r="334" spans="1:3" ht="15" thickBot="1" x14ac:dyDescent="0.4">
      <c r="A334" s="3"/>
      <c r="B334" s="5"/>
      <c r="C334" s="3"/>
    </row>
    <row r="335" spans="1:3" ht="15" thickBot="1" x14ac:dyDescent="0.4">
      <c r="A335" s="3"/>
      <c r="B335" s="5"/>
      <c r="C335" s="3"/>
    </row>
    <row r="336" spans="1:3" ht="15" thickBot="1" x14ac:dyDescent="0.4">
      <c r="A336" s="3"/>
      <c r="B336" s="5"/>
      <c r="C336" s="3"/>
    </row>
    <row r="337" spans="1:3" ht="15" thickBot="1" x14ac:dyDescent="0.4">
      <c r="A337" s="3"/>
      <c r="B337" s="5"/>
      <c r="C337" s="3"/>
    </row>
    <row r="338" spans="1:3" ht="15" thickBot="1" x14ac:dyDescent="0.4">
      <c r="A338" s="3"/>
      <c r="B338" s="5"/>
      <c r="C338" s="3"/>
    </row>
    <row r="339" spans="1:3" ht="15" thickBot="1" x14ac:dyDescent="0.4">
      <c r="A339" s="3"/>
      <c r="B339" s="5"/>
      <c r="C339" s="3"/>
    </row>
    <row r="340" spans="1:3" ht="15" thickBot="1" x14ac:dyDescent="0.4">
      <c r="A340" s="3"/>
      <c r="B340" s="5"/>
      <c r="C340" s="3"/>
    </row>
    <row r="341" spans="1:3" ht="15" thickBot="1" x14ac:dyDescent="0.4">
      <c r="A341" s="3"/>
      <c r="B341" s="5"/>
      <c r="C341" s="3"/>
    </row>
    <row r="342" spans="1:3" ht="15" thickBot="1" x14ac:dyDescent="0.4">
      <c r="A342" s="3"/>
      <c r="B342" s="5"/>
      <c r="C342" s="3"/>
    </row>
    <row r="343" spans="1:3" ht="15" thickBot="1" x14ac:dyDescent="0.4">
      <c r="A343" s="3"/>
      <c r="B343" s="5"/>
      <c r="C343" s="3"/>
    </row>
    <row r="344" spans="1:3" ht="15" thickBot="1" x14ac:dyDescent="0.4">
      <c r="A344" s="3"/>
      <c r="B344" s="5"/>
      <c r="C344" s="3"/>
    </row>
    <row r="345" spans="1:3" ht="15" thickBot="1" x14ac:dyDescent="0.4">
      <c r="A345" s="3"/>
      <c r="B345" s="5"/>
      <c r="C345" s="3"/>
    </row>
    <row r="346" spans="1:3" ht="15" thickBot="1" x14ac:dyDescent="0.4">
      <c r="A346" s="3"/>
      <c r="B346" s="5"/>
      <c r="C346" s="3"/>
    </row>
    <row r="347" spans="1:3" ht="15" thickBot="1" x14ac:dyDescent="0.4">
      <c r="A347" s="3"/>
      <c r="B347" s="5"/>
      <c r="C347" s="3"/>
    </row>
    <row r="348" spans="1:3" ht="15" thickBot="1" x14ac:dyDescent="0.4">
      <c r="A348" s="3"/>
      <c r="B348" s="5"/>
      <c r="C348" s="3"/>
    </row>
    <row r="349" spans="1:3" ht="15" thickBot="1" x14ac:dyDescent="0.4">
      <c r="A349" s="3"/>
      <c r="B349" s="5"/>
      <c r="C349" s="3"/>
    </row>
    <row r="350" spans="1:3" ht="15" thickBot="1" x14ac:dyDescent="0.4">
      <c r="A350" s="3"/>
      <c r="B350" s="5"/>
      <c r="C350" s="3"/>
    </row>
    <row r="351" spans="1:3" ht="15" thickBot="1" x14ac:dyDescent="0.4">
      <c r="A351" s="3"/>
      <c r="B351" s="5"/>
      <c r="C351" s="3"/>
    </row>
    <row r="352" spans="1:3" ht="15" thickBot="1" x14ac:dyDescent="0.4">
      <c r="A352" s="3"/>
      <c r="B352" s="5"/>
      <c r="C352" s="3"/>
    </row>
    <row r="353" spans="1:3" ht="15" thickBot="1" x14ac:dyDescent="0.4">
      <c r="A353" s="3"/>
      <c r="B353" s="5"/>
      <c r="C353" s="3"/>
    </row>
    <row r="354" spans="1:3" ht="15" thickBot="1" x14ac:dyDescent="0.4">
      <c r="A354" s="3"/>
      <c r="B354" s="5"/>
      <c r="C354" s="3"/>
    </row>
    <row r="355" spans="1:3" ht="15" thickBot="1" x14ac:dyDescent="0.4">
      <c r="A355" s="3"/>
      <c r="B355" s="5"/>
      <c r="C355" s="3"/>
    </row>
    <row r="356" spans="1:3" ht="15" thickBot="1" x14ac:dyDescent="0.4">
      <c r="A356" s="3"/>
      <c r="B356" s="5"/>
      <c r="C356" s="3"/>
    </row>
    <row r="357" spans="1:3" ht="15" thickBot="1" x14ac:dyDescent="0.4">
      <c r="A357" s="3"/>
      <c r="B357" s="5"/>
      <c r="C357" s="3"/>
    </row>
    <row r="358" spans="1:3" ht="15" thickBot="1" x14ac:dyDescent="0.4">
      <c r="A358" s="3"/>
      <c r="B358" s="5"/>
      <c r="C358" s="3"/>
    </row>
    <row r="359" spans="1:3" ht="15" thickBot="1" x14ac:dyDescent="0.4">
      <c r="A359" s="3"/>
      <c r="B359" s="5"/>
      <c r="C359" s="3"/>
    </row>
    <row r="360" spans="1:3" ht="15" thickBot="1" x14ac:dyDescent="0.4">
      <c r="A360" s="3"/>
      <c r="B360" s="5"/>
      <c r="C360" s="3"/>
    </row>
    <row r="361" spans="1:3" ht="15" thickBot="1" x14ac:dyDescent="0.4">
      <c r="A361" s="3"/>
      <c r="B361" s="5"/>
      <c r="C361" s="3"/>
    </row>
    <row r="362" spans="1:3" ht="15" thickBot="1" x14ac:dyDescent="0.4">
      <c r="A362" s="3"/>
      <c r="B362" s="5"/>
      <c r="C362" s="3"/>
    </row>
    <row r="363" spans="1:3" ht="15" thickBot="1" x14ac:dyDescent="0.4">
      <c r="A363" s="3"/>
      <c r="B363" s="5"/>
      <c r="C363" s="3"/>
    </row>
    <row r="364" spans="1:3" ht="15" thickBot="1" x14ac:dyDescent="0.4">
      <c r="A364" s="3"/>
      <c r="B364" s="5"/>
      <c r="C364" s="3"/>
    </row>
    <row r="365" spans="1:3" ht="15" thickBot="1" x14ac:dyDescent="0.4">
      <c r="A365" s="3"/>
      <c r="B365" s="5"/>
      <c r="C365" s="3"/>
    </row>
    <row r="366" spans="1:3" ht="15" thickBot="1" x14ac:dyDescent="0.4">
      <c r="A366" s="3"/>
      <c r="B366" s="5"/>
      <c r="C366" s="3"/>
    </row>
    <row r="367" spans="1:3" ht="15" thickBot="1" x14ac:dyDescent="0.4">
      <c r="A367" s="3"/>
      <c r="B367" s="5"/>
      <c r="C367" s="3"/>
    </row>
    <row r="368" spans="1:3" ht="15" thickBot="1" x14ac:dyDescent="0.4">
      <c r="A368" s="3"/>
      <c r="B368" s="5"/>
      <c r="C368" s="3"/>
    </row>
    <row r="369" spans="1:3" ht="15" thickBot="1" x14ac:dyDescent="0.4">
      <c r="A369" s="3"/>
      <c r="B369" s="5"/>
      <c r="C369" s="3"/>
    </row>
    <row r="370" spans="1:3" ht="15" thickBot="1" x14ac:dyDescent="0.4">
      <c r="A370" s="3"/>
      <c r="B370" s="5"/>
      <c r="C370" s="3"/>
    </row>
    <row r="371" spans="1:3" ht="15" thickBot="1" x14ac:dyDescent="0.4">
      <c r="A371" s="3"/>
      <c r="B371" s="5"/>
      <c r="C371" s="3"/>
    </row>
    <row r="372" spans="1:3" ht="15" thickBot="1" x14ac:dyDescent="0.4">
      <c r="A372" s="3"/>
      <c r="B372" s="5"/>
      <c r="C372" s="3"/>
    </row>
    <row r="373" spans="1:3" ht="15" thickBot="1" x14ac:dyDescent="0.4">
      <c r="A373" s="3"/>
      <c r="B373" s="5"/>
      <c r="C373" s="3"/>
    </row>
    <row r="374" spans="1:3" ht="15" thickBot="1" x14ac:dyDescent="0.4">
      <c r="A374" s="3"/>
      <c r="B374" s="5"/>
      <c r="C374" s="3"/>
    </row>
    <row r="375" spans="1:3" ht="15" thickBot="1" x14ac:dyDescent="0.4">
      <c r="A375" s="3"/>
      <c r="B375" s="5"/>
      <c r="C375" s="3"/>
    </row>
    <row r="376" spans="1:3" ht="15" thickBot="1" x14ac:dyDescent="0.4">
      <c r="A376" s="3"/>
      <c r="B376" s="5"/>
      <c r="C376" s="3"/>
    </row>
    <row r="377" spans="1:3" ht="15" thickBot="1" x14ac:dyDescent="0.4">
      <c r="A377" s="3"/>
      <c r="B377" s="5"/>
      <c r="C377" s="3"/>
    </row>
    <row r="378" spans="1:3" ht="15" thickBot="1" x14ac:dyDescent="0.4">
      <c r="A378" s="3"/>
      <c r="B378" s="5"/>
      <c r="C378" s="3"/>
    </row>
    <row r="379" spans="1:3" ht="15" thickBot="1" x14ac:dyDescent="0.4">
      <c r="A379" s="3"/>
      <c r="B379" s="5"/>
      <c r="C379" s="3"/>
    </row>
    <row r="380" spans="1:3" ht="15" thickBot="1" x14ac:dyDescent="0.4">
      <c r="A380" s="3"/>
      <c r="B380" s="5"/>
      <c r="C380" s="3"/>
    </row>
    <row r="381" spans="1:3" ht="15" thickBot="1" x14ac:dyDescent="0.4">
      <c r="A381" s="3"/>
      <c r="B381" s="5"/>
      <c r="C381" s="3"/>
    </row>
    <row r="382" spans="1:3" ht="15" thickBot="1" x14ac:dyDescent="0.4">
      <c r="A382" s="3"/>
      <c r="B382" s="5"/>
      <c r="C382" s="3"/>
    </row>
    <row r="383" spans="1:3" ht="15" thickBot="1" x14ac:dyDescent="0.4">
      <c r="A383" s="3"/>
      <c r="B383" s="5"/>
      <c r="C383" s="3"/>
    </row>
    <row r="384" spans="1:3" ht="15" thickBot="1" x14ac:dyDescent="0.4">
      <c r="A384" s="3"/>
      <c r="B384" s="5"/>
      <c r="C384" s="3"/>
    </row>
    <row r="385" spans="1:3" ht="15" thickBot="1" x14ac:dyDescent="0.4">
      <c r="A385" s="3"/>
      <c r="B385" s="5"/>
      <c r="C385" s="3"/>
    </row>
    <row r="386" spans="1:3" ht="15" thickBot="1" x14ac:dyDescent="0.4">
      <c r="A386" s="3"/>
      <c r="B386" s="5"/>
      <c r="C386" s="3"/>
    </row>
    <row r="387" spans="1:3" ht="15" thickBot="1" x14ac:dyDescent="0.4">
      <c r="A387" s="3"/>
      <c r="B387" s="5"/>
      <c r="C387" s="3"/>
    </row>
    <row r="388" spans="1:3" ht="15" thickBot="1" x14ac:dyDescent="0.4">
      <c r="A388" s="3"/>
      <c r="B388" s="5"/>
      <c r="C388" s="3"/>
    </row>
    <row r="389" spans="1:3" ht="15" thickBot="1" x14ac:dyDescent="0.4">
      <c r="A389" s="3"/>
      <c r="B389" s="5"/>
      <c r="C389" s="3"/>
    </row>
    <row r="390" spans="1:3" ht="15" thickBot="1" x14ac:dyDescent="0.4">
      <c r="A390" s="3"/>
      <c r="B390" s="5"/>
      <c r="C390" s="3"/>
    </row>
    <row r="391" spans="1:3" ht="15" thickBot="1" x14ac:dyDescent="0.4">
      <c r="A391" s="3"/>
      <c r="B391" s="5"/>
      <c r="C391" s="3"/>
    </row>
    <row r="392" spans="1:3" ht="15" thickBot="1" x14ac:dyDescent="0.4">
      <c r="A392" s="3"/>
      <c r="B392" s="5"/>
      <c r="C392" s="3"/>
    </row>
    <row r="393" spans="1:3" ht="15" thickBot="1" x14ac:dyDescent="0.4">
      <c r="A393" s="3"/>
      <c r="B393" s="5"/>
      <c r="C393" s="3"/>
    </row>
    <row r="394" spans="1:3" ht="15" thickBot="1" x14ac:dyDescent="0.4">
      <c r="A394" s="3"/>
      <c r="B394" s="5"/>
      <c r="C394" s="3"/>
    </row>
    <row r="395" spans="1:3" ht="15" thickBot="1" x14ac:dyDescent="0.4">
      <c r="A395" s="3"/>
      <c r="B395" s="5"/>
      <c r="C395" s="3"/>
    </row>
    <row r="396" spans="1:3" ht="15" thickBot="1" x14ac:dyDescent="0.4">
      <c r="A396" s="3"/>
      <c r="B396" s="5"/>
      <c r="C396" s="3"/>
    </row>
    <row r="397" spans="1:3" ht="15" thickBot="1" x14ac:dyDescent="0.4">
      <c r="A397" s="3"/>
      <c r="B397" s="5"/>
      <c r="C397" s="3"/>
    </row>
    <row r="398" spans="1:3" ht="15" thickBot="1" x14ac:dyDescent="0.4">
      <c r="A398" s="3"/>
      <c r="B398" s="5"/>
      <c r="C398" s="3"/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B856A-7D81-46C9-8F61-01731201367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0-6 yrs</vt:lpstr>
      <vt:lpstr>7-12 yrs</vt:lpstr>
      <vt:lpstr>13-21 yrs</vt:lpstr>
      <vt:lpstr>22-40 yrs</vt:lpstr>
      <vt:lpstr>41-50 yrs</vt:lpstr>
      <vt:lpstr>51-60 yrs</vt:lpstr>
      <vt:lpstr>61-80 yrs</vt:lpstr>
      <vt:lpstr>81+ 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Vallakati, Jyothirmai</cp:lastModifiedBy>
  <dcterms:created xsi:type="dcterms:W3CDTF">2024-10-29T01:17:16Z</dcterms:created>
  <dcterms:modified xsi:type="dcterms:W3CDTF">2024-12-11T02:47:30Z</dcterms:modified>
</cp:coreProperties>
</file>