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jv0646\Documents\FofAI\final data\"/>
    </mc:Choice>
  </mc:AlternateContent>
  <xr:revisionPtr revIDLastSave="0" documentId="13_ncr:1_{2967E53C-FF64-458A-8CE1-4230F1C13E54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0-6_Male" sheetId="1" r:id="rId1"/>
    <sheet name="0-6_Female" sheetId="2" r:id="rId2"/>
    <sheet name="7-12_Male" sheetId="3" r:id="rId3"/>
    <sheet name="7-12_Female" sheetId="4" r:id="rId4"/>
    <sheet name="13-21_Male" sheetId="5" r:id="rId5"/>
    <sheet name="13-21_Female" sheetId="6" r:id="rId6"/>
    <sheet name="22-40_Male" sheetId="7" r:id="rId7"/>
    <sheet name="22-40_Female" sheetId="8" r:id="rId8"/>
    <sheet name="41-50_Male" sheetId="9" r:id="rId9"/>
    <sheet name="41-50_Female" sheetId="10" r:id="rId10"/>
    <sheet name="51-60_Male" sheetId="11" r:id="rId11"/>
    <sheet name="51-60_Female" sheetId="12" r:id="rId12"/>
    <sheet name="61-80_Male" sheetId="13" r:id="rId13"/>
    <sheet name="61-80_Female" sheetId="14" r:id="rId14"/>
    <sheet name="81+_Male" sheetId="15" r:id="rId15"/>
    <sheet name="81+_Female" sheetId="16" r:id="rId16"/>
  </sheets>
  <calcPr calcId="191028"/>
  <pivotCaches>
    <pivotCache cacheId="9692" r:id="rId17"/>
    <pivotCache cacheId="9693" r:id="rId18"/>
    <pivotCache cacheId="9694" r:id="rId19"/>
    <pivotCache cacheId="9695" r:id="rId20"/>
    <pivotCache cacheId="9696" r:id="rId21"/>
    <pivotCache cacheId="9697" r:id="rId22"/>
    <pivotCache cacheId="9698" r:id="rId23"/>
    <pivotCache cacheId="9699" r:id="rId24"/>
    <pivotCache cacheId="9700" r:id="rId25"/>
    <pivotCache cacheId="9701" r:id="rId26"/>
    <pivotCache cacheId="9702" r:id="rId27"/>
    <pivotCache cacheId="9703" r:id="rId28"/>
    <pivotCache cacheId="9704" r:id="rId29"/>
    <pivotCache cacheId="9705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8" l="1"/>
  <c r="N10" i="8"/>
  <c r="N8" i="8"/>
  <c r="L10" i="8"/>
  <c r="L9" i="8"/>
  <c r="L8" i="8"/>
  <c r="L10" i="10"/>
  <c r="L9" i="10"/>
  <c r="N7" i="12"/>
  <c r="N8" i="12"/>
  <c r="N9" i="12"/>
  <c r="L9" i="12"/>
  <c r="L8" i="12"/>
  <c r="L7" i="12"/>
  <c r="N6" i="12"/>
  <c r="L6" i="12"/>
  <c r="O7" i="13"/>
  <c r="O6" i="14"/>
  <c r="O7" i="14"/>
  <c r="O8" i="14"/>
  <c r="O9" i="14"/>
  <c r="M9" i="14"/>
  <c r="M5" i="14"/>
  <c r="O5" i="14" s="1"/>
  <c r="M7" i="14"/>
  <c r="M6" i="14"/>
  <c r="I23" i="15"/>
  <c r="I22" i="15"/>
  <c r="I39" i="16"/>
  <c r="G39" i="16"/>
  <c r="I37" i="16"/>
  <c r="I38" i="16"/>
  <c r="G38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6" i="16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4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" i="14"/>
  <c r="I7" i="13"/>
  <c r="I8" i="13"/>
  <c r="I9" i="13"/>
  <c r="I10" i="13"/>
  <c r="I11" i="13"/>
  <c r="I12" i="13"/>
  <c r="I13" i="13"/>
  <c r="I14" i="13"/>
  <c r="I15" i="13"/>
  <c r="I16" i="13"/>
  <c r="I17" i="13"/>
  <c r="I6" i="13"/>
  <c r="I3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6" i="12"/>
  <c r="H7" i="11"/>
  <c r="H8" i="11"/>
  <c r="H9" i="11"/>
  <c r="H10" i="11"/>
  <c r="H11" i="11"/>
  <c r="H12" i="11"/>
  <c r="H13" i="11"/>
  <c r="H14" i="11"/>
  <c r="H15" i="11"/>
  <c r="H6" i="11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7" i="10"/>
  <c r="I7" i="9"/>
  <c r="I8" i="9"/>
  <c r="I9" i="9"/>
  <c r="I10" i="9"/>
  <c r="I11" i="9"/>
  <c r="I6" i="9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7" i="8"/>
  <c r="I7" i="6"/>
  <c r="I8" i="6"/>
  <c r="I9" i="6"/>
  <c r="I10" i="6"/>
  <c r="I6" i="6"/>
  <c r="I7" i="5"/>
  <c r="I8" i="5"/>
  <c r="I9" i="5"/>
  <c r="I10" i="5"/>
  <c r="I11" i="5"/>
  <c r="I12" i="5"/>
  <c r="I6" i="5"/>
  <c r="I6" i="3"/>
  <c r="I7" i="3"/>
  <c r="I8" i="3"/>
  <c r="I9" i="3"/>
  <c r="I10" i="3"/>
  <c r="I11" i="3"/>
  <c r="I12" i="3"/>
  <c r="I5" i="3"/>
</calcChain>
</file>

<file path=xl/sharedStrings.xml><?xml version="1.0" encoding="utf-8"?>
<sst xmlns="http://schemas.openxmlformats.org/spreadsheetml/2006/main" count="18439" uniqueCount="3059">
  <si>
    <t>Reaction</t>
  </si>
  <si>
    <t>Frequency</t>
  </si>
  <si>
    <t>Organ System</t>
  </si>
  <si>
    <t>Foetal Exposure During Pregnancy</t>
  </si>
  <si>
    <t>Reproductive</t>
  </si>
  <si>
    <t>Microtia</t>
  </si>
  <si>
    <t>Auditory</t>
  </si>
  <si>
    <t>Row Labels</t>
  </si>
  <si>
    <t>Sum of Frequency</t>
  </si>
  <si>
    <t>Total</t>
  </si>
  <si>
    <t>Normalization</t>
  </si>
  <si>
    <t>Organ System: Reproductive</t>
  </si>
  <si>
    <t>Grand Total</t>
  </si>
  <si>
    <t>Organ System: Auditory</t>
  </si>
  <si>
    <t>Reaction/Condition</t>
  </si>
  <si>
    <t>Adverse Event</t>
  </si>
  <si>
    <t>General</t>
  </si>
  <si>
    <t>Condition Aggravated</t>
  </si>
  <si>
    <t>Eosinophil Count Decreased</t>
  </si>
  <si>
    <t>Hematopoietic</t>
  </si>
  <si>
    <t>Total patients</t>
  </si>
  <si>
    <t>Mean Cell Volume Increased</t>
  </si>
  <si>
    <t>Endocrine</t>
  </si>
  <si>
    <t>Blood Potassium Decreased</t>
  </si>
  <si>
    <t>Metabolic</t>
  </si>
  <si>
    <t>Arthralgia</t>
  </si>
  <si>
    <t>Musculoskeletal</t>
  </si>
  <si>
    <t>Neutrophil Count Decreased</t>
  </si>
  <si>
    <t>Blood Glucose Increased</t>
  </si>
  <si>
    <t>Blood Albumin Increased</t>
  </si>
  <si>
    <t>Nervous</t>
  </si>
  <si>
    <t>Red Blood Cell Count Increased</t>
  </si>
  <si>
    <t>Renal</t>
  </si>
  <si>
    <t>Blood Chloride Decreased</t>
  </si>
  <si>
    <t>Respiratory</t>
  </si>
  <si>
    <t>Headache</t>
  </si>
  <si>
    <t>Blood Urea Increased</t>
  </si>
  <si>
    <t>Precocious Puberty</t>
  </si>
  <si>
    <t>Blood Thyroid Stimulating Hormone Incr</t>
  </si>
  <si>
    <t>Lymphocyte Count Increased</t>
  </si>
  <si>
    <t>Haemoglobin Increased</t>
  </si>
  <si>
    <t>Hyperprolactinaemia</t>
  </si>
  <si>
    <t>Haematocrit Increased</t>
  </si>
  <si>
    <t>Basophil Count Increased</t>
  </si>
  <si>
    <t>Snoring</t>
  </si>
  <si>
    <t>Pituitary Tumour Benign</t>
  </si>
  <si>
    <t>Product Use In Unapproved Indication</t>
  </si>
  <si>
    <t>Organ System: General</t>
  </si>
  <si>
    <t>Organ System: Hematopoietic</t>
  </si>
  <si>
    <t>Organ System: Metabolic</t>
  </si>
  <si>
    <t>Organ System: Musculoskeletal</t>
  </si>
  <si>
    <t>Organ System: Endocrine</t>
  </si>
  <si>
    <t>Organ System: Nervous</t>
  </si>
  <si>
    <t>Organ System: Renal</t>
  </si>
  <si>
    <t>Organ System: Respiratory</t>
  </si>
  <si>
    <t>Obsessive-Compulsive Symptom</t>
  </si>
  <si>
    <t>Off Label Use</t>
  </si>
  <si>
    <t>Rhabdomyolysis</t>
  </si>
  <si>
    <t>Drug Interaction</t>
  </si>
  <si>
    <t>Total people</t>
  </si>
  <si>
    <t>Stress Fracture</t>
  </si>
  <si>
    <t>Cardiovascular</t>
  </si>
  <si>
    <t>Product Administered To Patient Of Inappropriate Age</t>
  </si>
  <si>
    <t>Erectile Dysfunction</t>
  </si>
  <si>
    <t>Integumentary</t>
  </si>
  <si>
    <t>Paraesthesia</t>
  </si>
  <si>
    <t>Viral Infection</t>
  </si>
  <si>
    <t>Injection Site Pain</t>
  </si>
  <si>
    <t>Muscular Weakness</t>
  </si>
  <si>
    <t>Facial Paralysis</t>
  </si>
  <si>
    <t>Lack Of Injection Site Rotation</t>
  </si>
  <si>
    <t>Dyspnoea</t>
  </si>
  <si>
    <t>Neuritis</t>
  </si>
  <si>
    <t>Epiphysiolysis</t>
  </si>
  <si>
    <t>Gait Disturbance</t>
  </si>
  <si>
    <t>Decreased Activity</t>
  </si>
  <si>
    <t>Raynaud's Phenomenon</t>
  </si>
  <si>
    <t>Hot Flush</t>
  </si>
  <si>
    <t>Cyanosis</t>
  </si>
  <si>
    <t>Autonomic Nervous System Imbalance</t>
  </si>
  <si>
    <t>Rash Pruritic</t>
  </si>
  <si>
    <t>Urticaria</t>
  </si>
  <si>
    <t>Ventricular Hypertrophy</t>
  </si>
  <si>
    <t>Hypertension</t>
  </si>
  <si>
    <t>Myocardial Necrosis Marker Increased</t>
  </si>
  <si>
    <t>Troponin Increased</t>
  </si>
  <si>
    <t>Pain In Extremity</t>
  </si>
  <si>
    <t>Myocardial Infarction</t>
  </si>
  <si>
    <t>Arteriospasm Coronary</t>
  </si>
  <si>
    <t>Blood Creatine Phosphokinase Mb Increased</t>
  </si>
  <si>
    <t>Cardiac Failure</t>
  </si>
  <si>
    <t>Anticonvulsant Drug Level Above Therapeutic</t>
  </si>
  <si>
    <t>Cerebrovascular Accident</t>
  </si>
  <si>
    <t>Artery Dissection</t>
  </si>
  <si>
    <t>Depression</t>
  </si>
  <si>
    <t>Organ System: Cardiovascular</t>
  </si>
  <si>
    <t>Organ System: Integumentary</t>
  </si>
  <si>
    <t>Vomiting</t>
  </si>
  <si>
    <t>Digestive</t>
  </si>
  <si>
    <t>Abdominal Distension</t>
  </si>
  <si>
    <t>Ascites</t>
  </si>
  <si>
    <t>Ovarian Hyperstimulation Syndrome</t>
  </si>
  <si>
    <t>Abdominal Pain</t>
  </si>
  <si>
    <t>Nausea</t>
  </si>
  <si>
    <t>Acute Promyelocytic Leukaemia</t>
  </si>
  <si>
    <t>Myelosuppression</t>
  </si>
  <si>
    <t>Drug Ineffective</t>
  </si>
  <si>
    <t>Migraine</t>
  </si>
  <si>
    <t>Organ System: Digestive</t>
  </si>
  <si>
    <t>Congenital Anomaly</t>
  </si>
  <si>
    <t>Syndactyly</t>
  </si>
  <si>
    <t>Maternal Exposure Before Pregnancy</t>
  </si>
  <si>
    <t>Cataract</t>
  </si>
  <si>
    <t>Ocular</t>
  </si>
  <si>
    <t>Dental Fistula</t>
  </si>
  <si>
    <t>Oral</t>
  </si>
  <si>
    <t>Spinal Pain</t>
  </si>
  <si>
    <t>Chills</t>
  </si>
  <si>
    <t>Immune</t>
  </si>
  <si>
    <t>Night Sweats</t>
  </si>
  <si>
    <t>Endocrine/Immune</t>
  </si>
  <si>
    <t>Nasopharyngitis</t>
  </si>
  <si>
    <t>Vision Blurred</t>
  </si>
  <si>
    <t>digestive</t>
  </si>
  <si>
    <t>Diarrhoea</t>
  </si>
  <si>
    <t>Gastrointestinal</t>
  </si>
  <si>
    <t>urinary</t>
  </si>
  <si>
    <t>Pruritus</t>
  </si>
  <si>
    <t>Hepatic</t>
  </si>
  <si>
    <t>nervous</t>
  </si>
  <si>
    <t>Alopecia</t>
  </si>
  <si>
    <t>Mental</t>
  </si>
  <si>
    <t>Dizziness</t>
  </si>
  <si>
    <t>Fatigue</t>
  </si>
  <si>
    <t>Pancreatic</t>
  </si>
  <si>
    <t>Dry Skin</t>
  </si>
  <si>
    <t>Suicidal Ideation</t>
  </si>
  <si>
    <t>Oral Mucosal Blistering</t>
  </si>
  <si>
    <t>Urinary</t>
  </si>
  <si>
    <t>Depressed Mood</t>
  </si>
  <si>
    <t>Increased Appetite</t>
  </si>
  <si>
    <t>Endocrine/Metabolic</t>
  </si>
  <si>
    <t>Muscular</t>
  </si>
  <si>
    <t>Myalgia</t>
  </si>
  <si>
    <t>Ovarian Cancer Recurrent</t>
  </si>
  <si>
    <t>Breast Tenderness</t>
  </si>
  <si>
    <t>Erythema</t>
  </si>
  <si>
    <t>Irritability</t>
  </si>
  <si>
    <t>Weight Decreased</t>
  </si>
  <si>
    <t>Influenza Like Illness</t>
  </si>
  <si>
    <t>Feeling Hot</t>
  </si>
  <si>
    <t>Sleep Disorder</t>
  </si>
  <si>
    <t>Hypoaesthesia</t>
  </si>
  <si>
    <t>Carpal Tunnel Syndrome</t>
  </si>
  <si>
    <t>Decreased Appetite</t>
  </si>
  <si>
    <t>Gastrointestinal Disorder</t>
  </si>
  <si>
    <t>Bronchospasm</t>
  </si>
  <si>
    <t>Back Pain</t>
  </si>
  <si>
    <t>Ocular Hyperaemia</t>
  </si>
  <si>
    <t>Injection Site Inflammation</t>
  </si>
  <si>
    <t>Muscle Twitching</t>
  </si>
  <si>
    <t>Abdominal Discomfort</t>
  </si>
  <si>
    <t>Rash</t>
  </si>
  <si>
    <t>Oedema Peripheral</t>
  </si>
  <si>
    <t>Circulatory</t>
  </si>
  <si>
    <t>Chest Pain</t>
  </si>
  <si>
    <t>Nervousness</t>
  </si>
  <si>
    <t>Asthenia</t>
  </si>
  <si>
    <t>Peripheral Swelling</t>
  </si>
  <si>
    <t>Tremor</t>
  </si>
  <si>
    <t>Joint Swelling</t>
  </si>
  <si>
    <t>Coordination Abnormal</t>
  </si>
  <si>
    <t>Sensory Disturbance</t>
  </si>
  <si>
    <t>Chromaturia</t>
  </si>
  <si>
    <t>Skin Reaction</t>
  </si>
  <si>
    <t>Bone Pain</t>
  </si>
  <si>
    <t>Cough</t>
  </si>
  <si>
    <t>General Physical Health Deterioration</t>
  </si>
  <si>
    <t>Anxiety</t>
  </si>
  <si>
    <t>Feeling Abnormal</t>
  </si>
  <si>
    <t>Oropharyngeal Pain</t>
  </si>
  <si>
    <t>Somnolence</t>
  </si>
  <si>
    <t>Respiratory Rate Decreased</t>
  </si>
  <si>
    <t>Nerve Injury</t>
  </si>
  <si>
    <t>Lacrimation Increased</t>
  </si>
  <si>
    <t>Eye Irritation</t>
  </si>
  <si>
    <t>Rhinorrhoea</t>
  </si>
  <si>
    <t>Feeling Cold</t>
  </si>
  <si>
    <t>Photophobia</t>
  </si>
  <si>
    <t>Pollakiuria</t>
  </si>
  <si>
    <t>Chest Discomfort</t>
  </si>
  <si>
    <t>Dyspepsia</t>
  </si>
  <si>
    <t>Vertigo</t>
  </si>
  <si>
    <t>Skin Exfoliation</t>
  </si>
  <si>
    <t>Hypersensitivity</t>
  </si>
  <si>
    <t>Muscle Tightness</t>
  </si>
  <si>
    <t>Mucosal Dryness</t>
  </si>
  <si>
    <t>Hyperaesthesia</t>
  </si>
  <si>
    <t>Abdominal Pain Upper</t>
  </si>
  <si>
    <t>Affective Disorder</t>
  </si>
  <si>
    <t>Constipation</t>
  </si>
  <si>
    <t>Malaise</t>
  </si>
  <si>
    <t>Thirst</t>
  </si>
  <si>
    <t>Balance Disorder</t>
  </si>
  <si>
    <t>Taste Disorder</t>
  </si>
  <si>
    <t>Sedation</t>
  </si>
  <si>
    <t>Conjunctivitis</t>
  </si>
  <si>
    <t>Hyperhidrosis</t>
  </si>
  <si>
    <t>Endocrine/Integumentary</t>
  </si>
  <si>
    <t>Muscle Spasms</t>
  </si>
  <si>
    <t>Lymphadenopathy</t>
  </si>
  <si>
    <t>Movement Disorder</t>
  </si>
  <si>
    <t>Pain</t>
  </si>
  <si>
    <t>General/Musculoskeletal/Nervous</t>
  </si>
  <si>
    <t>Dry Eye</t>
  </si>
  <si>
    <t>Dry Mouth</t>
  </si>
  <si>
    <t>Febrile Neutropenia</t>
  </si>
  <si>
    <t>Hematopoietic/Immune</t>
  </si>
  <si>
    <t>Platelet Count Decreased</t>
  </si>
  <si>
    <t>White Blood Cell Count Decreased</t>
  </si>
  <si>
    <t>Epilepsy</t>
  </si>
  <si>
    <t>Urine Analysis Abnormal</t>
  </si>
  <si>
    <t>Pharyngitis</t>
  </si>
  <si>
    <t>Respiratory Tract Infection</t>
  </si>
  <si>
    <t>Diabetes Insipidus</t>
  </si>
  <si>
    <t>Vulvovaginal Dryness</t>
  </si>
  <si>
    <t>Hair Growth Abnormal</t>
  </si>
  <si>
    <t>Drug-Induced Liver Injury</t>
  </si>
  <si>
    <t>Decreased Immune Responsiveness</t>
  </si>
  <si>
    <t>Pain of Skin</t>
  </si>
  <si>
    <t>Tachycardia</t>
  </si>
  <si>
    <t>Insomnia</t>
  </si>
  <si>
    <t>Transaminases Increased</t>
  </si>
  <si>
    <t>Neutropenia</t>
  </si>
  <si>
    <t>Liver Injury</t>
  </si>
  <si>
    <t>Maternal Exposure During Pregnancy</t>
  </si>
  <si>
    <t>Pelvic Inflammatory Disease</t>
  </si>
  <si>
    <t>Femoral Neck Fracture</t>
  </si>
  <si>
    <t>Palpitations</t>
  </si>
  <si>
    <t>Personality Change</t>
  </si>
  <si>
    <t>Dysmenorrhea</t>
  </si>
  <si>
    <t>Tinnitus</t>
  </si>
  <si>
    <t>Breast Injury</t>
  </si>
  <si>
    <t>Intermenstrual Bleeding</t>
  </si>
  <si>
    <t>Subdiaphragmatic Abscess</t>
  </si>
  <si>
    <t>Hypokalemia</t>
  </si>
  <si>
    <t>Acute Myeloid Leukemia</t>
  </si>
  <si>
    <t>Dilated Cardiomyopathy</t>
  </si>
  <si>
    <t>Oliguria</t>
  </si>
  <si>
    <t>Neutrophil Count Increased</t>
  </si>
  <si>
    <t>Hepatitis Failure</t>
  </si>
  <si>
    <t>Metastases To Liver</t>
  </si>
  <si>
    <t>Hepatitis Acute</t>
  </si>
  <si>
    <t>Acute Kidney Injury</t>
  </si>
  <si>
    <t>Portal Hypertension</t>
  </si>
  <si>
    <t>Hepatocellular Injury</t>
  </si>
  <si>
    <t>Hepatitis Fulminant</t>
  </si>
  <si>
    <t>Hepatomegaly</t>
  </si>
  <si>
    <t>Blood Phosphorus Increased</t>
  </si>
  <si>
    <t>White Blood Cell Count Increased</t>
  </si>
  <si>
    <t>Cataract Operation</t>
  </si>
  <si>
    <t>Tachypnoea</t>
  </si>
  <si>
    <t>Metastases To Bone</t>
  </si>
  <si>
    <t>Therapy Partial Responder</t>
  </si>
  <si>
    <t>General Physical Condition Abnormal</t>
  </si>
  <si>
    <t>Premature Menopause</t>
  </si>
  <si>
    <t>Injury</t>
  </si>
  <si>
    <t>Hypokinesia</t>
  </si>
  <si>
    <t>Sensitive Skin</t>
  </si>
  <si>
    <t>Metastasis</t>
  </si>
  <si>
    <t>Intra-Abdominal Fluid Collection</t>
  </si>
  <si>
    <t>Cholelithiasis</t>
  </si>
  <si>
    <t>Biliary</t>
  </si>
  <si>
    <t>Haematotoxicity</t>
  </si>
  <si>
    <t>Infection</t>
  </si>
  <si>
    <t>Suicide Attempt</t>
  </si>
  <si>
    <t>Dysmenorrhoea</t>
  </si>
  <si>
    <t>Viiith Nerve Injury</t>
  </si>
  <si>
    <t>Deafness Permanent</t>
  </si>
  <si>
    <t>Hepatic Cytolysis</t>
  </si>
  <si>
    <t>Jaundice</t>
  </si>
  <si>
    <t>Gastric Fistula</t>
  </si>
  <si>
    <t>Hypokalaemia</t>
  </si>
  <si>
    <t>Acute Myeloid Leukaemia</t>
  </si>
  <si>
    <t>Generalised Oedema</t>
  </si>
  <si>
    <t>Hepatic Failure</t>
  </si>
  <si>
    <t>C-Reactive Protein Increased</t>
  </si>
  <si>
    <t>Cell Death</t>
  </si>
  <si>
    <t>Haemolytic Anaemia</t>
  </si>
  <si>
    <t>Post Procedural Infection</t>
  </si>
  <si>
    <t>Blood Potassium Increased</t>
  </si>
  <si>
    <t>Lipase Increased</t>
  </si>
  <si>
    <t>Blood Bicarbonate Decreased</t>
  </si>
  <si>
    <t>Blood Calcium Decreased</t>
  </si>
  <si>
    <t>Neoplasm Progression</t>
  </si>
  <si>
    <t>Blood Sodium Decreased</t>
  </si>
  <si>
    <t>Hepatitis E</t>
  </si>
  <si>
    <t>Cardiac Tamponade</t>
  </si>
  <si>
    <t>Caesarean Section</t>
  </si>
  <si>
    <t>Exposure During Pregnancy</t>
  </si>
  <si>
    <t>Foetal Distress Syndrome</t>
  </si>
  <si>
    <t>Lung Opacity</t>
  </si>
  <si>
    <t>Interstitial Lung Disease</t>
  </si>
  <si>
    <t>Pericardial Effusion</t>
  </si>
  <si>
    <t>Intestinal Obstruction</t>
  </si>
  <si>
    <t>Neuropathy Peripheral</t>
  </si>
  <si>
    <t>Burning Sensation</t>
  </si>
  <si>
    <t>Hypocalcaemia</t>
  </si>
  <si>
    <t>Hepatic Neoplasm</t>
  </si>
  <si>
    <t>Pulmonary Mass</t>
  </si>
  <si>
    <t>Benign Bone Neoplasm</t>
  </si>
  <si>
    <t>Nodule</t>
  </si>
  <si>
    <t>Blood Test Abnormal</t>
  </si>
  <si>
    <t>Toothache</t>
  </si>
  <si>
    <t>Hyperbilirubinaemia</t>
  </si>
  <si>
    <t>Neoplasm Recurrence</t>
  </si>
  <si>
    <t>Wound</t>
  </si>
  <si>
    <t>Procedural Pain</t>
  </si>
  <si>
    <t>Pseudomonas Test Positive</t>
  </si>
  <si>
    <t>Infectious</t>
  </si>
  <si>
    <t>Post Procedural Haemorrhage</t>
  </si>
  <si>
    <t>Covid-19</t>
  </si>
  <si>
    <t>Impaired Healing</t>
  </si>
  <si>
    <t>Skin Mass</t>
  </si>
  <si>
    <t>Lung Disorder</t>
  </si>
  <si>
    <t>Acute Coronary Syndrome</t>
  </si>
  <si>
    <t>Ovarian Rupture</t>
  </si>
  <si>
    <t>Haemoperitoneum</t>
  </si>
  <si>
    <t>Leukopenia</t>
  </si>
  <si>
    <t>Ovarian Haemorrhage</t>
  </si>
  <si>
    <t>Electrocardiogram Qt Prolonged</t>
  </si>
  <si>
    <t>Arrhythmia</t>
  </si>
  <si>
    <t>Hypertriglyceridaemia</t>
  </si>
  <si>
    <t>Hypercholesterolaemia</t>
  </si>
  <si>
    <t>Hydronephrosis</t>
  </si>
  <si>
    <t>Terminal State</t>
  </si>
  <si>
    <t>Death</t>
  </si>
  <si>
    <t>Acne</t>
  </si>
  <si>
    <t>Breast Cyst</t>
  </si>
  <si>
    <t>Tracheo-Oesophageal Fistula</t>
  </si>
  <si>
    <t>Oesophageal Atresia</t>
  </si>
  <si>
    <t>Abnormal Behaviour</t>
  </si>
  <si>
    <t>Thrombocytopenia</t>
  </si>
  <si>
    <t>Adverse Drug Reaction</t>
  </si>
  <si>
    <t>Cerebral Infarction</t>
  </si>
  <si>
    <t>Cerebral Artery Occlusion</t>
  </si>
  <si>
    <t>Moyamoya Disease</t>
  </si>
  <si>
    <t>Metastases To Neck</t>
  </si>
  <si>
    <t>Musculoskeletal Stiffness</t>
  </si>
  <si>
    <t>Ear Congestion</t>
  </si>
  <si>
    <t>Cyst</t>
  </si>
  <si>
    <t>Mastitis</t>
  </si>
  <si>
    <t>Metastases To Spine</t>
  </si>
  <si>
    <t>Paralysis</t>
  </si>
  <si>
    <t>Neck Pain</t>
  </si>
  <si>
    <t>Product Dose Omission Issue</t>
  </si>
  <si>
    <t>Hepatitis Cholestatic</t>
  </si>
  <si>
    <t>Oesophagitis</t>
  </si>
  <si>
    <t>Metastases To Lung</t>
  </si>
  <si>
    <t>Metastases To Pelvis</t>
  </si>
  <si>
    <t>Tumour Marker Increased</t>
  </si>
  <si>
    <t>Blepharospasm</t>
  </si>
  <si>
    <t>Colitis</t>
  </si>
  <si>
    <t>Eczema</t>
  </si>
  <si>
    <t>Herpes Zoster Disseminated</t>
  </si>
  <si>
    <t>Staphylococcal Skin Infection</t>
  </si>
  <si>
    <t>Blister</t>
  </si>
  <si>
    <t>Cellulitis</t>
  </si>
  <si>
    <t>Herpes Zoster</t>
  </si>
  <si>
    <t>Rash Vesicular</t>
  </si>
  <si>
    <t>Heart Rate Increased</t>
  </si>
  <si>
    <t>Pleural Effusion</t>
  </si>
  <si>
    <t>Haemorrhagic Disorder</t>
  </si>
  <si>
    <t>Amenorrhoea</t>
  </si>
  <si>
    <t>Immunosuppression</t>
  </si>
  <si>
    <t>Typical Aura Without Headache</t>
  </si>
  <si>
    <t>Upper Respiratory Tract Infection</t>
  </si>
  <si>
    <t>Coronary Artery Disease</t>
  </si>
  <si>
    <t>Large Intestinal Ulcer</t>
  </si>
  <si>
    <t>Restlessness</t>
  </si>
  <si>
    <t>Tumour Pain</t>
  </si>
  <si>
    <t>Pancytopenia</t>
  </si>
  <si>
    <t>Tricuspid Valve Incompetence</t>
  </si>
  <si>
    <t>Hypoxia</t>
  </si>
  <si>
    <t>Pulmonary Hypertension</t>
  </si>
  <si>
    <t>Pulmonary Embolism</t>
  </si>
  <si>
    <t>Diastolic Dysfunction</t>
  </si>
  <si>
    <t>Bronchial Disorder</t>
  </si>
  <si>
    <t>Sinus Tachycardia</t>
  </si>
  <si>
    <t>Macrophages Increased</t>
  </si>
  <si>
    <t>Oedema</t>
  </si>
  <si>
    <t>Urine Odour Abnormal</t>
  </si>
  <si>
    <t>Abortion Spontaneous</t>
  </si>
  <si>
    <t>Blood Bilirubin Increased</t>
  </si>
  <si>
    <t>Swelling</t>
  </si>
  <si>
    <t>Fluid Retention</t>
  </si>
  <si>
    <t>Productive Cough</t>
  </si>
  <si>
    <t>Haemoptysis</t>
  </si>
  <si>
    <t>Large Intestinal Obstruction</t>
  </si>
  <si>
    <t>Breast Mass</t>
  </si>
  <si>
    <t>Rib Fracture</t>
  </si>
  <si>
    <t>Exposure To Radiation</t>
  </si>
  <si>
    <t>Bronchial Wall Thickening</t>
  </si>
  <si>
    <t>Sinus Congestion</t>
  </si>
  <si>
    <t>Obesity</t>
  </si>
  <si>
    <t>Sepsis</t>
  </si>
  <si>
    <t>Arterial Injury</t>
  </si>
  <si>
    <t>Vascular</t>
  </si>
  <si>
    <t>Deep Vein Thrombosis</t>
  </si>
  <si>
    <t>Lymphangiosis Carcinomatosa</t>
  </si>
  <si>
    <t>Lymphatic</t>
  </si>
  <si>
    <t>Platelet Count Abnormal</t>
  </si>
  <si>
    <t>Electrocardiogram Abnormal</t>
  </si>
  <si>
    <t>Joint Stiffness</t>
  </si>
  <si>
    <t>Toxicity To Various Agents</t>
  </si>
  <si>
    <t>Wound Complication</t>
  </si>
  <si>
    <t>Foetal Death</t>
  </si>
  <si>
    <t>Abortion Induced</t>
  </si>
  <si>
    <t>Osteochondrodysplasia</t>
  </si>
  <si>
    <t>Maternal Drugs Affecting Foetus</t>
  </si>
  <si>
    <t>Haemorrhoidal Haemorrhage</t>
  </si>
  <si>
    <t>Oesophageal Ulcer</t>
  </si>
  <si>
    <t>Stomatitis</t>
  </si>
  <si>
    <t>Breast Cancer Metastatic</t>
  </si>
  <si>
    <t>Furuncle</t>
  </si>
  <si>
    <t>Hyperglycaemia</t>
  </si>
  <si>
    <t>Breast Pain</t>
  </si>
  <si>
    <t>Staphylococcal Bacteraemia</t>
  </si>
  <si>
    <t>Brain Fog</t>
  </si>
  <si>
    <t>Exposure Via Partner</t>
  </si>
  <si>
    <t>Cognitive Disorder</t>
  </si>
  <si>
    <t>Mass</t>
  </si>
  <si>
    <t>Discomfort</t>
  </si>
  <si>
    <t>Musculoskeletal Chest Pain</t>
  </si>
  <si>
    <t>Left Ventricular Dysfunction</t>
  </si>
  <si>
    <t>Feeding Disorder</t>
  </si>
  <si>
    <t>Overdose</t>
  </si>
  <si>
    <t>Contraindicated Product Administered</t>
  </si>
  <si>
    <t>Haemorrhage</t>
  </si>
  <si>
    <t>Infertility Female</t>
  </si>
  <si>
    <t>Full Blood Count Decreased</t>
  </si>
  <si>
    <t>Hyperfibrinolysis</t>
  </si>
  <si>
    <t>Throat Tightness</t>
  </si>
  <si>
    <t>Swelling Face</t>
  </si>
  <si>
    <t>Scar</t>
  </si>
  <si>
    <t>Spinal Osteoarthritis</t>
  </si>
  <si>
    <t>Pleural Fibrosis</t>
  </si>
  <si>
    <t>Osteoarthritis</t>
  </si>
  <si>
    <t>Soft Tissue Mass</t>
  </si>
  <si>
    <t>Bone Lesion</t>
  </si>
  <si>
    <t>Breast Cancer Recurrent</t>
  </si>
  <si>
    <t>Gallbladder Enlargement</t>
  </si>
  <si>
    <t>Abdominal Tenderness</t>
  </si>
  <si>
    <t>Fractured Coccyx</t>
  </si>
  <si>
    <t>Lumbar Vertebral Fracture</t>
  </si>
  <si>
    <t>Fall</t>
  </si>
  <si>
    <t>Haematoma</t>
  </si>
  <si>
    <t>Radiculopathy</t>
  </si>
  <si>
    <t>Thrombosis</t>
  </si>
  <si>
    <t>Blindness</t>
  </si>
  <si>
    <t>Eye Disorder</t>
  </si>
  <si>
    <t>Osteoporosis</t>
  </si>
  <si>
    <t>Daydreaming</t>
  </si>
  <si>
    <t>Cardiac Disorder</t>
  </si>
  <si>
    <t>Gout</t>
  </si>
  <si>
    <t>Teratogenicity</t>
  </si>
  <si>
    <t>Pregnancy</t>
  </si>
  <si>
    <t>Drug Exposure Before Pregnancy</t>
  </si>
  <si>
    <t>Maternal Exposure Timing Unspecified</t>
  </si>
  <si>
    <t>Quality Of Life Decreased</t>
  </si>
  <si>
    <t>Fear</t>
  </si>
  <si>
    <t>Tooth Abscess</t>
  </si>
  <si>
    <t>Breath Odour</t>
  </si>
  <si>
    <t>Fungal Infection</t>
  </si>
  <si>
    <t>Osteonecrosis Of Jaw</t>
  </si>
  <si>
    <t>Wound Secretion</t>
  </si>
  <si>
    <t>Intervertebral Disc Protrusion</t>
  </si>
  <si>
    <t>Mucosal Inflammation</t>
  </si>
  <si>
    <t>Hepatic Steatosis</t>
  </si>
  <si>
    <t>Abscess</t>
  </si>
  <si>
    <t>Intervertebral Disc Degeneration</t>
  </si>
  <si>
    <t>Hepatic Cyst</t>
  </si>
  <si>
    <t>Immune System Disorder</t>
  </si>
  <si>
    <t>Gingival Discomfort</t>
  </si>
  <si>
    <t>Hip Fracture</t>
  </si>
  <si>
    <t>Lichen Planus</t>
  </si>
  <si>
    <t>Aspartate Aminotransferase Increased</t>
  </si>
  <si>
    <t>Metastases To Central Nervous System</t>
  </si>
  <si>
    <t>Pathological Fracture</t>
  </si>
  <si>
    <t>Bone Erosion</t>
  </si>
  <si>
    <t>Oral Pain</t>
  </si>
  <si>
    <t>Gingival Disorder</t>
  </si>
  <si>
    <t>Bone Disorder</t>
  </si>
  <si>
    <t>Metastases To Lymph Nodes</t>
  </si>
  <si>
    <t>Nephrolithiasis</t>
  </si>
  <si>
    <t>Neoplasm</t>
  </si>
  <si>
    <t>Chondrosarcoma</t>
  </si>
  <si>
    <t>Uterine Polyp</t>
  </si>
  <si>
    <t>Visual Impairment</t>
  </si>
  <si>
    <t>Peristalsis Visible</t>
  </si>
  <si>
    <t>Ocular Icterus</t>
  </si>
  <si>
    <t>Neoplasm Malignant</t>
  </si>
  <si>
    <t>Hepatic Cancer</t>
  </si>
  <si>
    <t>Product Administration Error</t>
  </si>
  <si>
    <t>Renal Disorder</t>
  </si>
  <si>
    <t>Hypotension</t>
  </si>
  <si>
    <t>Concomitant Disease Progression</t>
  </si>
  <si>
    <t>Cholecystectomy</t>
  </si>
  <si>
    <t>Product Residue Present</t>
  </si>
  <si>
    <t>Clostridium Difficile Colitis</t>
  </si>
  <si>
    <t>Colectomy Total</t>
  </si>
  <si>
    <t>Ileostomy</t>
  </si>
  <si>
    <t>Premature Labour</t>
  </si>
  <si>
    <t>Multiple Pregnancy</t>
  </si>
  <si>
    <t>Uterine Dilation And Curettage</t>
  </si>
  <si>
    <t>Normal Newborn</t>
  </si>
  <si>
    <t>Breech Presentation</t>
  </si>
  <si>
    <t>Amniotic Fluid Volume Decreased</t>
  </si>
  <si>
    <t>Twin Pregnancy</t>
  </si>
  <si>
    <t>Foetal Heart Rate Abnormal</t>
  </si>
  <si>
    <t>Complication Of Pregnancy</t>
  </si>
  <si>
    <t>Arnold-Chiari Malformation</t>
  </si>
  <si>
    <t>Spina Bifida</t>
  </si>
  <si>
    <t>Neural Tube Defect</t>
  </si>
  <si>
    <t>Ectopic Pregnancy</t>
  </si>
  <si>
    <t>Nervous System Disorder</t>
  </si>
  <si>
    <t>Demyelination</t>
  </si>
  <si>
    <t>Ophthalmoplegia</t>
  </si>
  <si>
    <t>Organ System: Ocular</t>
  </si>
  <si>
    <t>Organ System: Oral</t>
  </si>
  <si>
    <t>Organ System: Immune</t>
  </si>
  <si>
    <t>Organ System: Endocrine/Immune</t>
  </si>
  <si>
    <t>Organ System: Gastrointestinal</t>
  </si>
  <si>
    <t>Organ System: Mental</t>
  </si>
  <si>
    <t>Organ System: Endocrine/Metabolic</t>
  </si>
  <si>
    <t>Organ System: Muscular</t>
  </si>
  <si>
    <t>Organ System: Circulatory</t>
  </si>
  <si>
    <t>Organ System: Urinary</t>
  </si>
  <si>
    <t>Organ System: Endocrine/Integumentary</t>
  </si>
  <si>
    <t>Organ System: General/Musculoskeletal/Nervous</t>
  </si>
  <si>
    <t>Organ System: Hematopoietic/Immune</t>
  </si>
  <si>
    <t>Organ System: Hepatic</t>
  </si>
  <si>
    <t>Organ System: Biliary</t>
  </si>
  <si>
    <t>Organ System: Pancreatic</t>
  </si>
  <si>
    <t>Organ System: Infectious</t>
  </si>
  <si>
    <t>Organ System: Vascular</t>
  </si>
  <si>
    <t>Organ System: Lymphatic</t>
  </si>
  <si>
    <t>Blood Thyroid Stimulating Hormone Decreased</t>
  </si>
  <si>
    <t>Mitral Valve Incompetence</t>
  </si>
  <si>
    <t>Staphylococcus Test Positive</t>
  </si>
  <si>
    <t>Normalized value</t>
  </si>
  <si>
    <t>Aortic Valve Incompetence</t>
  </si>
  <si>
    <t>Hepatic Mass</t>
  </si>
  <si>
    <t>Blood Luteinising Hormone Decreased</t>
  </si>
  <si>
    <t>Blood Follicle Stimulating Hormone Decreased</t>
  </si>
  <si>
    <t>Pyrexia</t>
  </si>
  <si>
    <t>Cholangitis</t>
  </si>
  <si>
    <t>Presyncope</t>
  </si>
  <si>
    <t>Hepatic Enzyme Increased</t>
  </si>
  <si>
    <t>Abdominal Pain Lower</t>
  </si>
  <si>
    <t>Hepatobiliary</t>
  </si>
  <si>
    <t>Peritoneal</t>
  </si>
  <si>
    <t>Erysipelas</t>
  </si>
  <si>
    <t>Superficial Vein Thrombosis</t>
  </si>
  <si>
    <t>Restless Legs Syndrome</t>
  </si>
  <si>
    <t>Febrile Infection</t>
  </si>
  <si>
    <t>Pneumonia</t>
  </si>
  <si>
    <t>Inflammatory</t>
  </si>
  <si>
    <t>Calcium Deficiency</t>
  </si>
  <si>
    <t>Weight Increased</t>
  </si>
  <si>
    <t>Anaemia</t>
  </si>
  <si>
    <t>Product Substitution Issue</t>
  </si>
  <si>
    <t>Full Blood Count Abnormal</t>
  </si>
  <si>
    <t>Product Use Issue</t>
  </si>
  <si>
    <t>Mood Swings</t>
  </si>
  <si>
    <t>Immunodeficiency</t>
  </si>
  <si>
    <t>Pneumonitis</t>
  </si>
  <si>
    <t>Visual Field Defect</t>
  </si>
  <si>
    <t>Neurotoxicity</t>
  </si>
  <si>
    <t>Graves' Disease</t>
  </si>
  <si>
    <t>Hepatotoxicity</t>
  </si>
  <si>
    <t>Alanine Aminotransferase Increased</t>
  </si>
  <si>
    <t>Macrocytosis</t>
  </si>
  <si>
    <t>Malignant Neoplasm Progression</t>
  </si>
  <si>
    <t>Pik3ca-Activated Mutation</t>
  </si>
  <si>
    <t>Genetic</t>
  </si>
  <si>
    <t>Anisocytosis</t>
  </si>
  <si>
    <t>Invasive Ductal Breast Carcinoma</t>
  </si>
  <si>
    <t>Monocyte Count Increased</t>
  </si>
  <si>
    <t>Red Cell Distribution Width Increased</t>
  </si>
  <si>
    <t>Haematocrit Decreased</t>
  </si>
  <si>
    <t>Bilirubin Conjugated Increased</t>
  </si>
  <si>
    <t>Lymphocyte Morphology Abnormal</t>
  </si>
  <si>
    <t>Haemoglobin Decreased</t>
  </si>
  <si>
    <t>Red Blood Cell Count Decreased</t>
  </si>
  <si>
    <t>Globulins Decreased</t>
  </si>
  <si>
    <t>Mean Cell Haemoglobin Increased</t>
  </si>
  <si>
    <t>Post Herpetic Neuralgia</t>
  </si>
  <si>
    <t>Renal Vascular Thrombosis</t>
  </si>
  <si>
    <t>Heart Failure With Reduced Ejection Fraction</t>
  </si>
  <si>
    <t>Sudden Hearing Loss</t>
  </si>
  <si>
    <t>Vena Cava Thrombosis</t>
  </si>
  <si>
    <t>Vulvovaginal Inflammation</t>
  </si>
  <si>
    <t>Inappropriate Schedule Of Product Administration</t>
  </si>
  <si>
    <t>Aphasia</t>
  </si>
  <si>
    <t>Confusional State</t>
  </si>
  <si>
    <t>Atelectasis</t>
  </si>
  <si>
    <t>Inflammation</t>
  </si>
  <si>
    <t>Lymphadenitis</t>
  </si>
  <si>
    <t>Agranulocytosis</t>
  </si>
  <si>
    <t>Radiation Pneumonitis</t>
  </si>
  <si>
    <t>Embolism Venous</t>
  </si>
  <si>
    <t>Cholecystitis Acute</t>
  </si>
  <si>
    <t>Oxygen Saturation Decreased</t>
  </si>
  <si>
    <t>Leukocytosis</t>
  </si>
  <si>
    <t>Respiratory Failure</t>
  </si>
  <si>
    <t>Aspergillus Infection</t>
  </si>
  <si>
    <t>Electrolyte Imbalance</t>
  </si>
  <si>
    <t>Loss Of Consciousness</t>
  </si>
  <si>
    <t>Traumatic Fracture</t>
  </si>
  <si>
    <t>Soft Tissue Swelling</t>
  </si>
  <si>
    <t>Toxic Skin Eruption</t>
  </si>
  <si>
    <t>Pneumonia Bacterial</t>
  </si>
  <si>
    <t>Left Atrial Volume Abnormal</t>
  </si>
  <si>
    <t>Breast Cancer</t>
  </si>
  <si>
    <t>Atrioventricular Block First Degree</t>
  </si>
  <si>
    <t>Pleural Thickening</t>
  </si>
  <si>
    <t>Gamma-Glutamyltransferase Increased</t>
  </si>
  <si>
    <t>Blood Creatinine Increased</t>
  </si>
  <si>
    <t>Capripox Viral Infection</t>
  </si>
  <si>
    <t>Electrocardiogram St-T Segment Abnormal</t>
  </si>
  <si>
    <t>Cystic Lung Disease</t>
  </si>
  <si>
    <t>Hyperuricaemia</t>
  </si>
  <si>
    <t>Metabolic Alkalosis</t>
  </si>
  <si>
    <t>Libido Decreased</t>
  </si>
  <si>
    <t>Selenium Deficiency</t>
  </si>
  <si>
    <t>Vitamin B Complex Deficiency</t>
  </si>
  <si>
    <t>Coronavirus Infection</t>
  </si>
  <si>
    <t>Disturbance In Attention</t>
  </si>
  <si>
    <t>Dysuria</t>
  </si>
  <si>
    <t>Rash Pustular</t>
  </si>
  <si>
    <t>Lenticular Opacities</t>
  </si>
  <si>
    <t>Conjunctival Hyperaemia</t>
  </si>
  <si>
    <t>Visual Acuity Reduced</t>
  </si>
  <si>
    <t>Corneal Oedema</t>
  </si>
  <si>
    <t>Thrombophlebitis</t>
  </si>
  <si>
    <t>Blood Pressure Diastolic Increased</t>
  </si>
  <si>
    <t>Stress</t>
  </si>
  <si>
    <t>Nocturnal Dyspnoea</t>
  </si>
  <si>
    <t>Pelvic Pain</t>
  </si>
  <si>
    <t>Intentional Product Misuse</t>
  </si>
  <si>
    <t>Dysgeusia</t>
  </si>
  <si>
    <t>Haemolytic Uraemic Syndrome</t>
  </si>
  <si>
    <t>Transient Ischaemic Attack</t>
  </si>
  <si>
    <t>Urosepsis</t>
  </si>
  <si>
    <t>Chronic Hepatitis B</t>
  </si>
  <si>
    <t>Blood Alkaline Phosphatase Increased</t>
  </si>
  <si>
    <t>Benign Lymph Node Neoplasm</t>
  </si>
  <si>
    <t>Pulse Absent</t>
  </si>
  <si>
    <t>Electrocardiogram T Wave Abnormal</t>
  </si>
  <si>
    <t>Respiratory Arrest</t>
  </si>
  <si>
    <t>Urinary Tract Infection</t>
  </si>
  <si>
    <t>Lymphoedema</t>
  </si>
  <si>
    <t>Hypermagnesaemia</t>
  </si>
  <si>
    <t>Blood Urine Present</t>
  </si>
  <si>
    <t>Cardiac Arrest</t>
  </si>
  <si>
    <t>Protein Urine Present</t>
  </si>
  <si>
    <t>Poor Quality Sleep</t>
  </si>
  <si>
    <t>Hypochloraemia</t>
  </si>
  <si>
    <t>Hypoproteinaemia</t>
  </si>
  <si>
    <t>Type V Hyperlipidaemia</t>
  </si>
  <si>
    <t>Coagulopathy</t>
  </si>
  <si>
    <t>Hyponatraemia</t>
  </si>
  <si>
    <t>Eye Pain</t>
  </si>
  <si>
    <t>Blood Iron Increased</t>
  </si>
  <si>
    <t>Epistaxis</t>
  </si>
  <si>
    <t>Colitis Ischaemic</t>
  </si>
  <si>
    <t>Neutropenic Sepsis</t>
  </si>
  <si>
    <t>Second Primary Malignancy</t>
  </si>
  <si>
    <t>Ischaemic Stroke</t>
  </si>
  <si>
    <t>Tenosynovitis Stenosans</t>
  </si>
  <si>
    <t>Deafness</t>
  </si>
  <si>
    <t>Steatohepatitis</t>
  </si>
  <si>
    <t>Hepatobiliary Disease</t>
  </si>
  <si>
    <t>Affect Lability</t>
  </si>
  <si>
    <t>Red Blood Cell Abnormality</t>
  </si>
  <si>
    <t>Ovarian Cyst</t>
  </si>
  <si>
    <t>Bronchitis</t>
  </si>
  <si>
    <t>Anxiety Disorder</t>
  </si>
  <si>
    <t>Meningioma</t>
  </si>
  <si>
    <t>Peritonitis</t>
  </si>
  <si>
    <t>Perforation</t>
  </si>
  <si>
    <t>Syncope</t>
  </si>
  <si>
    <t>Anaphylactic Reaction</t>
  </si>
  <si>
    <t>Allergic</t>
  </si>
  <si>
    <t>Lividity</t>
  </si>
  <si>
    <t>Post Procedural Complication</t>
  </si>
  <si>
    <t>Blood Calcium Increased</t>
  </si>
  <si>
    <t>Renal Impairment</t>
  </si>
  <si>
    <t>Dehydration</t>
  </si>
  <si>
    <t>Atrioventricular Block Second Degree</t>
  </si>
  <si>
    <t>Transaminases Abnormal</t>
  </si>
  <si>
    <t>Irritable Bowel Syndrome</t>
  </si>
  <si>
    <t>Gastritis</t>
  </si>
  <si>
    <t>Contusion</t>
  </si>
  <si>
    <t>Blood Pressure Fluctuation</t>
  </si>
  <si>
    <t>Eye Haemorrhage</t>
  </si>
  <si>
    <t>Injection Site Erythema</t>
  </si>
  <si>
    <t>Disease Progression</t>
  </si>
  <si>
    <t>Body Temperature Increased</t>
  </si>
  <si>
    <t>Mood Altered</t>
  </si>
  <si>
    <t>Seborrhoeic Dermatitis</t>
  </si>
  <si>
    <t>Blood Immunoglobulin E Increased</t>
  </si>
  <si>
    <t>Pancreatitis Acute</t>
  </si>
  <si>
    <t>Renal Cyst</t>
  </si>
  <si>
    <t>Hyperamylasaemia</t>
  </si>
  <si>
    <t>Flank Pain</t>
  </si>
  <si>
    <t>Crepitations</t>
  </si>
  <si>
    <t>Capsular Contracture Associated With Implant</t>
  </si>
  <si>
    <t>Wound Infection</t>
  </si>
  <si>
    <t>Wound Dehiscence</t>
  </si>
  <si>
    <t>Appendicitis</t>
  </si>
  <si>
    <t>Hormone Receptor Positive Her2 Negative Breast Cancer</t>
  </si>
  <si>
    <t>Muscle Atrophy</t>
  </si>
  <si>
    <t>Hepatic Lesion</t>
  </si>
  <si>
    <t>Mental Status Changes</t>
  </si>
  <si>
    <t>Hepatic Cirrhosis</t>
  </si>
  <si>
    <t>Osteosclerosis</t>
  </si>
  <si>
    <t>Treatment Failure</t>
  </si>
  <si>
    <t>Metastases To Peritoneum</t>
  </si>
  <si>
    <t>Lung Consolidation</t>
  </si>
  <si>
    <t>Laboratory Test Abnormal</t>
  </si>
  <si>
    <t>Blood Bilirubin Abnormal</t>
  </si>
  <si>
    <t>Hepatic Encephalopathy</t>
  </si>
  <si>
    <t>Discouragement</t>
  </si>
  <si>
    <t>Cardiac Failure Congestive</t>
  </si>
  <si>
    <t>Breast Cancer Stage Iv</t>
  </si>
  <si>
    <t>Speech Disorder</t>
  </si>
  <si>
    <t>Incorrect Route Of Product Administration</t>
  </si>
  <si>
    <t>Hypothyroidism</t>
  </si>
  <si>
    <t>Vitamin D Increased</t>
  </si>
  <si>
    <t>Iron Deficiency</t>
  </si>
  <si>
    <t>Polymerase Chain Reaction Positive</t>
  </si>
  <si>
    <t>Tumour Inflammation</t>
  </si>
  <si>
    <t>Bone Neoplasm</t>
  </si>
  <si>
    <t>Faeces Soft</t>
  </si>
  <si>
    <t>Madarosis</t>
  </si>
  <si>
    <t>Skin Burning Sensation</t>
  </si>
  <si>
    <t>Crying</t>
  </si>
  <si>
    <t>Breast Swelling</t>
  </si>
  <si>
    <t>Application Site Injury</t>
  </si>
  <si>
    <t>Sensory Loss</t>
  </si>
  <si>
    <t>Application Site Discolouration</t>
  </si>
  <si>
    <t>Therapy Non-Responder</t>
  </si>
  <si>
    <t>Blood Triglycerides Increased</t>
  </si>
  <si>
    <t>Anal Incontinence</t>
  </si>
  <si>
    <t>Blood Pressure Increased</t>
  </si>
  <si>
    <t>Ear Pain</t>
  </si>
  <si>
    <t>Application Site Oedema</t>
  </si>
  <si>
    <t>Blood Cholesterol Increased</t>
  </si>
  <si>
    <t>Hormone Level Abnormal</t>
  </si>
  <si>
    <t>Gene Mutation</t>
  </si>
  <si>
    <t>Vaginal Haemorrhage</t>
  </si>
  <si>
    <t>Menstrual Disorder</t>
  </si>
  <si>
    <t>Pyelonephritis</t>
  </si>
  <si>
    <t>Bone Swelling</t>
  </si>
  <si>
    <t>Diabetes Mellitus</t>
  </si>
  <si>
    <t>Haematochezia</t>
  </si>
  <si>
    <t>Pneumonia Viral</t>
  </si>
  <si>
    <t>Palmar-Plantar Erythrodysaesthesia Syndrome</t>
  </si>
  <si>
    <t>Emotional Disorder</t>
  </si>
  <si>
    <t>Photopsia</t>
  </si>
  <si>
    <t>Libido Disorder</t>
  </si>
  <si>
    <t>Bradykinesia</t>
  </si>
  <si>
    <t>Neutrophil Count Abnormal</t>
  </si>
  <si>
    <t>Metastases To Breast</t>
  </si>
  <si>
    <t>Burns Third Degree</t>
  </si>
  <si>
    <t>Synovial Cyst</t>
  </si>
  <si>
    <t>Supraventricular Tachycardia</t>
  </si>
  <si>
    <t>Gingivitis</t>
  </si>
  <si>
    <t>Gingival Bleeding</t>
  </si>
  <si>
    <t>Gastrooesophageal Reflux Disease</t>
  </si>
  <si>
    <t>Ureterolithiasis</t>
  </si>
  <si>
    <t>Electrocardiogram T Wave Inversion</t>
  </si>
  <si>
    <t>Memory Impairment</t>
  </si>
  <si>
    <t>Electrocardiogram Qt Interval Abnormal</t>
  </si>
  <si>
    <t>Dermal Cyst</t>
  </si>
  <si>
    <t>Ludwig Angina</t>
  </si>
  <si>
    <t>Type Iv Hypersensitivity Reaction</t>
  </si>
  <si>
    <t>Hypovitaminosis</t>
  </si>
  <si>
    <t>Periorbital Pain</t>
  </si>
  <si>
    <t>Device Related Infection</t>
  </si>
  <si>
    <t>Breast Discolouration</t>
  </si>
  <si>
    <t>Psychiatric Symptom</t>
  </si>
  <si>
    <t>Breast Disorder</t>
  </si>
  <si>
    <t>Impaired Work Ability</t>
  </si>
  <si>
    <t>Skin Plaque</t>
  </si>
  <si>
    <t>Poisoning</t>
  </si>
  <si>
    <t>Tooth Disorder</t>
  </si>
  <si>
    <t>Tongue Exfoliation</t>
  </si>
  <si>
    <t>Neuralgia</t>
  </si>
  <si>
    <t>Self Esteem Decreased</t>
  </si>
  <si>
    <t>Skin Lesion</t>
  </si>
  <si>
    <t>Skin Injury</t>
  </si>
  <si>
    <t>Aphthous Ulcer</t>
  </si>
  <si>
    <t>Drug Intolerance</t>
  </si>
  <si>
    <t>Dermatitis Acneiform</t>
  </si>
  <si>
    <t>Face Oedema</t>
  </si>
  <si>
    <t>Eating Disorder</t>
  </si>
  <si>
    <t>Vulvovaginal Discomfort</t>
  </si>
  <si>
    <t>Dyskinesia</t>
  </si>
  <si>
    <t>Periodic Limb Movement Disorder</t>
  </si>
  <si>
    <t>Formication</t>
  </si>
  <si>
    <t>Dysaesthesia</t>
  </si>
  <si>
    <t>Vertigo Positional</t>
  </si>
  <si>
    <t>Dysstasia</t>
  </si>
  <si>
    <t>Pulmonary Pain</t>
  </si>
  <si>
    <t>Illness</t>
  </si>
  <si>
    <t>Spondylitis</t>
  </si>
  <si>
    <t>Limb Discomfort</t>
  </si>
  <si>
    <t>Vaginal Cyst</t>
  </si>
  <si>
    <t>Hepatorenal Failure</t>
  </si>
  <si>
    <t>Acute Hepatic Failure</t>
  </si>
  <si>
    <t>Hypoglycaemia</t>
  </si>
  <si>
    <t>Rash Erythematous</t>
  </si>
  <si>
    <t>Soft Tissue Infection</t>
  </si>
  <si>
    <t>Streptococcal Infection</t>
  </si>
  <si>
    <t>Hypersomnia</t>
  </si>
  <si>
    <t>Application Site Inflammation</t>
  </si>
  <si>
    <t>Brain Neoplasm</t>
  </si>
  <si>
    <t>Spinal Fracture</t>
  </si>
  <si>
    <t>Urine Output Decreased</t>
  </si>
  <si>
    <t>Musculoskeletal Discomfort</t>
  </si>
  <si>
    <t>Tetany</t>
  </si>
  <si>
    <t>Purulent Discharge</t>
  </si>
  <si>
    <t>Blood Electrolytes Decreased</t>
  </si>
  <si>
    <t>Bone Fissure</t>
  </si>
  <si>
    <t>Agitation</t>
  </si>
  <si>
    <t>Micturition Urgency</t>
  </si>
  <si>
    <t>Fracture</t>
  </si>
  <si>
    <t>Shoulder Fracture</t>
  </si>
  <si>
    <t>Abdominal Injury</t>
  </si>
  <si>
    <t>Abdominal Mass</t>
  </si>
  <si>
    <t>Application Site Reaction</t>
  </si>
  <si>
    <t>Dysphonia</t>
  </si>
  <si>
    <t>Metastases To Meninges</t>
  </si>
  <si>
    <t>Optic Nerve Injury</t>
  </si>
  <si>
    <t>Candida Infection</t>
  </si>
  <si>
    <t>Anger</t>
  </si>
  <si>
    <t>Laryngeal Oedema</t>
  </si>
  <si>
    <t>Skin Toxicity</t>
  </si>
  <si>
    <t>Rash Macular</t>
  </si>
  <si>
    <t>Non-Cardiac Chest Pain</t>
  </si>
  <si>
    <t>Lymphocyte Count Decreased</t>
  </si>
  <si>
    <t>Focal Dyscognitive Seizures</t>
  </si>
  <si>
    <t>Brain Oedema</t>
  </si>
  <si>
    <t>Brain Neoplasm Malignant</t>
  </si>
  <si>
    <t>Central Nervous System Lesion</t>
  </si>
  <si>
    <t>Hypotonia</t>
  </si>
  <si>
    <t>Seizure</t>
  </si>
  <si>
    <t>Resorption Bone Increased</t>
  </si>
  <si>
    <t>Hypercalcaemia</t>
  </si>
  <si>
    <t>Food Allergy</t>
  </si>
  <si>
    <t>Withdrawal Syndrome</t>
  </si>
  <si>
    <t>Cerebral Venous Sinus Thrombosis</t>
  </si>
  <si>
    <t>Biliary Sepsis</t>
  </si>
  <si>
    <t>Faeces Discoloured</t>
  </si>
  <si>
    <t>Renal Injury</t>
  </si>
  <si>
    <t>Incontinence</t>
  </si>
  <si>
    <t>Hepatitis</t>
  </si>
  <si>
    <t>Pelvic Fluid Collection</t>
  </si>
  <si>
    <t>Liver Function Test Abnormal</t>
  </si>
  <si>
    <t>Hyperthyroidism</t>
  </si>
  <si>
    <t>Hepatic Function Abnormal</t>
  </si>
  <si>
    <t>Hypophosphataemia</t>
  </si>
  <si>
    <t>Hypomagnesaemia</t>
  </si>
  <si>
    <t>Influenza</t>
  </si>
  <si>
    <t>Deafness Unilateral</t>
  </si>
  <si>
    <t>Ear Discomfort</t>
  </si>
  <si>
    <t>Excessive Cerumen Production</t>
  </si>
  <si>
    <t>Diverticulitis</t>
  </si>
  <si>
    <t>Small Intestinal Obstruction</t>
  </si>
  <si>
    <t>Lung Neoplasm</t>
  </si>
  <si>
    <t>Macule</t>
  </si>
  <si>
    <t>Pain Of Skin</t>
  </si>
  <si>
    <t>Skin Hypertrophy</t>
  </si>
  <si>
    <t>Lip Dry</t>
  </si>
  <si>
    <t>Wound Haemorrhage</t>
  </si>
  <si>
    <t>Skin Disorder</t>
  </si>
  <si>
    <t>Autoimmune Colitis</t>
  </si>
  <si>
    <t>Female Genital Tract Fistula</t>
  </si>
  <si>
    <t>Encephalopathy</t>
  </si>
  <si>
    <t>Cystatin C Increased</t>
  </si>
  <si>
    <t>Blood Albumin Decreased</t>
  </si>
  <si>
    <t>Haemorrhagic Stroke</t>
  </si>
  <si>
    <t>Keratitis</t>
  </si>
  <si>
    <t>Blood Chloride Increased</t>
  </si>
  <si>
    <t>Protein Urine</t>
  </si>
  <si>
    <t>Tendonitis</t>
  </si>
  <si>
    <t>Pancreatitis</t>
  </si>
  <si>
    <t>Red Cell Distribution Width Decreased</t>
  </si>
  <si>
    <t>Procalcitonin Decreased</t>
  </si>
  <si>
    <t>Mean Cell Haemoglobin Decreased</t>
  </si>
  <si>
    <t>Monocyte Count Abnormal</t>
  </si>
  <si>
    <t>Drug Level Increased</t>
  </si>
  <si>
    <t>Cytomegalovirus Test Positive</t>
  </si>
  <si>
    <t>Mean Cell Haemoglobin Concentration Increased</t>
  </si>
  <si>
    <t>Platelet Count Increased</t>
  </si>
  <si>
    <t>Lymphocyte Count Abnormal</t>
  </si>
  <si>
    <t>Apathy</t>
  </si>
  <si>
    <t>Dysarthria</t>
  </si>
  <si>
    <t>Cerebral Haemorrhage</t>
  </si>
  <si>
    <t>Reaction To Excipient</t>
  </si>
  <si>
    <t>Insurance Issue</t>
  </si>
  <si>
    <t>Glossodynia</t>
  </si>
  <si>
    <t>Hyperthermia</t>
  </si>
  <si>
    <t>Sinusitis</t>
  </si>
  <si>
    <t>Bacteraemia</t>
  </si>
  <si>
    <t>Mixed Anxiety And Depressive Disorder</t>
  </si>
  <si>
    <t>Hepatitis B</t>
  </si>
  <si>
    <t>Loss Of Personal Independence In Daily Activities</t>
  </si>
  <si>
    <t>Pallor</t>
  </si>
  <si>
    <t>Eye Swelling</t>
  </si>
  <si>
    <t>Photosensitivity Reaction</t>
  </si>
  <si>
    <t>Eye Pruritus</t>
  </si>
  <si>
    <t>Rectal Haemorrhage</t>
  </si>
  <si>
    <t>Pain In Jaw</t>
  </si>
  <si>
    <t>Hordeolum</t>
  </si>
  <si>
    <t>Diplopia</t>
  </si>
  <si>
    <t>Faeces Hard</t>
  </si>
  <si>
    <t>Liver Function Test Increased</t>
  </si>
  <si>
    <t>Renal Failure</t>
  </si>
  <si>
    <t>Lymphadenopathy Mediastinal</t>
  </si>
  <si>
    <t>Vulval Oedema</t>
  </si>
  <si>
    <t>Genital Swelling</t>
  </si>
  <si>
    <t>Renal Pain</t>
  </si>
  <si>
    <t>Tenderness</t>
  </si>
  <si>
    <t>Eosinophil Count Increased</t>
  </si>
  <si>
    <t>Elliptocytosis</t>
  </si>
  <si>
    <t>Poikilocytosis</t>
  </si>
  <si>
    <t>Circulatory Collapse</t>
  </si>
  <si>
    <t>Wheezing</t>
  </si>
  <si>
    <t>Skin Papilloma</t>
  </si>
  <si>
    <t>Skin Infection</t>
  </si>
  <si>
    <t>Lyme Disease</t>
  </si>
  <si>
    <t>Onychomycosis</t>
  </si>
  <si>
    <t>Aphonia</t>
  </si>
  <si>
    <t>Appetite Disorder</t>
  </si>
  <si>
    <t>Bone Tuberculosis</t>
  </si>
  <si>
    <t>Emphysema</t>
  </si>
  <si>
    <t>Infective Exacerbation Of Bronchiectasis</t>
  </si>
  <si>
    <t>Pulmonary Tuberculosis</t>
  </si>
  <si>
    <t>Trigger Finger</t>
  </si>
  <si>
    <t>Osteopenia</t>
  </si>
  <si>
    <t>Dyspareunia</t>
  </si>
  <si>
    <t>Body Temperature Decreased</t>
  </si>
  <si>
    <t>Wrist Fracture</t>
  </si>
  <si>
    <t>Body Mass Index Increased</t>
  </si>
  <si>
    <t>Feeling Of Relaxation</t>
  </si>
  <si>
    <t>Postoperative Wound Complication</t>
  </si>
  <si>
    <t>Chest Wall Tumour</t>
  </si>
  <si>
    <t>Unevaluable Event</t>
  </si>
  <si>
    <t>Metastases To Gallbladder</t>
  </si>
  <si>
    <t>Hypophagia</t>
  </si>
  <si>
    <t>Follicular Thyroid Cancer</t>
  </si>
  <si>
    <t>Atrial Fibrillation</t>
  </si>
  <si>
    <t>Procedural Complication</t>
  </si>
  <si>
    <t>Type 1 Diabetes Mellitus</t>
  </si>
  <si>
    <t>Herpes Simplex</t>
  </si>
  <si>
    <t>Dyspnoea Exertional</t>
  </si>
  <si>
    <t>Recurrent Cancer</t>
  </si>
  <si>
    <t>Escherichia Infection</t>
  </si>
  <si>
    <t>Haematuria</t>
  </si>
  <si>
    <t>Hypertransaminasaemia</t>
  </si>
  <si>
    <t>Pulmonary Oedema</t>
  </si>
  <si>
    <t>Ecchymosis</t>
  </si>
  <si>
    <t>Fibrin D Dimer Increased</t>
  </si>
  <si>
    <t>Amnesia</t>
  </si>
  <si>
    <t>Groin Pain</t>
  </si>
  <si>
    <t>Angina Unstable</t>
  </si>
  <si>
    <t>Blood Follicle Stimulating Hormone Increased</t>
  </si>
  <si>
    <t>Blood Luteinising Hormone Increased</t>
  </si>
  <si>
    <t>Pernicious Anaemia</t>
  </si>
  <si>
    <t>Musculoskeletal Disorder</t>
  </si>
  <si>
    <t>Uterine Haemorrhage</t>
  </si>
  <si>
    <t>Vulvovaginal Pain</t>
  </si>
  <si>
    <t>Polyarthritis</t>
  </si>
  <si>
    <t>Bone Density Decreased</t>
  </si>
  <si>
    <t>Uveitis</t>
  </si>
  <si>
    <t>Emotional Distress</t>
  </si>
  <si>
    <t>Product Quality Issue</t>
  </si>
  <si>
    <t>Disease Recurrence</t>
  </si>
  <si>
    <t>Endometriosis</t>
  </si>
  <si>
    <t>Skin Warm</t>
  </si>
  <si>
    <t>Gastrointestinal Haemorrhage</t>
  </si>
  <si>
    <t>Melaena</t>
  </si>
  <si>
    <t>Stress Cardiomyopathy</t>
  </si>
  <si>
    <t>Proteinuria</t>
  </si>
  <si>
    <t>Internal Fixation Of Fracture</t>
  </si>
  <si>
    <t>Lower Limb Fracture</t>
  </si>
  <si>
    <t>Cardiac Infection</t>
  </si>
  <si>
    <t>Hypoperfusion</t>
  </si>
  <si>
    <t>Disseminated Intravascular Coagulation</t>
  </si>
  <si>
    <t>Multiple Organ Dysfunction Syndrome</t>
  </si>
  <si>
    <t>External Fixation Of Fracture</t>
  </si>
  <si>
    <t>Radius Fracture</t>
  </si>
  <si>
    <t>Fracture Reduction</t>
  </si>
  <si>
    <t>Renal Colic</t>
  </si>
  <si>
    <t>Red Blood Cells Urine</t>
  </si>
  <si>
    <t>Pyelocaliectasis</t>
  </si>
  <si>
    <t>Uterine Leiomyoma</t>
  </si>
  <si>
    <t>Hysterectomy</t>
  </si>
  <si>
    <t>Oophorectomy</t>
  </si>
  <si>
    <t>Endometrial Hyperplasia</t>
  </si>
  <si>
    <t>Hyperplasia</t>
  </si>
  <si>
    <t>Chest X-Ray Abnormal</t>
  </si>
  <si>
    <t>Gait Inability</t>
  </si>
  <si>
    <t>Erythema Nodosum</t>
  </si>
  <si>
    <t>Magnetic Resonance Imaging Abnormal</t>
  </si>
  <si>
    <t>Polydipsia</t>
  </si>
  <si>
    <t>Hypothalamo-Pituitary Disorder</t>
  </si>
  <si>
    <t>Polyuria</t>
  </si>
  <si>
    <t>Sexual Dysfunction</t>
  </si>
  <si>
    <t>Depressed Level Of Consciousness</t>
  </si>
  <si>
    <t>Seizure Anoxic</t>
  </si>
  <si>
    <t>Hypomania</t>
  </si>
  <si>
    <t>Bipolar Disorder</t>
  </si>
  <si>
    <t>Lethargy</t>
  </si>
  <si>
    <t>Renal Tubular Acidosis</t>
  </si>
  <si>
    <t>Hyperkalaemia</t>
  </si>
  <si>
    <t>Hypovolaemia</t>
  </si>
  <si>
    <t>Acidosis</t>
  </si>
  <si>
    <t>Cutaneous Lupus Erythematosus</t>
  </si>
  <si>
    <t>Arthritis</t>
  </si>
  <si>
    <t>Bursitis</t>
  </si>
  <si>
    <t>Bone Marrow Failure</t>
  </si>
  <si>
    <t>Haemoglobin Abnormal</t>
  </si>
  <si>
    <t>Erythropoiesis Abnormal</t>
  </si>
  <si>
    <t>Mean Cell Haemoglobin</t>
  </si>
  <si>
    <t>Platelet Disorder</t>
  </si>
  <si>
    <t>Biopsy Bone Marrow Abnormal</t>
  </si>
  <si>
    <t>Megakaryocytes Decreased</t>
  </si>
  <si>
    <t>Sleep Apnoea Syndrome</t>
  </si>
  <si>
    <t>Debridement</t>
  </si>
  <si>
    <t>Osteomyelitis</t>
  </si>
  <si>
    <t>Breast Conserving Surgery</t>
  </si>
  <si>
    <t>Biopsy Lymph Gland</t>
  </si>
  <si>
    <t>Macular Degeneration</t>
  </si>
  <si>
    <t>Breast Prosthesis Removal</t>
  </si>
  <si>
    <t>Dermatitis Contact</t>
  </si>
  <si>
    <t>Skin Necrosis</t>
  </si>
  <si>
    <t>Tooth Erosion</t>
  </si>
  <si>
    <t>Restrictive Cardiomyopathy</t>
  </si>
  <si>
    <t>Periorbital Oedema</t>
  </si>
  <si>
    <t>Aspiration Pleural Cavity</t>
  </si>
  <si>
    <t>Catheterisation Cardiac</t>
  </si>
  <si>
    <t>Retinal Haemorrhage</t>
  </si>
  <si>
    <t>Macular Oedema</t>
  </si>
  <si>
    <t>Visual Field Tests Abnormal</t>
  </si>
  <si>
    <t>Angiogram Retina</t>
  </si>
  <si>
    <t>Fundoscopy</t>
  </si>
  <si>
    <t>Retinal Vein Occlusion</t>
  </si>
  <si>
    <t>Granuloma</t>
  </si>
  <si>
    <t>Organising Pneumonia</t>
  </si>
  <si>
    <t>Post Procedural Fever</t>
  </si>
  <si>
    <t>Organ System: Inflammatory</t>
  </si>
  <si>
    <t>Organ System: Genetic</t>
  </si>
  <si>
    <t>Organ System: Hepatobiliary</t>
  </si>
  <si>
    <t>Organ System: Peritoneal</t>
  </si>
  <si>
    <t>Organ System: Allergic</t>
  </si>
  <si>
    <t>total</t>
  </si>
  <si>
    <t>normalization</t>
  </si>
  <si>
    <t>Combined data</t>
  </si>
  <si>
    <t>Cardiac</t>
  </si>
  <si>
    <t>cardiovascular</t>
  </si>
  <si>
    <t>Umbilical Hernia</t>
  </si>
  <si>
    <t>Arthropathy</t>
  </si>
  <si>
    <t>Hyperchromic Anaemia</t>
  </si>
  <si>
    <t>Lipoma</t>
  </si>
  <si>
    <t>Muscle Rupture</t>
  </si>
  <si>
    <t>Osteolysis</t>
  </si>
  <si>
    <t>Colitis Ulcerative</t>
  </si>
  <si>
    <t>Incorrect Dose Administered</t>
  </si>
  <si>
    <t>Hypoalbuminaemia</t>
  </si>
  <si>
    <t>Glossitis</t>
  </si>
  <si>
    <t>Flushing</t>
  </si>
  <si>
    <t>Dermatitis</t>
  </si>
  <si>
    <t>Scar Pain</t>
  </si>
  <si>
    <t>Rhinitis</t>
  </si>
  <si>
    <t>Toxic Encephalopathy</t>
  </si>
  <si>
    <t>Klebsiella Infection</t>
  </si>
  <si>
    <t>Staphylococcal Infection</t>
  </si>
  <si>
    <t>Tubulointerstitial Nephritis</t>
  </si>
  <si>
    <t>Pseudomonas Infection</t>
  </si>
  <si>
    <t>Lactic Acidosis</t>
  </si>
  <si>
    <t>Intercapillary Glomerulosclerosis</t>
  </si>
  <si>
    <t>Gastritis Erosive</t>
  </si>
  <si>
    <t>Duodenitis</t>
  </si>
  <si>
    <t>Anaemia Vitamin B12 Deficiency</t>
  </si>
  <si>
    <t>Renal Tubular Necrosis</t>
  </si>
  <si>
    <t>Arteriosclerosis</t>
  </si>
  <si>
    <t>Hyperlipidaemia</t>
  </si>
  <si>
    <t>Cerebral Haematoma</t>
  </si>
  <si>
    <t>Post-Traumatic Stress Disorder</t>
  </si>
  <si>
    <t>Spinal Decompression</t>
  </si>
  <si>
    <t>Tension</t>
  </si>
  <si>
    <t>Spinal Compression Fracture</t>
  </si>
  <si>
    <t>Spinal Stenosis</t>
  </si>
  <si>
    <t>Postmenopausal Haemorrhage</t>
  </si>
  <si>
    <t>Blood Pressure Decreased</t>
  </si>
  <si>
    <t>Carbohydrate Antigen 125 Increased</t>
  </si>
  <si>
    <t>Central Obesity</t>
  </si>
  <si>
    <t>Clostridial Infection</t>
  </si>
  <si>
    <t>Bone Contusion</t>
  </si>
  <si>
    <t>Sputum Purulent</t>
  </si>
  <si>
    <t>Venous Thrombosis</t>
  </si>
  <si>
    <t>Throat Irritation</t>
  </si>
  <si>
    <t>Tonsillitis</t>
  </si>
  <si>
    <t>Hypertensive Crisis</t>
  </si>
  <si>
    <t>Muscle Rigidity</t>
  </si>
  <si>
    <t>Stevens-Johnson Syndrome</t>
  </si>
  <si>
    <t>Toxic Epidermal Necrolysis</t>
  </si>
  <si>
    <t>Varices Oesophageal</t>
  </si>
  <si>
    <t>Haemorrhoids</t>
  </si>
  <si>
    <t>Drug Hypersensitivity</t>
  </si>
  <si>
    <t>Aortic Valve Disease</t>
  </si>
  <si>
    <t>Ventricular Extrasystoles</t>
  </si>
  <si>
    <t>Brain Natriuretic Peptide Increased</t>
  </si>
  <si>
    <t>Blood Pressure Diastolic Abnormal</t>
  </si>
  <si>
    <t>Sars-Cov-2 Test Positive</t>
  </si>
  <si>
    <t>Rash Papular</t>
  </si>
  <si>
    <t>Prescription Drug Used Without A Prescription</t>
  </si>
  <si>
    <t>Grip Strength increased</t>
  </si>
  <si>
    <t>Heavy Menstrual Bleeding</t>
  </si>
  <si>
    <t>Cervicitis</t>
  </si>
  <si>
    <t>Reflux Gastritis</t>
  </si>
  <si>
    <t>Vitamin D Deficiency</t>
  </si>
  <si>
    <t>Cardiomegaly</t>
  </si>
  <si>
    <t>Dyschezia</t>
  </si>
  <si>
    <t>Coronary Artery Dissection</t>
  </si>
  <si>
    <t>Antinuclear Antibody Increased</t>
  </si>
  <si>
    <t>Abscess Jaw</t>
  </si>
  <si>
    <t>Nasal Vestibulitis</t>
  </si>
  <si>
    <t>Retching</t>
  </si>
  <si>
    <t>Brachial Plexopathy</t>
  </si>
  <si>
    <t>Inappropriate Antidiuretic Hormone Secretion</t>
  </si>
  <si>
    <t>Rotator Cuff Syndrome</t>
  </si>
  <si>
    <t>Otitis Media</t>
  </si>
  <si>
    <t>Tenoplasty</t>
  </si>
  <si>
    <t>Periarthritis</t>
  </si>
  <si>
    <t>Epicondylitis</t>
  </si>
  <si>
    <t>Tendon Rupture</t>
  </si>
  <si>
    <t>Bundle Branch Block Left</t>
  </si>
  <si>
    <t>Cholecystitis</t>
  </si>
  <si>
    <t>Lymphopenia</t>
  </si>
  <si>
    <t>Angina Pectoris</t>
  </si>
  <si>
    <t>Hyperphagia</t>
  </si>
  <si>
    <t>Monocyte Count Decreased</t>
  </si>
  <si>
    <t>Lymphocytosis</t>
  </si>
  <si>
    <t>Monocytosis</t>
  </si>
  <si>
    <t>No Adverse Event</t>
  </si>
  <si>
    <t>Blindness Unilateral</t>
  </si>
  <si>
    <t>Retinal Vascular Occlusion</t>
  </si>
  <si>
    <t>Cerebral Ischaemia</t>
  </si>
  <si>
    <t>Nail Disorder</t>
  </si>
  <si>
    <t>Device Related Thrombosis</t>
  </si>
  <si>
    <t>Asthma</t>
  </si>
  <si>
    <t>Heart Rate Irregular</t>
  </si>
  <si>
    <t>Flatulence</t>
  </si>
  <si>
    <t>Rebound Effect</t>
  </si>
  <si>
    <t>Unevaluable Investigation</t>
  </si>
  <si>
    <t>Tumour Marker Abnormal</t>
  </si>
  <si>
    <t>Carbohydrate Antigen 15-3</t>
  </si>
  <si>
    <t>Blood Pressure Abnormal</t>
  </si>
  <si>
    <t>Parosmia</t>
  </si>
  <si>
    <t>Hypermetabolism</t>
  </si>
  <si>
    <t>Multiple Injuries</t>
  </si>
  <si>
    <t>Injection Site Discoloration</t>
  </si>
  <si>
    <t>Skeletal Injury</t>
  </si>
  <si>
    <t>Food Poisoning</t>
  </si>
  <si>
    <t>Traumatic Lung Injury</t>
  </si>
  <si>
    <t>Spinal Column Injury</t>
  </si>
  <si>
    <t>Covid-19 Pneumonia</t>
  </si>
  <si>
    <t>Breast Inflammation</t>
  </si>
  <si>
    <t>Acute Myocardial Infarction</t>
  </si>
  <si>
    <t>Electrocardiogram St Segment Elevation</t>
  </si>
  <si>
    <t>Sinus Bradycardia</t>
  </si>
  <si>
    <t>Electrocardiogram St Segment Abnormal</t>
  </si>
  <si>
    <t>Respiratory Distress</t>
  </si>
  <si>
    <t>Vestibular Neuronitis</t>
  </si>
  <si>
    <t>Lip Swelling</t>
  </si>
  <si>
    <t>Respiration Abnormal</t>
  </si>
  <si>
    <t>Liver Disorder</t>
  </si>
  <si>
    <t>Swelling Of Eyelid</t>
  </si>
  <si>
    <t>Wound Evisceration</t>
  </si>
  <si>
    <t>Blood Oestrogen Decreased</t>
  </si>
  <si>
    <t>Vaginal Cuff Dehiscence</t>
  </si>
  <si>
    <t>Vaginal Prolapse</t>
  </si>
  <si>
    <t>Spinal Cord Compression</t>
  </si>
  <si>
    <t>Paraplegia</t>
  </si>
  <si>
    <t>Delirium Tremens</t>
  </si>
  <si>
    <t>Retinal Detachment</t>
  </si>
  <si>
    <t>Swollen Tongue</t>
  </si>
  <si>
    <t>Breast Necrosis</t>
  </si>
  <si>
    <t>Cerebral Artery Embolism</t>
  </si>
  <si>
    <t>Septic Shock</t>
  </si>
  <si>
    <t>Cardiotoxicity</t>
  </si>
  <si>
    <t>Empyema</t>
  </si>
  <si>
    <t>Cancer Pain</t>
  </si>
  <si>
    <t>Periodontal Disease</t>
  </si>
  <si>
    <t>Investigation Abnormal</t>
  </si>
  <si>
    <t>Gastrointestinal Infection</t>
  </si>
  <si>
    <t>Herpes Virus Infection</t>
  </si>
  <si>
    <t>Bicytopenia</t>
  </si>
  <si>
    <t>Carotid Artery Aneurysm</t>
  </si>
  <si>
    <t>Ankle Fracture</t>
  </si>
  <si>
    <t>Infected Dermal Cyst</t>
  </si>
  <si>
    <t>Vitreous Detachment</t>
  </si>
  <si>
    <t>Septic Pulmonary Embolism</t>
  </si>
  <si>
    <t>Left Ventricular Failure</t>
  </si>
  <si>
    <t>Subileus</t>
  </si>
  <si>
    <t>Abdominal Sepsis</t>
  </si>
  <si>
    <t>Concomitant Disease Aggravated</t>
  </si>
  <si>
    <t>Cd4 Lymphocytes Decreased</t>
  </si>
  <si>
    <t>Diverticulum Intestinal</t>
  </si>
  <si>
    <t>Hospitalisation</t>
  </si>
  <si>
    <t>Mesenteric Artery Thrombosis</t>
  </si>
  <si>
    <t>Anastomotic Complication</t>
  </si>
  <si>
    <t>Eye Naevus</t>
  </si>
  <si>
    <t>Hemiplegic Migraine</t>
  </si>
  <si>
    <t>Sinus Disorder</t>
  </si>
  <si>
    <t>Dry Age-Related Macular Degeneration</t>
  </si>
  <si>
    <t>Presbyopia</t>
  </si>
  <si>
    <t>Postoperative Wound Infection</t>
  </si>
  <si>
    <t>Papillary Thyroid Cancer</t>
  </si>
  <si>
    <t>Blood Creatine Increased</t>
  </si>
  <si>
    <t>Covid-19 Immunisation</t>
  </si>
  <si>
    <t>Venous Thrombosis Limb</t>
  </si>
  <si>
    <t>Muscle Contracture</t>
  </si>
  <si>
    <t>Kl-6 Increased</t>
  </si>
  <si>
    <t>Myelofibrosis</t>
  </si>
  <si>
    <t>Chronic Kidney Disease</t>
  </si>
  <si>
    <t>Pulmonary Toxicity</t>
  </si>
  <si>
    <t>Metabolic Disorder</t>
  </si>
  <si>
    <t>Ejection Fraction Decreased</t>
  </si>
  <si>
    <t>Kidney Infection</t>
  </si>
  <si>
    <t>Polyneuropathy</t>
  </si>
  <si>
    <t>Respiratory Disorder</t>
  </si>
  <si>
    <t>Drug Resistance</t>
  </si>
  <si>
    <t>Bacterial Infection</t>
  </si>
  <si>
    <t>Nosocomial Infection</t>
  </si>
  <si>
    <t>Eructation</t>
  </si>
  <si>
    <t>Skin Haemorrhage</t>
  </si>
  <si>
    <t>Product Prescribing Error</t>
  </si>
  <si>
    <t>Skin Discoloration</t>
  </si>
  <si>
    <t>Skin Swelling</t>
  </si>
  <si>
    <t>Oral Discomfort</t>
  </si>
  <si>
    <t>Lip Oedema</t>
  </si>
  <si>
    <t>Gastroenteritis</t>
  </si>
  <si>
    <t>Colon Cancer Metastatic</t>
  </si>
  <si>
    <t>Large Intestinal Stenosis</t>
  </si>
  <si>
    <t>Ageusia</t>
  </si>
  <si>
    <t>Bone Demineralisation</t>
  </si>
  <si>
    <t>Pustule</t>
  </si>
  <si>
    <t>Product Supply Issue</t>
  </si>
  <si>
    <t>Jugular Vein Thrombosis</t>
  </si>
  <si>
    <t>Ileus</t>
  </si>
  <si>
    <t>Aspiration</t>
  </si>
  <si>
    <t>Autoimmune Hepatitis</t>
  </si>
  <si>
    <t>Eye Inflammation</t>
  </si>
  <si>
    <t>Joint Lock</t>
  </si>
  <si>
    <t>Tenosynovitis</t>
  </si>
  <si>
    <t>Panic Attack</t>
  </si>
  <si>
    <t>Radiation Injury</t>
  </si>
  <si>
    <t>Ill-Defined Disorder</t>
  </si>
  <si>
    <t>Coma</t>
  </si>
  <si>
    <t>Skin Hyperpigmentation</t>
  </si>
  <si>
    <t>Limb Injury</t>
  </si>
  <si>
    <t>Increased Bronchial Secretion</t>
  </si>
  <si>
    <t>Respiratory Fume Inhalation Disorder</t>
  </si>
  <si>
    <t>Skin Cancer</t>
  </si>
  <si>
    <t>Localised Infection</t>
  </si>
  <si>
    <t>Abnormal Loss Of Weight</t>
  </si>
  <si>
    <t>Large Intestine Infection</t>
  </si>
  <si>
    <t>Vitreous Haemorrhage</t>
  </si>
  <si>
    <t>Rhinitis Allergic</t>
  </si>
  <si>
    <t>Asphyxia</t>
  </si>
  <si>
    <t>Choking</t>
  </si>
  <si>
    <t>Enteritis</t>
  </si>
  <si>
    <t>Thyroiditis</t>
  </si>
  <si>
    <t>Clumsiness</t>
  </si>
  <si>
    <t>Thinking Abnormal</t>
  </si>
  <si>
    <t>Metastases To Thyroid</t>
  </si>
  <si>
    <t>Pleural Mass</t>
  </si>
  <si>
    <t>Flap Necrosis</t>
  </si>
  <si>
    <t>Ischaemia</t>
  </si>
  <si>
    <t>Acute Lymphocytic Leukaemia</t>
  </si>
  <si>
    <t>Benign Ovarian Tumour</t>
  </si>
  <si>
    <t>Genital Haemorrhage</t>
  </si>
  <si>
    <t>Carcinoembryonic Antigen Increased</t>
  </si>
  <si>
    <t>Blood Pressure Diastolic Decreased</t>
  </si>
  <si>
    <t>Polychromasia</t>
  </si>
  <si>
    <t>Globulins Increased</t>
  </si>
  <si>
    <t>Red Blood Cell Morphology Abnormal</t>
  </si>
  <si>
    <t>Glomerular Filtration Rate Decreased</t>
  </si>
  <si>
    <t>Oral Mucosa Erosion</t>
  </si>
  <si>
    <t>Urinary Meatitis</t>
  </si>
  <si>
    <t>Oral Mucosal Exfoliation</t>
  </si>
  <si>
    <t>Asthenopia</t>
  </si>
  <si>
    <t>Metastases To Uterus</t>
  </si>
  <si>
    <t>Ear Infection</t>
  </si>
  <si>
    <t>Appendicitis Noninfective</t>
  </si>
  <si>
    <t>Triple Negative Breast Cancer</t>
  </si>
  <si>
    <t>Gamma-Glutamyltransferase</t>
  </si>
  <si>
    <t>Blood Bilirubin Decreased</t>
  </si>
  <si>
    <t>Blood Lactate Dehydrogenase Increased</t>
  </si>
  <si>
    <t>Carbohydrate Antigen 15-3 Increased</t>
  </si>
  <si>
    <t>Blood Bilirubin Unconjugated Decreased</t>
  </si>
  <si>
    <t>Upper Limb Fracture</t>
  </si>
  <si>
    <t>Product Packaging Quantity Issue</t>
  </si>
  <si>
    <t>Muscle Fatigue</t>
  </si>
  <si>
    <t>Lymphatic Disorder</t>
  </si>
  <si>
    <t>Vitamin D Decreased</t>
  </si>
  <si>
    <t>Body Mass Index Decreased</t>
  </si>
  <si>
    <t>Cystitis</t>
  </si>
  <si>
    <t>Disorientation</t>
  </si>
  <si>
    <t>Dysphagia</t>
  </si>
  <si>
    <t>Oropharyngeal Discomfort</t>
  </si>
  <si>
    <t>Product Storage Error</t>
  </si>
  <si>
    <t>Accident</t>
  </si>
  <si>
    <t>Tibia Fracture</t>
  </si>
  <si>
    <t>Fibula Fracture</t>
  </si>
  <si>
    <t>Tendon Disorder</t>
  </si>
  <si>
    <t>Blood Iron Decreased</t>
  </si>
  <si>
    <t>Ulcer</t>
  </si>
  <si>
    <t>Anal Haemorrhage</t>
  </si>
  <si>
    <t>Diarrhoea Haemorrhagic</t>
  </si>
  <si>
    <t>Suffocation Feeling</t>
  </si>
  <si>
    <t>Perforated Ulcer</t>
  </si>
  <si>
    <t>Urinary Hesitation</t>
  </si>
  <si>
    <t>Axillary Pain</t>
  </si>
  <si>
    <t>Leukoplakia Oral</t>
  </si>
  <si>
    <t>Anosmia</t>
  </si>
  <si>
    <t>Blood Glucose Fluctuation</t>
  </si>
  <si>
    <t>White Blood Cell Count Abnormal</t>
  </si>
  <si>
    <t>Red Blood Cell Count Abnormal</t>
  </si>
  <si>
    <t>Eye Movement Disorder</t>
  </si>
  <si>
    <t>Food Intolerance</t>
  </si>
  <si>
    <t>Hyperglycaemic Hyperosmolar Nonketotic Syndrome</t>
  </si>
  <si>
    <t>Diabetic Ketoacidosis</t>
  </si>
  <si>
    <t>Weight Abnormal</t>
  </si>
  <si>
    <t>Breath Sounds Abnormal</t>
  </si>
  <si>
    <t>Aortic Arteriosclerosis</t>
  </si>
  <si>
    <t>Aortic Elongation</t>
  </si>
  <si>
    <t>Peripheral Ischaemia</t>
  </si>
  <si>
    <t>Atrophic Vulvovaginitis</t>
  </si>
  <si>
    <t>Complication Associated With Device</t>
  </si>
  <si>
    <t>Cystitis Haemorrhagic</t>
  </si>
  <si>
    <t>Blood Glucose Decreased</t>
  </si>
  <si>
    <t>Infection Parasitic</t>
  </si>
  <si>
    <t>Metastases To Skin</t>
  </si>
  <si>
    <t>Scleroderma</t>
  </si>
  <si>
    <t>Mental Impairment</t>
  </si>
  <si>
    <t>Mitral Valve Disease</t>
  </si>
  <si>
    <t>Low Density Lipoprotein Increased</t>
  </si>
  <si>
    <t>Paresis</t>
  </si>
  <si>
    <t>Blood Creatine Phosphokinase Increased</t>
  </si>
  <si>
    <t>Supraventricular Extrasystoles</t>
  </si>
  <si>
    <t>Troponin I Increased</t>
  </si>
  <si>
    <t>Joint Noise</t>
  </si>
  <si>
    <t>Faeces Pale</t>
  </si>
  <si>
    <t>Peripheral Artery Thrombosis</t>
  </si>
  <si>
    <t>Electrocardiogram P Wave Abnormal</t>
  </si>
  <si>
    <t>Electrocardiogram Qrs Complex Abnormal</t>
  </si>
  <si>
    <t>Electrocardiogram Low Voltage</t>
  </si>
  <si>
    <t>Underweight</t>
  </si>
  <si>
    <t>Aneurysm</t>
  </si>
  <si>
    <t>Pleuritic Pain</t>
  </si>
  <si>
    <t>Abnormal Weight Gain</t>
  </si>
  <si>
    <t>Tendon Pain</t>
  </si>
  <si>
    <t>Mobility Decreased</t>
  </si>
  <si>
    <t>Drug Eruption</t>
  </si>
  <si>
    <t>Transaminases</t>
  </si>
  <si>
    <t>Paronychia</t>
  </si>
  <si>
    <t>Feeling Of Despair</t>
  </si>
  <si>
    <t>Therapy Cessation</t>
  </si>
  <si>
    <t>Decubitus Ulcer</t>
  </si>
  <si>
    <t>Lung Neoplasm Malignant</t>
  </si>
  <si>
    <t>Cardiopulmonary Failure</t>
  </si>
  <si>
    <t>Vaginal Discharge</t>
  </si>
  <si>
    <t>Metastatic Neoplasm</t>
  </si>
  <si>
    <t>Delirium</t>
  </si>
  <si>
    <t>Vitreous Floaters</t>
  </si>
  <si>
    <t>Abdominal Adhesions</t>
  </si>
  <si>
    <t>Gastrointestinal Oedema</t>
  </si>
  <si>
    <t>Peritoneal Neoplasm</t>
  </si>
  <si>
    <t>Dysmetria</t>
  </si>
  <si>
    <t>Nasal Inflammation</t>
  </si>
  <si>
    <t>Myeloproliferative Neoplasm</t>
  </si>
  <si>
    <t>Medical Device Removal</t>
  </si>
  <si>
    <t>Metastases To Spinal Cord</t>
  </si>
  <si>
    <t>Bedridden</t>
  </si>
  <si>
    <t>Muscle Disorder</t>
  </si>
  <si>
    <t>Gallbladder Adenoma</t>
  </si>
  <si>
    <t>Metastases To Soft Tissue</t>
  </si>
  <si>
    <t>Enterocolitis</t>
  </si>
  <si>
    <t>Neuromuscular Toxicity</t>
  </si>
  <si>
    <t>Splenomegaly</t>
  </si>
  <si>
    <t>Marrow Hyperplasia</t>
  </si>
  <si>
    <t>Pulmonary Arterial Hypertension</t>
  </si>
  <si>
    <t>Staphylococcal Sepsis</t>
  </si>
  <si>
    <t>Clostridium Difficile Infection</t>
  </si>
  <si>
    <t>Skin Ulcer</t>
  </si>
  <si>
    <t>Hunger</t>
  </si>
  <si>
    <t>Carbohydrate Antigen 27.29 Increased</t>
  </si>
  <si>
    <t>Skin Abrasion</t>
  </si>
  <si>
    <t>Hypoacusis</t>
  </si>
  <si>
    <t>Prurigo</t>
  </si>
  <si>
    <t>Malignant Pleural Effusion</t>
  </si>
  <si>
    <t>Burn Oral Cavity</t>
  </si>
  <si>
    <t>Genital Burning Sensation</t>
  </si>
  <si>
    <t>Incision Site Erythema</t>
  </si>
  <si>
    <t>Sensation Of Foreign Body</t>
  </si>
  <si>
    <t>Cervical Dysplasia</t>
  </si>
  <si>
    <t>Nasal Congestion</t>
  </si>
  <si>
    <t>Rapid Eye Movements Sleep Abnormal</t>
  </si>
  <si>
    <t>Calcification Metastatic</t>
  </si>
  <si>
    <t>Substance-Induced Psychotic Disorder</t>
  </si>
  <si>
    <t>Rales</t>
  </si>
  <si>
    <t>Blood Creatinine Abnormal</t>
  </si>
  <si>
    <t>Left Ventricular Hypertrophy</t>
  </si>
  <si>
    <t>Cardiac Murmur</t>
  </si>
  <si>
    <t>Atrial Hypertrophy</t>
  </si>
  <si>
    <t>Heart Rate Decreased</t>
  </si>
  <si>
    <t>Cardiac Index Decreased</t>
  </si>
  <si>
    <t>Azotaemia</t>
  </si>
  <si>
    <t>Ventricular Dysfunction</t>
  </si>
  <si>
    <t>Suicidal Behaviour</t>
  </si>
  <si>
    <t>Dupuytren's Contracture</t>
  </si>
  <si>
    <t>Diabetes Mellitus Inadequate Control</t>
  </si>
  <si>
    <t>Dermatitis Allergic</t>
  </si>
  <si>
    <t>Posture Abnormal</t>
  </si>
  <si>
    <t>Vascular Compression</t>
  </si>
  <si>
    <t>Lymphatic Obstruction</t>
  </si>
  <si>
    <t>Gastric Ulcer Perforation</t>
  </si>
  <si>
    <t>Prothrombin Time Prolonged</t>
  </si>
  <si>
    <t>Pleural Neoplasm</t>
  </si>
  <si>
    <t>International Normalised Ratio Increased</t>
  </si>
  <si>
    <t>Lung Carcinoma Cell Type Unspecified Stage Iv</t>
  </si>
  <si>
    <t>Gastric Perforation</t>
  </si>
  <si>
    <t>Goitre</t>
  </si>
  <si>
    <t>Cerebral Cyst</t>
  </si>
  <si>
    <t>Intracranial Pressure Increased</t>
  </si>
  <si>
    <t>Dermatomyositis</t>
  </si>
  <si>
    <t>Skin Sensitisation</t>
  </si>
  <si>
    <t>Motion Sickness</t>
  </si>
  <si>
    <t>Peripheral Coldness</t>
  </si>
  <si>
    <t>Aortic Dilatation</t>
  </si>
  <si>
    <t>Blood Uric Acid Increased</t>
  </si>
  <si>
    <t>Cardiac Function Test Abnormal</t>
  </si>
  <si>
    <t>Pulpitis Dental</t>
  </si>
  <si>
    <t>Paraneoplastic Syndrome</t>
  </si>
  <si>
    <t>Joint Range Of Motion Decreased</t>
  </si>
  <si>
    <t>Spinal Deformity</t>
  </si>
  <si>
    <t>Mouth Injury</t>
  </si>
  <si>
    <t>Onychoclasis</t>
  </si>
  <si>
    <t>Nasal Disorder</t>
  </si>
  <si>
    <t>Gastrointestinal Toxicity</t>
  </si>
  <si>
    <t>Intestinal Dilatation</t>
  </si>
  <si>
    <t>Hepatic Enzyme Abnormal</t>
  </si>
  <si>
    <t>Mental Disorder</t>
  </si>
  <si>
    <t>Overweight</t>
  </si>
  <si>
    <t>Anal Inflammation</t>
  </si>
  <si>
    <t>Pulmonary Fibrosis</t>
  </si>
  <si>
    <t>Lung Infiltration</t>
  </si>
  <si>
    <t>Dysphoria</t>
  </si>
  <si>
    <t>Blood Pressure Systolic Increased</t>
  </si>
  <si>
    <t>Sacral Pain</t>
  </si>
  <si>
    <t>Chronic Obstructive Pulmonary Disease</t>
  </si>
  <si>
    <t>Rectal Neoplasm</t>
  </si>
  <si>
    <t>Thyroid Disorder</t>
  </si>
  <si>
    <t>Therapeutic Response Unexpected</t>
  </si>
  <si>
    <t>Pre-Existing Condition Improved</t>
  </si>
  <si>
    <t>Fungal Oesophagitis</t>
  </si>
  <si>
    <t>Clavicle Fracture</t>
  </si>
  <si>
    <t>Oral Disorder</t>
  </si>
  <si>
    <t>Exposed Bone In Jaw</t>
  </si>
  <si>
    <t>High Density Lipoprotein Decreased</t>
  </si>
  <si>
    <t>Fistula</t>
  </si>
  <si>
    <t>Blood Fibrinogen Increased</t>
  </si>
  <si>
    <t>Noninfective Gingivitis</t>
  </si>
  <si>
    <t>Lymph Node Pain</t>
  </si>
  <si>
    <t>Lymph Node Palpable</t>
  </si>
  <si>
    <t>Mouth Swelling</t>
  </si>
  <si>
    <t>Glycosylated Haemoglobin Increased</t>
  </si>
  <si>
    <t>Oral Mucosal Erythema</t>
  </si>
  <si>
    <t>Hypercoagulation</t>
  </si>
  <si>
    <t>Hyperhomocysteinaemia</t>
  </si>
  <si>
    <t>Induration</t>
  </si>
  <si>
    <t>Acute Leukaemia</t>
  </si>
  <si>
    <t>Bronchiolitis</t>
  </si>
  <si>
    <t>Rhonchi</t>
  </si>
  <si>
    <t>Cauda Equina Syndrome</t>
  </si>
  <si>
    <t>Thrombocytosis</t>
  </si>
  <si>
    <t>Acute Respiratory Distress Syndrome</t>
  </si>
  <si>
    <t>Metabolic Acidosis</t>
  </si>
  <si>
    <t>Type 2 Diabetes Mellitus</t>
  </si>
  <si>
    <t>Systemic Inflammatory Response Syndrome</t>
  </si>
  <si>
    <t>Ammonia Increased</t>
  </si>
  <si>
    <t>Non-Alcoholic Steatohepatitis</t>
  </si>
  <si>
    <t>Serum Ferritin Increased</t>
  </si>
  <si>
    <t>Glucose Tolerance Impaired</t>
  </si>
  <si>
    <t>Respiratory Tract Congestion</t>
  </si>
  <si>
    <t>Aggression</t>
  </si>
  <si>
    <t>Incoherent</t>
  </si>
  <si>
    <t>Malignant Melanoma</t>
  </si>
  <si>
    <t>Gastroenteritis Viral</t>
  </si>
  <si>
    <t>Hydroxyproline Increased</t>
  </si>
  <si>
    <t>Hyperparathyroidism</t>
  </si>
  <si>
    <t>Cataract Subcapsular</t>
  </si>
  <si>
    <t>Brachiocephalic Vein Thrombosis</t>
  </si>
  <si>
    <t>Odynophagia</t>
  </si>
  <si>
    <t>Inflammatory Carcinoma Of Breast Recurrent</t>
  </si>
  <si>
    <t>Suspected Counterfeit Product</t>
  </si>
  <si>
    <t>Loss Of Libido</t>
  </si>
  <si>
    <t>Completed Suicide</t>
  </si>
  <si>
    <t>Vulval Cancer Metastatic</t>
  </si>
  <si>
    <t>Urinary Incontinence</t>
  </si>
  <si>
    <t>Glioblastoma</t>
  </si>
  <si>
    <t>Meningeal Disorder</t>
  </si>
  <si>
    <t>Organizing Pneumonia</t>
  </si>
  <si>
    <t>Lumbosacral Radiculopathy</t>
  </si>
  <si>
    <t>Guillain-Barre Syndrome</t>
  </si>
  <si>
    <t>Peritoneal Adhesions</t>
  </si>
  <si>
    <t>Adenocarcinoma Gastric</t>
  </si>
  <si>
    <t>Endophthalmitis</t>
  </si>
  <si>
    <t>Cardiothoracic Ratio Increased</t>
  </si>
  <si>
    <t>Endocarditis</t>
  </si>
  <si>
    <t>Shock</t>
  </si>
  <si>
    <t>Urinary Retention</t>
  </si>
  <si>
    <t>Gastrointestinal Vascular Malformation Haemorrhagic</t>
  </si>
  <si>
    <t>Peripheral Arterial Occlusive Disease</t>
  </si>
  <si>
    <t>Glaucoma</t>
  </si>
  <si>
    <t>Ataxia</t>
  </si>
  <si>
    <t>Purpura</t>
  </si>
  <si>
    <t>Joint Effusion</t>
  </si>
  <si>
    <t>Rheumatoid Arthritis</t>
  </si>
  <si>
    <t>Nerve Compression</t>
  </si>
  <si>
    <t>Muscle Swelling</t>
  </si>
  <si>
    <t>Walking Aid User</t>
  </si>
  <si>
    <t>Embolism Arterial</t>
  </si>
  <si>
    <t>Colorectal Cancer</t>
  </si>
  <si>
    <t>Tooth Loss</t>
  </si>
  <si>
    <t>Dental Caries</t>
  </si>
  <si>
    <t>Metastases To Retroperitoneum</t>
  </si>
  <si>
    <t>Respiratory Depression</t>
  </si>
  <si>
    <t>Opiates Positive</t>
  </si>
  <si>
    <t>Therapeutic Product Effect Increased</t>
  </si>
  <si>
    <t>Hiatus Hernia</t>
  </si>
  <si>
    <t>Lung Hyperinflation</t>
  </si>
  <si>
    <t>Laryngitis</t>
  </si>
  <si>
    <t>Nail Psoriasis</t>
  </si>
  <si>
    <t>Dislocation Of Vertebra</t>
  </si>
  <si>
    <t>Psoriatic Arthropathy</t>
  </si>
  <si>
    <t>Bronchial Obstruction</t>
  </si>
  <si>
    <t>Psoriasis</t>
  </si>
  <si>
    <t>Obstructive Airways Disorder</t>
  </si>
  <si>
    <t>Tooth Extraction</t>
  </si>
  <si>
    <t>Lumbar Radiculopathy</t>
  </si>
  <si>
    <t>Appendix Disorder</t>
  </si>
  <si>
    <t>Osteoporosis Postmenopausal</t>
  </si>
  <si>
    <t>Foot Fracture</t>
  </si>
  <si>
    <t>Salmonellosis</t>
  </si>
  <si>
    <t>Fracture Nonunion</t>
  </si>
  <si>
    <t>Hand Fracture</t>
  </si>
  <si>
    <t>Low Turnover Osteopathy</t>
  </si>
  <si>
    <t>Femur Fracture</t>
  </si>
  <si>
    <t>Post Procedural Haematoma</t>
  </si>
  <si>
    <t>Radiation Skin Injury</t>
  </si>
  <si>
    <t>Csf Oligoclonal Band Present</t>
  </si>
  <si>
    <t>Strabismus</t>
  </si>
  <si>
    <t>Iiird Nerve Paralysis</t>
  </si>
  <si>
    <t>Multiple Sclerosis</t>
  </si>
  <si>
    <t>Vith Nerve Paralysis</t>
  </si>
  <si>
    <t>Peripheral Vascular Disorder</t>
  </si>
  <si>
    <t>Vitreous Opacities</t>
  </si>
  <si>
    <t>Spondylolisthesis</t>
  </si>
  <si>
    <t>Vitreous Disorder</t>
  </si>
  <si>
    <t>Rash Maculo-Papular</t>
  </si>
  <si>
    <t>Cervix Inflammation</t>
  </si>
  <si>
    <t>Peripheral Artery Stenosis</t>
  </si>
  <si>
    <t>Intermittent Claudication</t>
  </si>
  <si>
    <t>Monoplegia</t>
  </si>
  <si>
    <t>Ileus Paralytic</t>
  </si>
  <si>
    <t>Metastatic Malignant Melanoma</t>
  </si>
  <si>
    <t>Varicose Vein</t>
  </si>
  <si>
    <t>Melanoma Recurrent</t>
  </si>
  <si>
    <t>Granulocytopenia</t>
  </si>
  <si>
    <t>Hyperchlorhydria</t>
  </si>
  <si>
    <t>Illness Anxiety Disorder</t>
  </si>
  <si>
    <t>Atypical Pneumonia</t>
  </si>
  <si>
    <t>Blood Cholinesterase Decreased</t>
  </si>
  <si>
    <t>Denture Wearer</t>
  </si>
  <si>
    <t>Ingrown Hair</t>
  </si>
  <si>
    <t>Periodontitis</t>
  </si>
  <si>
    <t>Edentulous</t>
  </si>
  <si>
    <t>Tooth Fracture</t>
  </si>
  <si>
    <t>Lower Respiratory Tract Infection</t>
  </si>
  <si>
    <t>Bone Marrow Necrosis</t>
  </si>
  <si>
    <t>Oral Neoplasm</t>
  </si>
  <si>
    <t>Protein Total Increased</t>
  </si>
  <si>
    <t>Adenocarcinoma</t>
  </si>
  <si>
    <t>Gingival Swelling</t>
  </si>
  <si>
    <t>Vertebral Foraminal Stenosis</t>
  </si>
  <si>
    <t>Gingival Recession</t>
  </si>
  <si>
    <t>Cervical Spinal Stenosis</t>
  </si>
  <si>
    <t>Pneumothorax</t>
  </si>
  <si>
    <t>Intervertebral Disc Compression</t>
  </si>
  <si>
    <t>Hand-Foot-And-Mouth Disease</t>
  </si>
  <si>
    <t>Amaurosis Fugax</t>
  </si>
  <si>
    <t>Scoliosis</t>
  </si>
  <si>
    <t>Spinal Flattening</t>
  </si>
  <si>
    <t>Device Related Sepsis</t>
  </si>
  <si>
    <t>Device Failure</t>
  </si>
  <si>
    <t>Fibrosis</t>
  </si>
  <si>
    <t>Phalen's Test Positive</t>
  </si>
  <si>
    <t>Orthopnoea</t>
  </si>
  <si>
    <t>Eye Laser Surgery</t>
  </si>
  <si>
    <t>Retinal Tear</t>
  </si>
  <si>
    <t>Lymphadenectomy</t>
  </si>
  <si>
    <t>Effusion</t>
  </si>
  <si>
    <t>Pertussis</t>
  </si>
  <si>
    <t>Splenic Cyst</t>
  </si>
  <si>
    <t>Splenic</t>
  </si>
  <si>
    <t>Pulmonary Artery Thrombosis</t>
  </si>
  <si>
    <t>Breast Operation</t>
  </si>
  <si>
    <t>Cardiac Pacemaker Insertion</t>
  </si>
  <si>
    <t>Conduction Disorder</t>
  </si>
  <si>
    <t>Skin Atrophy</t>
  </si>
  <si>
    <t>Increased Tendency To Bruise</t>
  </si>
  <si>
    <t>Vena Cava Filter Insertion</t>
  </si>
  <si>
    <t>Major Depression</t>
  </si>
  <si>
    <t>Hip Arthroplasty</t>
  </si>
  <si>
    <t>Clear Cell Endometrial Carcinoma</t>
  </si>
  <si>
    <t>Endometrial Cancer Metastatic</t>
  </si>
  <si>
    <t>Large Intestine Polyp</t>
  </si>
  <si>
    <t>Gastrointestinal Surgery</t>
  </si>
  <si>
    <t>Prinzmetal Angina</t>
  </si>
  <si>
    <t>Demyelinating Polyneuropathy</t>
  </si>
  <si>
    <t>Mucosal Disorder</t>
  </si>
  <si>
    <t>Eyelid Oedema</t>
  </si>
  <si>
    <t>Fibromyalgia</t>
  </si>
  <si>
    <t>Labyrinthitis</t>
  </si>
  <si>
    <t>Hyporeflexia</t>
  </si>
  <si>
    <t>Atrial Tachycardia</t>
  </si>
  <si>
    <t>Cardiac Amyloidosis</t>
  </si>
  <si>
    <t>Uterine Polypectomy</t>
  </si>
  <si>
    <t>Biopsy Endometrium</t>
  </si>
  <si>
    <t>Hysteroscopy</t>
  </si>
  <si>
    <t>Myocardial Ischaemia</t>
  </si>
  <si>
    <t>Vascular Encephalopathy</t>
  </si>
  <si>
    <t>Endocervical Curettage</t>
  </si>
  <si>
    <t>Endometrial Hypertrophy</t>
  </si>
  <si>
    <t>Polypectomy</t>
  </si>
  <si>
    <t>Salpingo-Oophorectomy Bilateral</t>
  </si>
  <si>
    <t>Endometrial Atrophy</t>
  </si>
  <si>
    <t>Tracheal Ulcer</t>
  </si>
  <si>
    <t>Coronary Artery Embolism</t>
  </si>
  <si>
    <t>Coronary Artery Thrombosis</t>
  </si>
  <si>
    <t>Pulmonary Haemorrhage</t>
  </si>
  <si>
    <t>Cardiogenic Shock</t>
  </si>
  <si>
    <t>Coronary Artery Occlusion</t>
  </si>
  <si>
    <t>Coronary Angioplasty</t>
  </si>
  <si>
    <t>Ventricular Fibrillation</t>
  </si>
  <si>
    <t>Angioplasty</t>
  </si>
  <si>
    <t>Cardioversion</t>
  </si>
  <si>
    <t>Adnexa Uteri Cyst</t>
  </si>
  <si>
    <t>Uterine Prolapse</t>
  </si>
  <si>
    <t>Cervicitis Human Papilloma Virus</t>
  </si>
  <si>
    <t>Mastectomy</t>
  </si>
  <si>
    <t>Tumour Excision</t>
  </si>
  <si>
    <t>Coronary Artery Stenosis</t>
  </si>
  <si>
    <t>Arteriosclerosis Coronary Artery</t>
  </si>
  <si>
    <t>Joint Arthroplasty</t>
  </si>
  <si>
    <t>Ovarian Adenoma</t>
  </si>
  <si>
    <t>Intraocular Lens Implant</t>
  </si>
  <si>
    <t>Cystocele</t>
  </si>
  <si>
    <t>Prolapse Repair</t>
  </si>
  <si>
    <t>Stress Urinary Incontinence</t>
  </si>
  <si>
    <t>Callus Formation Delayed</t>
  </si>
  <si>
    <t>Adhesiolysis</t>
  </si>
  <si>
    <t>Bladder Dilatation</t>
  </si>
  <si>
    <t>Wrist Surgery</t>
  </si>
  <si>
    <t>Cerebrovascular Disorder</t>
  </si>
  <si>
    <t>Pancreatitis Necrotising</t>
  </si>
  <si>
    <t>Microangiopathic Haemolytic Anaemia</t>
  </si>
  <si>
    <t>Anaemia Of Malignant Disease</t>
  </si>
  <si>
    <t>Blood Alkaline Phosphatase</t>
  </si>
  <si>
    <t>Altered State Of Consciousness</t>
  </si>
  <si>
    <t>Thrombotic Thrombocytopenic Purpura</t>
  </si>
  <si>
    <t>Amylase Increased</t>
  </si>
  <si>
    <t>Biliary Colic</t>
  </si>
  <si>
    <t>Ventricular Hypokinesia</t>
  </si>
  <si>
    <t>Left Atrial Dilatation</t>
  </si>
  <si>
    <t>Iridocyclitis</t>
  </si>
  <si>
    <t>Uterine Disorder</t>
  </si>
  <si>
    <t>Wound Decomposition</t>
  </si>
  <si>
    <t>Dental Prosthesis Placement</t>
  </si>
  <si>
    <t>Osteonecrosis</t>
  </si>
  <si>
    <t>Oral Discharge</t>
  </si>
  <si>
    <t>Vein Disorder</t>
  </si>
  <si>
    <t>Myositis</t>
  </si>
  <si>
    <t>Echocardiogram Abnormal</t>
  </si>
  <si>
    <t>Stridor</t>
  </si>
  <si>
    <t>Endodontic Procedure</t>
  </si>
  <si>
    <t>Sequestrectomy</t>
  </si>
  <si>
    <t>Mouth Ulceration</t>
  </si>
  <si>
    <t>Oedema Mouth</t>
  </si>
  <si>
    <t>Paraesthesia Oral</t>
  </si>
  <si>
    <t>Paradoxical Embolism</t>
  </si>
  <si>
    <t>Electrocardiogram Ambulatory Abnormal</t>
  </si>
  <si>
    <t>Nystagmus</t>
  </si>
  <si>
    <t>Facial Paresis</t>
  </si>
  <si>
    <t>Iiird Nerve Disorder</t>
  </si>
  <si>
    <t>Carpal Tunnel Decompression</t>
  </si>
  <si>
    <t>Pemphigoid</t>
  </si>
  <si>
    <t>Pruritus Genital</t>
  </si>
  <si>
    <t>Diverticulum</t>
  </si>
  <si>
    <t>Lower Gastrointestinal Haemorrhage</t>
  </si>
  <si>
    <t>Bradycardia</t>
  </si>
  <si>
    <t>Ophthalmic Herpes Zoster</t>
  </si>
  <si>
    <t>Road Traffic Accident</t>
  </si>
  <si>
    <t>Optic Nerve Infarction</t>
  </si>
  <si>
    <t>Atrophy</t>
  </si>
  <si>
    <t>Hilar Lymphadenopathy</t>
  </si>
  <si>
    <t>Anal Skin Tag Excision</t>
  </si>
  <si>
    <t>Exostosis</t>
  </si>
  <si>
    <t>Muscle Strain</t>
  </si>
  <si>
    <t>Arthropod Bite</t>
  </si>
  <si>
    <t>Myelodysplastic Syndrome</t>
  </si>
  <si>
    <t>Epstein-Barr Virus Antibody Positive</t>
  </si>
  <si>
    <t>Bone Fragmentation</t>
  </si>
  <si>
    <t>Potentiating Drug Interaction</t>
  </si>
  <si>
    <t>Pharyngeal Oedema</t>
  </si>
  <si>
    <t>Soft Tissue Disorder</t>
  </si>
  <si>
    <t>Dementia Alzheimer's Type</t>
  </si>
  <si>
    <t>Cerebral Atrophy</t>
  </si>
  <si>
    <t>Dementia</t>
  </si>
  <si>
    <t>Hyperkeratosis</t>
  </si>
  <si>
    <t>Wisdom Teeth Removal</t>
  </si>
  <si>
    <t>Tumour Lysis Syndrome</t>
  </si>
  <si>
    <t>Peripheral Sensory Neuropathy</t>
  </si>
  <si>
    <t>Renal Cell Carcinoma</t>
  </si>
  <si>
    <t>Haemorrhage Urinary Tract</t>
  </si>
  <si>
    <t>Myofascial Pain Syndrome</t>
  </si>
  <si>
    <t>Blood Prolactin Increased</t>
  </si>
  <si>
    <t>Autoimmune Disorder</t>
  </si>
  <si>
    <t>Crest Syndrome</t>
  </si>
  <si>
    <t>Autoantibody Positive</t>
  </si>
  <si>
    <t>Blood Creatine Phosphokinase Mb</t>
  </si>
  <si>
    <t>Autoimmune Haemolytic Anaemia</t>
  </si>
  <si>
    <t>Coombs Test Positive</t>
  </si>
  <si>
    <t>Haptoglobin Decreased</t>
  </si>
  <si>
    <t>Reticulocyte Percentage Increased</t>
  </si>
  <si>
    <t>Ultrasound Scan Abnormal</t>
  </si>
  <si>
    <t>Breast Cancer Female</t>
  </si>
  <si>
    <t>Chronic Myeloid Leukaemia</t>
  </si>
  <si>
    <t>Erythema Multiforme</t>
  </si>
  <si>
    <t>Cytomegalovirus Infection</t>
  </si>
  <si>
    <t>Tenolysis</t>
  </si>
  <si>
    <t>Pericarditis</t>
  </si>
  <si>
    <t>Anterior Chamber Inflammation</t>
  </si>
  <si>
    <t>Intraocular Pressure Increased</t>
  </si>
  <si>
    <t>Creatinine Renal Clearance Decreased</t>
  </si>
  <si>
    <t>Chronic Lymphocytic Leukaemia</t>
  </si>
  <si>
    <t>Low Cardiac Output Syndrome</t>
  </si>
  <si>
    <t>Exercise Electrocardiogram Abnormal</t>
  </si>
  <si>
    <t>Ejection Fraction Abnormal</t>
  </si>
  <si>
    <t>Pleural Infection</t>
  </si>
  <si>
    <t>Adrenal Insufficiency</t>
  </si>
  <si>
    <t>Blood Aldosterone Increased</t>
  </si>
  <si>
    <t>Renin Increased</t>
  </si>
  <si>
    <t>Carcinoid Tumour Of The Gastrointestinal Tract</t>
  </si>
  <si>
    <t>Hyperaldosteronism</t>
  </si>
  <si>
    <t>Fat Tissue Increased</t>
  </si>
  <si>
    <t>Lip Disorder</t>
  </si>
  <si>
    <t>Intestinal Ischaemia</t>
  </si>
  <si>
    <t>Fibrin Degradation Products Increased</t>
  </si>
  <si>
    <t>Prothrombin Level Decreased</t>
  </si>
  <si>
    <t>Blood Fibrinogen Decreased</t>
  </si>
  <si>
    <t>Cortisol Decreased</t>
  </si>
  <si>
    <t>Organ System: Cardiac</t>
  </si>
  <si>
    <t>Organ System: Splenic</t>
  </si>
  <si>
    <t>Prostate Cancer</t>
  </si>
  <si>
    <t>Glioblastoma Multiforme</t>
  </si>
  <si>
    <t>Ligament Pain</t>
  </si>
  <si>
    <t>Infectious Pleural Effusion</t>
  </si>
  <si>
    <t>Urinary Tract Obstruction</t>
  </si>
  <si>
    <t>Eyes</t>
  </si>
  <si>
    <t>Granulocyte Count Increased</t>
  </si>
  <si>
    <t>Combined Data</t>
  </si>
  <si>
    <t>frequency</t>
  </si>
  <si>
    <t>Neurological</t>
  </si>
  <si>
    <t>Cardiovascular, Respiratory</t>
  </si>
  <si>
    <t>Cardiovascular,Renal</t>
  </si>
  <si>
    <t>Liver</t>
  </si>
  <si>
    <t>Gastrointestinal, Urinary</t>
  </si>
  <si>
    <t>Heart</t>
  </si>
  <si>
    <t>Hematopoietic, Liver</t>
  </si>
  <si>
    <t>Nervous System</t>
  </si>
  <si>
    <t>Psychiatric</t>
  </si>
  <si>
    <t>Gallbladder Empyema</t>
  </si>
  <si>
    <t>Bone Loss</t>
  </si>
  <si>
    <t>Bone Density Abnormal</t>
  </si>
  <si>
    <t>Multiple</t>
  </si>
  <si>
    <t>Body Height Decreased</t>
  </si>
  <si>
    <t>Product Container Issue</t>
  </si>
  <si>
    <t>Cholestasis</t>
  </si>
  <si>
    <t>Salivary Gland Cancer</t>
  </si>
  <si>
    <t>Bone Cancer</t>
  </si>
  <si>
    <t>Subcutaneous Abscess</t>
  </si>
  <si>
    <t>Musculoskeletal Pain</t>
  </si>
  <si>
    <t>Malnutrition</t>
  </si>
  <si>
    <t>Fluid &amp; Electrolyte</t>
  </si>
  <si>
    <t>Benign Neoplasm</t>
  </si>
  <si>
    <t>Dermatitis Exfoliative</t>
  </si>
  <si>
    <t>Nephropathy</t>
  </si>
  <si>
    <t>Cerebral Disorder</t>
  </si>
  <si>
    <t>Blindness Transient</t>
  </si>
  <si>
    <t>Exercise Tolerance Decreased</t>
  </si>
  <si>
    <t>Renal Function Test Abnormal</t>
  </si>
  <si>
    <t>Sunburn</t>
  </si>
  <si>
    <t>Underdose</t>
  </si>
  <si>
    <t>Iron Deficiency Anaemia</t>
  </si>
  <si>
    <t>Melanocytic Naevus</t>
  </si>
  <si>
    <t>White Blood Cells Urine Positive</t>
  </si>
  <si>
    <t>Eastern Cooperative Oncology Group Performance Status Worsened</t>
  </si>
  <si>
    <t>Blood Thyroid Stimulating Hormone Increased</t>
  </si>
  <si>
    <t>Peripheral Motor Neuropathy</t>
  </si>
  <si>
    <t>Blood Lactic Acid Increased</t>
  </si>
  <si>
    <t>Blood Glucose Abnormal</t>
  </si>
  <si>
    <t>White Blood Cell Disorder</t>
  </si>
  <si>
    <t>Fluid Intake Reduced</t>
  </si>
  <si>
    <t>Periorbital Dermatitis</t>
  </si>
  <si>
    <t>Spinal Operation</t>
  </si>
  <si>
    <t>Body Temperature Fluctuation</t>
  </si>
  <si>
    <t>Osteoporotic Fracture</t>
  </si>
  <si>
    <t>Dermatitis Bullous</t>
  </si>
  <si>
    <t>Cholangitis Sclerosing</t>
  </si>
  <si>
    <t>Dizziness Postural</t>
  </si>
  <si>
    <t>Oxygen Saturation Abnormal</t>
  </si>
  <si>
    <t>Adjustment Disorder With Anxiety</t>
  </si>
  <si>
    <t>Vein Collapse</t>
  </si>
  <si>
    <t>Anaemia Macrocytic</t>
  </si>
  <si>
    <t>Animal Bite</t>
  </si>
  <si>
    <t>Secretion Discharge</t>
  </si>
  <si>
    <t>Pulmonary Valve Incompetence</t>
  </si>
  <si>
    <t>Blood Magnesium Decreased</t>
  </si>
  <si>
    <t>Joint Injury</t>
  </si>
  <si>
    <t>Polymyalgia Rheumatica</t>
  </si>
  <si>
    <t>Medication Error</t>
  </si>
  <si>
    <t>Psychiatric Decompensation</t>
  </si>
  <si>
    <t>Escherichia Urinary Tract Infection</t>
  </si>
  <si>
    <t>Intertrigo</t>
  </si>
  <si>
    <t>Myopathy</t>
  </si>
  <si>
    <t>Head Discomfort</t>
  </si>
  <si>
    <t>Vestibular Disorder</t>
  </si>
  <si>
    <t>Subclavian Artery Thrombosis</t>
  </si>
  <si>
    <t>Subclavian Vein Thrombosis</t>
  </si>
  <si>
    <t>Knee Arthroplasty</t>
  </si>
  <si>
    <t>Fat Necrosis</t>
  </si>
  <si>
    <t>Intention Tremor</t>
  </si>
  <si>
    <t>Respiratory Syncytial Virus Infection</t>
  </si>
  <si>
    <t>Thrombocytopenic Purpura</t>
  </si>
  <si>
    <t>Device Breakage</t>
  </si>
  <si>
    <t>Sarcoma</t>
  </si>
  <si>
    <t>Cytopenia</t>
  </si>
  <si>
    <t>Vulvovaginal Pruritus</t>
  </si>
  <si>
    <t>Mouth Haemorrhage</t>
  </si>
  <si>
    <t>Magnetic Resonance Imaging Head Abnormal</t>
  </si>
  <si>
    <t>Tongue Paralysis</t>
  </si>
  <si>
    <t>Lacunar Infarction</t>
  </si>
  <si>
    <t>Vulvovaginitis</t>
  </si>
  <si>
    <t>Anorectal Discomfort</t>
  </si>
  <si>
    <t>Back Injury</t>
  </si>
  <si>
    <t>Nightmare</t>
  </si>
  <si>
    <t>Ovarian Disorder</t>
  </si>
  <si>
    <t>Gingival Pain</t>
  </si>
  <si>
    <t>Tooth Injury</t>
  </si>
  <si>
    <t>Alpha Hydroxybutyrate Dehydrogenase Increased</t>
  </si>
  <si>
    <t>Hypernatraemia</t>
  </si>
  <si>
    <t>Urinary Occult Blood Positive</t>
  </si>
  <si>
    <t>Vascular Wall Hypertrophy</t>
  </si>
  <si>
    <t>Therapeutic Response Shortened</t>
  </si>
  <si>
    <t>Hair Texture Abnormal</t>
  </si>
  <si>
    <t>Intraosseous Access Placement</t>
  </si>
  <si>
    <t>Interleukin Level Increased</t>
  </si>
  <si>
    <t>Prealbumin Decreased</t>
  </si>
  <si>
    <t>Amylase Decreased</t>
  </si>
  <si>
    <t>Blood Triglycerides Decreased</t>
  </si>
  <si>
    <t>Lymphangitis</t>
  </si>
  <si>
    <t>Duodenal Ulcer</t>
  </si>
  <si>
    <t>Protein Total Decreased</t>
  </si>
  <si>
    <t>Pancreatic Steatosis</t>
  </si>
  <si>
    <t>Plateletcrit Decreased</t>
  </si>
  <si>
    <t>Forced Vital Capacity Decreased</t>
  </si>
  <si>
    <t>Motor Dysfunction</t>
  </si>
  <si>
    <t>Temperature Intolerance</t>
  </si>
  <si>
    <t>Extra Dose Administered</t>
  </si>
  <si>
    <t>Meniscus Injury</t>
  </si>
  <si>
    <t>Phobia Of Driving</t>
  </si>
  <si>
    <t>Product Dispensing Error</t>
  </si>
  <si>
    <t>Paralysis Recurrent Laryngeal Nerve</t>
  </si>
  <si>
    <t>Squamous Cell Carcinoma Of Skin</t>
  </si>
  <si>
    <t>Precancerous Skin Lesion</t>
  </si>
  <si>
    <t>Acute Respiratory Failure</t>
  </si>
  <si>
    <t>Hemiparesis</t>
  </si>
  <si>
    <t>Poisoning Deliberate</t>
  </si>
  <si>
    <t>Grip Strength Decreased</t>
  </si>
  <si>
    <t>Skin Wound</t>
  </si>
  <si>
    <t>Blood Creatinine Decreased</t>
  </si>
  <si>
    <t>Glomerular Filtration Rate Abnormal</t>
  </si>
  <si>
    <t>Frequent Bowel Movements</t>
  </si>
  <si>
    <t>Heat Exhaustion</t>
  </si>
  <si>
    <t>Volvulus</t>
  </si>
  <si>
    <t>Fracture Displacement</t>
  </si>
  <si>
    <t>Infusion Related Reaction</t>
  </si>
  <si>
    <t>Urge Incontinence</t>
  </si>
  <si>
    <t>Hypertrichosis</t>
  </si>
  <si>
    <t>Hypervolaemia</t>
  </si>
  <si>
    <t>Tumour Ulceration</t>
  </si>
  <si>
    <t>Cardio-Respiratory Arrest</t>
  </si>
  <si>
    <t>Rhinovirus Infection</t>
  </si>
  <si>
    <t>Microcytic Anaemia</t>
  </si>
  <si>
    <t>Skin Irritation</t>
  </si>
  <si>
    <t>Polyp</t>
  </si>
  <si>
    <t>Keratouveitis</t>
  </si>
  <si>
    <t>Herpes Ophthalmic</t>
  </si>
  <si>
    <t>Open Angle Glaucoma</t>
  </si>
  <si>
    <t>Anaemia Folate Deficiency</t>
  </si>
  <si>
    <t>Paranasal Sinus Hypersecretion</t>
  </si>
  <si>
    <t>Calcinosis</t>
  </si>
  <si>
    <t>Cardiac Discomfort</t>
  </si>
  <si>
    <t>Adenocarcinoma Pancreas</t>
  </si>
  <si>
    <t>Cardiomyopathy</t>
  </si>
  <si>
    <t>Peripheral Artery Occlusion</t>
  </si>
  <si>
    <t>Therapeutic Product Effect Incomplete</t>
  </si>
  <si>
    <t>Surgical</t>
  </si>
  <si>
    <t>Obstruction</t>
  </si>
  <si>
    <t>Eosinophilia</t>
  </si>
  <si>
    <t>Sleep Disorder Due To A General Medical Condition</t>
  </si>
  <si>
    <t>Renal Vein Thrombosis</t>
  </si>
  <si>
    <t>N-Terminal Prohormone Brain Natriuretic Peptide Increased</t>
  </si>
  <si>
    <t>Blood Phosphorus Decreased</t>
  </si>
  <si>
    <t>Pelvic Fracture</t>
  </si>
  <si>
    <t>Abdominal Hernia</t>
  </si>
  <si>
    <t>Language Disorder</t>
  </si>
  <si>
    <t>Toxic Neuropathy</t>
  </si>
  <si>
    <t>Social Problem</t>
  </si>
  <si>
    <t>Cardiovascular Insufficiency</t>
  </si>
  <si>
    <t>Intentional Overdose</t>
  </si>
  <si>
    <t>Breath Holding</t>
  </si>
  <si>
    <t>Thoracic Vertebral Fracture</t>
  </si>
  <si>
    <t>Product Administration Interrupted</t>
  </si>
  <si>
    <t>Pneumonia Aspiration</t>
  </si>
  <si>
    <t>Large Intestine Perforation</t>
  </si>
  <si>
    <t>Reversible Cerebral Vasoconstriction Syndrome</t>
  </si>
  <si>
    <t>Ulcerative Keratitis</t>
  </si>
  <si>
    <t>Eye Infection</t>
  </si>
  <si>
    <t>Hepatic Echinococciasis</t>
  </si>
  <si>
    <t>Infectious Disease</t>
  </si>
  <si>
    <t>Atrial Flutter</t>
  </si>
  <si>
    <t>Product Selection Error</t>
  </si>
  <si>
    <t>Reading Disorder</t>
  </si>
  <si>
    <t>Vitamin B12 Increased</t>
  </si>
  <si>
    <t>Menopausal Symptoms</t>
  </si>
  <si>
    <t>Fear Of Injection</t>
  </si>
  <si>
    <t>Spinal Disorder</t>
  </si>
  <si>
    <t>Food Interaction</t>
  </si>
  <si>
    <t>Pharyngeal Swelling</t>
  </si>
  <si>
    <t>Ear Swelling</t>
  </si>
  <si>
    <t>Otolaryngology</t>
  </si>
  <si>
    <t>Toe Operation</t>
  </si>
  <si>
    <t>Product Dose Omission In Error</t>
  </si>
  <si>
    <t>New Daily Persistent Headache</t>
  </si>
  <si>
    <t>Urinary Tract Pain</t>
  </si>
  <si>
    <t>Blood Urine</t>
  </si>
  <si>
    <t>Blood Uric Acid Abnormal</t>
  </si>
  <si>
    <t>Corneal Erosion</t>
  </si>
  <si>
    <t>Tinea Pedis</t>
  </si>
  <si>
    <t>Dyshidrotic Eczema</t>
  </si>
  <si>
    <t>Cachexia</t>
  </si>
  <si>
    <t>Inflammatory Marker Increased</t>
  </si>
  <si>
    <t>Anuria</t>
  </si>
  <si>
    <t>Prerenal Failure</t>
  </si>
  <si>
    <t>Hypercapnia</t>
  </si>
  <si>
    <t>Febrile Bone Marrow Aplasia</t>
  </si>
  <si>
    <t>Gastroenteritis Radiation</t>
  </si>
  <si>
    <t>Metabolic Encephalopathy</t>
  </si>
  <si>
    <t>Peri-Implantitis</t>
  </si>
  <si>
    <t>Onychomadesis</t>
  </si>
  <si>
    <t>Faecaloma</t>
  </si>
  <si>
    <t>Mastitis Fungal</t>
  </si>
  <si>
    <t>Sputum Increased</t>
  </si>
  <si>
    <t>Osteitis</t>
  </si>
  <si>
    <t>Splenic Infarction</t>
  </si>
  <si>
    <t>Spleen</t>
  </si>
  <si>
    <t>Splenic Artery Thrombosis</t>
  </si>
  <si>
    <t>Tooth Infection</t>
  </si>
  <si>
    <t>Intervertebral Disc Displacement</t>
  </si>
  <si>
    <t>Pharyngeal Disorder</t>
  </si>
  <si>
    <t>Sinus Pain</t>
  </si>
  <si>
    <t>Blood Pressure Inadequately Controlled</t>
  </si>
  <si>
    <t>Myasthenia Gravis</t>
  </si>
  <si>
    <t>Tachyarrhythmia</t>
  </si>
  <si>
    <t>Jaundice Cholestatic</t>
  </si>
  <si>
    <t>Vaginal Infection</t>
  </si>
  <si>
    <t>Mucosal Infection</t>
  </si>
  <si>
    <t>Progesterone Receptor Assay Positive</t>
  </si>
  <si>
    <t>Oestrogen Receptor Assay Positive</t>
  </si>
  <si>
    <t>Middle Insomnia</t>
  </si>
  <si>
    <t>Cardiovascular Disorder</t>
  </si>
  <si>
    <t>Immune Thrombocytopenia</t>
  </si>
  <si>
    <t>Therapy Interrupted</t>
  </si>
  <si>
    <t>Oesophagitis Ulcerative</t>
  </si>
  <si>
    <t>Gastrointestinal Angiodysplasia</t>
  </si>
  <si>
    <t>Escherichia Bacteraemia</t>
  </si>
  <si>
    <t>Scratch</t>
  </si>
  <si>
    <t>Vaccination Failure</t>
  </si>
  <si>
    <t>Embolism</t>
  </si>
  <si>
    <t>Retinal Fibrosis</t>
  </si>
  <si>
    <t>Epiretinal Membrane</t>
  </si>
  <si>
    <t>Lens Disorder</t>
  </si>
  <si>
    <t>Vitreoretinal Traction Syndrome</t>
  </si>
  <si>
    <t>Macular Hole</t>
  </si>
  <si>
    <t>Astigmatism</t>
  </si>
  <si>
    <t>Oesophageal Candidiasis</t>
  </si>
  <si>
    <t>Systemic Candida</t>
  </si>
  <si>
    <t>Humerus Fracture</t>
  </si>
  <si>
    <t>Pancreatitis Chronic</t>
  </si>
  <si>
    <t>Chronic Gastritis</t>
  </si>
  <si>
    <t>Impaired Gastric Emptying</t>
  </si>
  <si>
    <t>Near Death Experience</t>
  </si>
  <si>
    <t>Oesophageal Disorder</t>
  </si>
  <si>
    <t>Spinal Cord Oedema</t>
  </si>
  <si>
    <t>Pharyngeal Ulceration</t>
  </si>
  <si>
    <t>Fanconi Syndrome</t>
  </si>
  <si>
    <t>Hypophosphataemic Osteomalacia</t>
  </si>
  <si>
    <t>Papilloedema</t>
  </si>
  <si>
    <t>Age-Related Macular Degeneration</t>
  </si>
  <si>
    <t>Urinary Bladder Haemorrhage</t>
  </si>
  <si>
    <t>Serotonin Syndrome</t>
  </si>
  <si>
    <t>Fanconi Syndrome Acquired</t>
  </si>
  <si>
    <t>Surgery</t>
  </si>
  <si>
    <t>Palmar Erythema</t>
  </si>
  <si>
    <t>Skin Fissures</t>
  </si>
  <si>
    <t>Myelopathy</t>
  </si>
  <si>
    <t>Oral Candidiasis</t>
  </si>
  <si>
    <t>Metastases To Nervous System</t>
  </si>
  <si>
    <t>Oral Fungal Infection</t>
  </si>
  <si>
    <t>Bundle Branch Block Right</t>
  </si>
  <si>
    <t>Normocytic Anaemia</t>
  </si>
  <si>
    <t>Intestinal Perforation</t>
  </si>
  <si>
    <t>Myopia</t>
  </si>
  <si>
    <t>Incorrect Product Administration Duration</t>
  </si>
  <si>
    <t>Brachial Plexus Injury</t>
  </si>
  <si>
    <t>Bladder Cancer</t>
  </si>
  <si>
    <t>Compression Fracture</t>
  </si>
  <si>
    <t>Walking Disability</t>
  </si>
  <si>
    <t>Product Dispensing Issue</t>
  </si>
  <si>
    <t>Cerebral Microangiopathy</t>
  </si>
  <si>
    <t>Basal Ganglia Infarction</t>
  </si>
  <si>
    <t>Anhedonia</t>
  </si>
  <si>
    <t>Cervix Carcinoma</t>
  </si>
  <si>
    <t>Kidney Fibrosis</t>
  </si>
  <si>
    <t>Bile Duct Stenosis</t>
  </si>
  <si>
    <t>Product Odour Abnormal</t>
  </si>
  <si>
    <t>Infected Cyst</t>
  </si>
  <si>
    <t>Haematemesis</t>
  </si>
  <si>
    <t>Product Use Complaint</t>
  </si>
  <si>
    <t>Ventricular Tachycardia</t>
  </si>
  <si>
    <t>Vasculitis</t>
  </si>
  <si>
    <t>Skin Discolouration</t>
  </si>
  <si>
    <t>Pulmonary Infarction</t>
  </si>
  <si>
    <t>Metastases To Pleura</t>
  </si>
  <si>
    <t>Sciatica</t>
  </si>
  <si>
    <t>Lymphoma</t>
  </si>
  <si>
    <t>Genital Discomfort</t>
  </si>
  <si>
    <t>Glycosylated Haemoglobin Abnormal</t>
  </si>
  <si>
    <t>Optic Neuritis</t>
  </si>
  <si>
    <t>Metastases To Heart</t>
  </si>
  <si>
    <t>Hydrothorax</t>
  </si>
  <si>
    <t>Wrong Technique In Product Usage Process</t>
  </si>
  <si>
    <t>Cerebral Venous Thrombosis</t>
  </si>
  <si>
    <t>Vulvovaginal Mycotic Infection</t>
  </si>
  <si>
    <t>Pneumonitis Chemical</t>
  </si>
  <si>
    <t>Mucosal Pain</t>
  </si>
  <si>
    <t>Dental Discomfort</t>
  </si>
  <si>
    <t>Gastrointestinal Pain</t>
  </si>
  <si>
    <t>Defaecation Urgency</t>
  </si>
  <si>
    <t>Supraventricular Tachyarrhythmia</t>
  </si>
  <si>
    <t>International Normalised Ratio Decreased</t>
  </si>
  <si>
    <t>Rotavirus Infection</t>
  </si>
  <si>
    <t>Sinus Arrhythmia</t>
  </si>
  <si>
    <t>Cardiac Valve Sclerosis</t>
  </si>
  <si>
    <t>Eyelids Pruritus</t>
  </si>
  <si>
    <t>Lip Pain</t>
  </si>
  <si>
    <t>Aortic Aneurysm</t>
  </si>
  <si>
    <t>Weight Fluctuation</t>
  </si>
  <si>
    <t>Gallbladder Operation</t>
  </si>
  <si>
    <t>Neuroendocrine Carcinoma</t>
  </si>
  <si>
    <t>Perfume Sensitivity</t>
  </si>
  <si>
    <t>Intentional Product Use Issue</t>
  </si>
  <si>
    <t>Metastases To Chest Wall</t>
  </si>
  <si>
    <t>Rhinalgia</t>
  </si>
  <si>
    <t>Fasciotomy</t>
  </si>
  <si>
    <t>Oesophageal Stenosis</t>
  </si>
  <si>
    <t>Intestinal Haemorrhage</t>
  </si>
  <si>
    <t>Listless</t>
  </si>
  <si>
    <t>Superior Vena Cava Syndrome</t>
  </si>
  <si>
    <t>Subarachnoid Haemorrhage</t>
  </si>
  <si>
    <t>Intentional Self-Injury</t>
  </si>
  <si>
    <t>Dyspnoea At Rest</t>
  </si>
  <si>
    <t>Nail Toxicity</t>
  </si>
  <si>
    <t>Injection Site Hypersensitivity</t>
  </si>
  <si>
    <t>Adenomyosis</t>
  </si>
  <si>
    <t>Hormone Receptor Positive Breast Cancer</t>
  </si>
  <si>
    <t>Organ Failure</t>
  </si>
  <si>
    <t>Dyslalia</t>
  </si>
  <si>
    <t>Cerebral Artery Stenosis</t>
  </si>
  <si>
    <t>Invasive Lobular Breast Carcinoma</t>
  </si>
  <si>
    <t>Trigeminal Nerve Disorder</t>
  </si>
  <si>
    <t>Trigeminal Neuralgia</t>
  </si>
  <si>
    <t>Sitting Disability</t>
  </si>
  <si>
    <t>Peripheral Sensorimotor Neuropathy</t>
  </si>
  <si>
    <t>Pseudarthrosis</t>
  </si>
  <si>
    <t>Atypical Femur Fracture</t>
  </si>
  <si>
    <t>Paraneoplastic Arthritis</t>
  </si>
  <si>
    <t>Angioedema</t>
  </si>
  <si>
    <t>Metastases To Stomach</t>
  </si>
  <si>
    <t>Right Atrial Dilatation</t>
  </si>
  <si>
    <t>Skin Laceration</t>
  </si>
  <si>
    <t>Pulmonary Congestion</t>
  </si>
  <si>
    <t>Dysgraphia</t>
  </si>
  <si>
    <t>Invasive Breast Carcinoma</t>
  </si>
  <si>
    <t>Mixed Liver Injury</t>
  </si>
  <si>
    <t>Pneumonia Chlamydial</t>
  </si>
  <si>
    <t>Corneal Disorder</t>
  </si>
  <si>
    <t>Erythema Of Eyelid</t>
  </si>
  <si>
    <t>Dry Throat</t>
  </si>
  <si>
    <t>Jaw Disorder</t>
  </si>
  <si>
    <t>International Normalised Ratio Abnormal</t>
  </si>
  <si>
    <t>Blood Urea Abnormal</t>
  </si>
  <si>
    <t>Eyelid Margin Crusting</t>
  </si>
  <si>
    <t>Aversion</t>
  </si>
  <si>
    <t>Blood Sodium Increased</t>
  </si>
  <si>
    <t>Oral Herpes</t>
  </si>
  <si>
    <t>High Density Lipoprotein Abnormal</t>
  </si>
  <si>
    <t>Ligament Sprain</t>
  </si>
  <si>
    <t>Gingival Erythema</t>
  </si>
  <si>
    <t>Blood Cholesterol Abnormal</t>
  </si>
  <si>
    <t>Tension Headache</t>
  </si>
  <si>
    <t>Petit Mal Epilepsy</t>
  </si>
  <si>
    <t>Morton's Neuralgia</t>
  </si>
  <si>
    <t>Red Blood Cell Sedimentation Rate Increased</t>
  </si>
  <si>
    <t>Catheter Site Pain</t>
  </si>
  <si>
    <t>Nasal Injury</t>
  </si>
  <si>
    <t>Blood Potassium Abnormal</t>
  </si>
  <si>
    <t>Nasal Ulcer</t>
  </si>
  <si>
    <t>Scab</t>
  </si>
  <si>
    <t>C-Reactive Protein Abnormal</t>
  </si>
  <si>
    <t>Electric Shock Sensation</t>
  </si>
  <si>
    <t>Rouleaux Formation</t>
  </si>
  <si>
    <t>Limb Deformity</t>
  </si>
  <si>
    <t>Thyroid Mass</t>
  </si>
  <si>
    <t>Yawning</t>
  </si>
  <si>
    <t>Viral Diarrhoea</t>
  </si>
  <si>
    <t>Alcoholic Liver Disease</t>
  </si>
  <si>
    <t>Anaphylactic Shock</t>
  </si>
  <si>
    <t>Abscess Intestinal</t>
  </si>
  <si>
    <t>Temporomandibular Pain And Dysfunction Syndrome</t>
  </si>
  <si>
    <t>Bronchiectasis</t>
  </si>
  <si>
    <t>Vitamin B12 Deficiency</t>
  </si>
  <si>
    <t>Hyperpyrexia</t>
  </si>
  <si>
    <t>Injection Site Warmth</t>
  </si>
  <si>
    <t>Ocular Discomfort</t>
  </si>
  <si>
    <t>Retinal Artery Occlusion</t>
  </si>
  <si>
    <t>Infarction</t>
  </si>
  <si>
    <t>Retroperitoneal Abscess</t>
  </si>
  <si>
    <t>Small Cell Lung Cancer</t>
  </si>
  <si>
    <t>Urine Abnormality</t>
  </si>
  <si>
    <t>Muscle Injury</t>
  </si>
  <si>
    <t>Pubic Pain</t>
  </si>
  <si>
    <t>Skin Wrinkling</t>
  </si>
  <si>
    <t>Catarrh</t>
  </si>
  <si>
    <t>Lip Injury</t>
  </si>
  <si>
    <t>Myoglobin Blood Increased</t>
  </si>
  <si>
    <t>Breast Discharge</t>
  </si>
  <si>
    <t>Lymphocytic Leukaemia</t>
  </si>
  <si>
    <t>Therapy Change</t>
  </si>
  <si>
    <t>Lung Cyst</t>
  </si>
  <si>
    <t>Negative Thoughts</t>
  </si>
  <si>
    <t>Weight Loss Poor</t>
  </si>
  <si>
    <t>Phrenic Nerve Paralysis</t>
  </si>
  <si>
    <t>Oral Infection</t>
  </si>
  <si>
    <t>Diaphragmatic Paralysis</t>
  </si>
  <si>
    <t>Oxygen Consumption Increased</t>
  </si>
  <si>
    <t>Colon Cancer</t>
  </si>
  <si>
    <t>Blood Disorder</t>
  </si>
  <si>
    <t>Injection Site Haemorrhage</t>
  </si>
  <si>
    <t>Injection Site Pruritus</t>
  </si>
  <si>
    <t>Poor Quality Product Administered</t>
  </si>
  <si>
    <t>Product Packaging Issue</t>
  </si>
  <si>
    <t>Haematocrit Abnormal</t>
  </si>
  <si>
    <t>Metastases To Thorax</t>
  </si>
  <si>
    <t>Red Cell Distribution Width Abnormal</t>
  </si>
  <si>
    <t>Lipomatosis</t>
  </si>
  <si>
    <t>Mean Platelet Volume Abnormal</t>
  </si>
  <si>
    <t>Gastric Haemorrhage</t>
  </si>
  <si>
    <t>Perioral Dermatitis</t>
  </si>
  <si>
    <t>Cheilitis</t>
  </si>
  <si>
    <t>Metastases To Kidney</t>
  </si>
  <si>
    <t>Peroneal Nerve Palsy</t>
  </si>
  <si>
    <t>Food Craving</t>
  </si>
  <si>
    <t>Bladder Discomfort</t>
  </si>
  <si>
    <t>Abnormal Faeces</t>
  </si>
  <si>
    <t>Antiphospholipid Antibodies Positive</t>
  </si>
  <si>
    <t>Sudden Cardiac Death</t>
  </si>
  <si>
    <t>Gastric Ulcer</t>
  </si>
  <si>
    <t>Metastases To Adrenals</t>
  </si>
  <si>
    <t>Failure To Thrive</t>
  </si>
  <si>
    <t>Tumour Marker Decreased</t>
  </si>
  <si>
    <t>Accidental Overdose</t>
  </si>
  <si>
    <t>Pyoderma Gangrenosum</t>
  </si>
  <si>
    <t>Aortic Valve Stenosis</t>
  </si>
  <si>
    <t>Hepatitis B Reactivation</t>
  </si>
  <si>
    <t>Seasonal Allergy</t>
  </si>
  <si>
    <t>Enterococcus Test Positive</t>
  </si>
  <si>
    <t>Acute Pulmonary Oedema</t>
  </si>
  <si>
    <t>Duodenal Perforation</t>
  </si>
  <si>
    <t>Mononuclear Cell Count Increased</t>
  </si>
  <si>
    <t>Electrocardiogram Pr Shortened</t>
  </si>
  <si>
    <t>Excessive Granulation Tissue</t>
  </si>
  <si>
    <t>Rectal Lesion</t>
  </si>
  <si>
    <t>Electrocardiogram Repolarisation Abnormality</t>
  </si>
  <si>
    <t>Atrioventricular Conduction Time Shortened</t>
  </si>
  <si>
    <t>Erythroblast Count</t>
  </si>
  <si>
    <t>Metastases To Bladder</t>
  </si>
  <si>
    <t>Blood Electrolytes Increased</t>
  </si>
  <si>
    <t>Mean Cell Volume</t>
  </si>
  <si>
    <t>Solar Lentigo</t>
  </si>
  <si>
    <t>Extrasystoles</t>
  </si>
  <si>
    <t>Cystitis Radiation</t>
  </si>
  <si>
    <t>Bladder Pain</t>
  </si>
  <si>
    <t>Dialysis</t>
  </si>
  <si>
    <t>Impaired Driving Ability</t>
  </si>
  <si>
    <t>Multiple-Drug Resistance</t>
  </si>
  <si>
    <t>Breast Enlargement</t>
  </si>
  <si>
    <t>Regurgitation</t>
  </si>
  <si>
    <t>Macular Scar</t>
  </si>
  <si>
    <t>Upper Gastrointestinal Haemorrhage</t>
  </si>
  <si>
    <t>Vitrectomy</t>
  </si>
  <si>
    <t>Ureteral Disorder</t>
  </si>
  <si>
    <t>Meningitis Aseptic</t>
  </si>
  <si>
    <t>Adrenocorticotropic Hormone Deficiency</t>
  </si>
  <si>
    <t>Gallbladder Oedema</t>
  </si>
  <si>
    <t>Myosclerosis</t>
  </si>
  <si>
    <t>Adverse Reaction</t>
  </si>
  <si>
    <t>Gastric Antral Vascular Ectasia</t>
  </si>
  <si>
    <t>Pyloric Stenosis</t>
  </si>
  <si>
    <t>Product Packaging Difficult To Open</t>
  </si>
  <si>
    <t>Intervertebral Discitis</t>
  </si>
  <si>
    <t>Bone Marrow Oedema</t>
  </si>
  <si>
    <t>Saliva Altered</t>
  </si>
  <si>
    <t>Prescribed Overdose</t>
  </si>
  <si>
    <t>Vein Discolouration</t>
  </si>
  <si>
    <t>Skin Hypopigmentation</t>
  </si>
  <si>
    <t>Vitiligo</t>
  </si>
  <si>
    <t>Sensitivity To Weather Change</t>
  </si>
  <si>
    <t>Anorectal Disorder</t>
  </si>
  <si>
    <t>Fear Of Falling</t>
  </si>
  <si>
    <t>Hair Colour Changes</t>
  </si>
  <si>
    <t>Procalcitonin Increased</t>
  </si>
  <si>
    <t>Pneumonia Cytomegaloviral</t>
  </si>
  <si>
    <t>Adjusted Calcium Increased</t>
  </si>
  <si>
    <t>Activated Partial Thromboplastin Time Prolonged</t>
  </si>
  <si>
    <t>Vitamin B12 Decreased</t>
  </si>
  <si>
    <t>Escherichia Sepsis</t>
  </si>
  <si>
    <t>Differential White Blood Cell Count Abnormal</t>
  </si>
  <si>
    <t>Neutrophil Percentage Decreased</t>
  </si>
  <si>
    <t>Lymphocyte Percentage Increased</t>
  </si>
  <si>
    <t>Antineutrophil Cytoplasmic Antibody Positive</t>
  </si>
  <si>
    <t>Distractibility</t>
  </si>
  <si>
    <t>Coeliac Disease</t>
  </si>
  <si>
    <t>Bradyphrenia</t>
  </si>
  <si>
    <t>Phlebitis</t>
  </si>
  <si>
    <t>Subdural Haematoma</t>
  </si>
  <si>
    <t>Bladder Irritation</t>
  </si>
  <si>
    <t>Polyglandular Autoimmune Syndrome Type Ii</t>
  </si>
  <si>
    <t>Hypophysitis</t>
  </si>
  <si>
    <t>Cutaneous Vasculitis</t>
  </si>
  <si>
    <t>Hepatic Necrosis</t>
  </si>
  <si>
    <t>Vulvovaginal Candidiasis</t>
  </si>
  <si>
    <t>Temperature Regulation Disorder</t>
  </si>
  <si>
    <t>Psychomotor Disadaptation Syndrome</t>
  </si>
  <si>
    <t>Superinfection</t>
  </si>
  <si>
    <t>Primary Hypothyroidism</t>
  </si>
  <si>
    <t>Nasal Dryness</t>
  </si>
  <si>
    <t>Bronchopulmonary Aspergillosis</t>
  </si>
  <si>
    <t>Pulmonary Cavitation</t>
  </si>
  <si>
    <t>Computerised Tomogram Abnormal</t>
  </si>
  <si>
    <t>Atypical Mycobacterial Infection</t>
  </si>
  <si>
    <t>Cholecystitis Infective</t>
  </si>
  <si>
    <t>Carbon Dioxide Decreased</t>
  </si>
  <si>
    <t>Depersonalisation/Derealisation Disorder</t>
  </si>
  <si>
    <t>Chapped Lips</t>
  </si>
  <si>
    <t>Prescribed Underdose</t>
  </si>
  <si>
    <t>Endometrial Adenocarcinoma</t>
  </si>
  <si>
    <t>Paranoia</t>
  </si>
  <si>
    <t>Female Reproductive Tract Disorder</t>
  </si>
  <si>
    <t>Sneezing</t>
  </si>
  <si>
    <t>Stenosis</t>
  </si>
  <si>
    <t>Thyrotoxic Crisis</t>
  </si>
  <si>
    <t>Pharyngitis Streptococcal</t>
  </si>
  <si>
    <t>Hernia</t>
  </si>
  <si>
    <t>Ketoacidosis</t>
  </si>
  <si>
    <t>Bladder Disorder</t>
  </si>
  <si>
    <t>Uterine Infection</t>
  </si>
  <si>
    <t>Lens Dislocation</t>
  </si>
  <si>
    <t>Ventricular Flutter</t>
  </si>
  <si>
    <t>Soft Tissue Necrosis</t>
  </si>
  <si>
    <t>Tooth Development Disorder</t>
  </si>
  <si>
    <t>Nasal Crusting</t>
  </si>
  <si>
    <t>Blood Loss Anaemia</t>
  </si>
  <si>
    <t>Red Blood Cell Transfusion</t>
  </si>
  <si>
    <t>Glassy Eyes</t>
  </si>
  <si>
    <t>Upper-Airway Cough Syndrome</t>
  </si>
  <si>
    <t>Quadriplegia</t>
  </si>
  <si>
    <t>Post Procedural Inflammation</t>
  </si>
  <si>
    <t>Frustration Tolerance Decreased</t>
  </si>
  <si>
    <t>Nephrostomy</t>
  </si>
  <si>
    <t>Vascular Rupture</t>
  </si>
  <si>
    <t>Retinal Vascular Disorder</t>
  </si>
  <si>
    <t>Pelvic Venous Thrombosis</t>
  </si>
  <si>
    <t>Miliaria</t>
  </si>
  <si>
    <t>Thermal Burn</t>
  </si>
  <si>
    <t>Urine Ketone Body Present</t>
  </si>
  <si>
    <t>Vasculitic Rash</t>
  </si>
  <si>
    <t>Sjogren's Syndrome</t>
  </si>
  <si>
    <t>Blood Immunoglobulin G Increased</t>
  </si>
  <si>
    <t>Lordosis</t>
  </si>
  <si>
    <t>Osteochondrosis</t>
  </si>
  <si>
    <t>Blood Immunoglobulin A Increased</t>
  </si>
  <si>
    <t>Foreign Body Sensation In Eyes</t>
  </si>
  <si>
    <t>Fractured Sacrum</t>
  </si>
  <si>
    <t>Squamous Cell Carcinoma Of The Hypopharynx</t>
  </si>
  <si>
    <t>Bacterial Test Positive</t>
  </si>
  <si>
    <t>Migraine With Aura</t>
  </si>
  <si>
    <t>Hair Growth Rate Abnormal</t>
  </si>
  <si>
    <t>Skin</t>
  </si>
  <si>
    <t>Cor Pulmonale Acute</t>
  </si>
  <si>
    <t>Cardiorenal Syndrome</t>
  </si>
  <si>
    <t>Implant Site Pain</t>
  </si>
  <si>
    <t>Gastroduodenal Ulcer</t>
  </si>
  <si>
    <t>Activated Partial Thromboplastin Time Shortened</t>
  </si>
  <si>
    <t>Blood</t>
  </si>
  <si>
    <t>Blood Urea Decreased</t>
  </si>
  <si>
    <t>Red Blood Cells Urine Positive</t>
  </si>
  <si>
    <t>Pulmonary Thrombosis</t>
  </si>
  <si>
    <t>Small Intestinal Haemorrhage</t>
  </si>
  <si>
    <t>Blood Magnesium Increased</t>
  </si>
  <si>
    <t>Hospice Care</t>
  </si>
  <si>
    <t>NA</t>
  </si>
  <si>
    <t>Gastrointestinal Sounds Abnormal</t>
  </si>
  <si>
    <t>Aortic Valve Thickening</t>
  </si>
  <si>
    <t>Mitral Valve Thickening</t>
  </si>
  <si>
    <t>Radiation Associated Pain</t>
  </si>
  <si>
    <t>Aortic Valve Sclerosis</t>
  </si>
  <si>
    <t>Mitral Valve Calcification</t>
  </si>
  <si>
    <t>Urobilinogen Urine Increased</t>
  </si>
  <si>
    <t>Non-High-Density Lipoprotein Cholesterol Increased</t>
  </si>
  <si>
    <t>Metaplastic Breast Carcinoma</t>
  </si>
  <si>
    <t>Breast</t>
  </si>
  <si>
    <t>Strangulated Hernia</t>
  </si>
  <si>
    <t>Non-Small Cell Lung Cancer</t>
  </si>
  <si>
    <t>Dengue Fever</t>
  </si>
  <si>
    <t>Squamous Cell Carcinoma Of Lung</t>
  </si>
  <si>
    <t>Diabetic Metabolic Decompensation</t>
  </si>
  <si>
    <t>Fungal Foot Infection</t>
  </si>
  <si>
    <t>Cold Sweat</t>
  </si>
  <si>
    <t>Deformity</t>
  </si>
  <si>
    <t>Disability</t>
  </si>
  <si>
    <t>Rheumatoid Factor Positive</t>
  </si>
  <si>
    <t>Rheumatoid Factor Increased</t>
  </si>
  <si>
    <t>Ischaemic Cerebral Infarction</t>
  </si>
  <si>
    <t>Hair Disorder</t>
  </si>
  <si>
    <t>Pigmentation Disorder</t>
  </si>
  <si>
    <t>Myelitis</t>
  </si>
  <si>
    <t>Nail Growth Abnormal</t>
  </si>
  <si>
    <t>Cochlea Implant</t>
  </si>
  <si>
    <t>Ear</t>
  </si>
  <si>
    <t>Food Aversion</t>
  </si>
  <si>
    <t>Deafness Bilateral</t>
  </si>
  <si>
    <t>Tachyphrenia</t>
  </si>
  <si>
    <t>Limb Mass</t>
  </si>
  <si>
    <t>Urethral Haemorrhage</t>
  </si>
  <si>
    <t>Oesophageal Varices Haemorrhage</t>
  </si>
  <si>
    <t>Cardiac Valve Disease</t>
  </si>
  <si>
    <t>Pulmonary Arterial Pressure Increased</t>
  </si>
  <si>
    <t>Vascular Calcification</t>
  </si>
  <si>
    <t>Jc Virus Infection</t>
  </si>
  <si>
    <t>Progressive Multifocal Leukoencephalopathy</t>
  </si>
  <si>
    <t>Neurological Symptom</t>
  </si>
  <si>
    <t>Metabolic Function Test Abnormal</t>
  </si>
  <si>
    <t>Positron Emission Tomogram Abnormal</t>
  </si>
  <si>
    <t>Pneumonia Influenzal</t>
  </si>
  <si>
    <t>Oropharyngeal Spasm</t>
  </si>
  <si>
    <t>Opportunistic Infection</t>
  </si>
  <si>
    <t>Treatment Noncompliance</t>
  </si>
  <si>
    <t>Uterine Spasm</t>
  </si>
  <si>
    <t>Eye</t>
  </si>
  <si>
    <t>Mania</t>
  </si>
  <si>
    <t>Idiopathic Pulmonary Fibrosis</t>
  </si>
  <si>
    <t>Folliculitis</t>
  </si>
  <si>
    <t>Bone Marrow Oedema Syndrome</t>
  </si>
  <si>
    <t>Back Disorder</t>
  </si>
  <si>
    <t>Abscess Oral</t>
  </si>
  <si>
    <t>Creutzfeldt-Jakob Disease</t>
  </si>
  <si>
    <t>Fine Motor Skill Dysfunction</t>
  </si>
  <si>
    <t>Granulocyte Count Decreased</t>
  </si>
  <si>
    <t>Vaginal Operation</t>
  </si>
  <si>
    <t>Tuberculosis</t>
  </si>
  <si>
    <t>Helicobacter Gastritis</t>
  </si>
  <si>
    <t>Enterovesical Fistula</t>
  </si>
  <si>
    <t>Respiratory Symptom</t>
  </si>
  <si>
    <t>Weight Gain Poor</t>
  </si>
  <si>
    <t>Uterine Malposition</t>
  </si>
  <si>
    <t>Retroperitoneal Lymphadenopathy</t>
  </si>
  <si>
    <t>Retroperitoneal Neoplasm</t>
  </si>
  <si>
    <t>Adrenal Adenoma</t>
  </si>
  <si>
    <t>Vasodilatation</t>
  </si>
  <si>
    <t>Breast Cancer Stage I</t>
  </si>
  <si>
    <t>Blood Oestrogen Increased</t>
  </si>
  <si>
    <t>Bartter's Syndrome</t>
  </si>
  <si>
    <t>Hepatitis E Antibody Positive</t>
  </si>
  <si>
    <t>Cells In Urine</t>
  </si>
  <si>
    <t>Sacralisation</t>
  </si>
  <si>
    <t>Hyperreflexia</t>
  </si>
  <si>
    <t>Wernicke's Encephalopathy</t>
  </si>
  <si>
    <t>Tumour Thrombosis</t>
  </si>
  <si>
    <t>Liver Tenderness</t>
  </si>
  <si>
    <t>Psychomotor Hyperactivity</t>
  </si>
  <si>
    <t>Encephalitis</t>
  </si>
  <si>
    <t>Alanine Aminotransferase</t>
  </si>
  <si>
    <t>Genito-Pelvic Pain/Penetration Disorder</t>
  </si>
  <si>
    <t>Hallucination</t>
  </si>
  <si>
    <t>Psychotic Disorder</t>
  </si>
  <si>
    <t>Optic Nerve Disorder</t>
  </si>
  <si>
    <t>Abscess Limb</t>
  </si>
  <si>
    <t>Blood Bicarbonate Increased</t>
  </si>
  <si>
    <t>Anion Gap Decreased</t>
  </si>
  <si>
    <t>Klebsiella Bacteraemia</t>
  </si>
  <si>
    <t>Enterococcal Infection</t>
  </si>
  <si>
    <t>Peptostreptococcus Infection</t>
  </si>
  <si>
    <t>Alcohol Interaction</t>
  </si>
  <si>
    <t>Breast Haemorrhage</t>
  </si>
  <si>
    <t>Respiratory Rate Increased</t>
  </si>
  <si>
    <t>Varicella</t>
  </si>
  <si>
    <t>Thalamic Infarction</t>
  </si>
  <si>
    <t>Platelet Distribution Width Increased</t>
  </si>
  <si>
    <t>Scapula Fracture</t>
  </si>
  <si>
    <t>Essential Hypertension</t>
  </si>
  <si>
    <t>Peripheral Venous Disease</t>
  </si>
  <si>
    <t>Nail Discolouration</t>
  </si>
  <si>
    <t>Nail Ridging</t>
  </si>
  <si>
    <t>Impaired Quality Of Life</t>
  </si>
  <si>
    <t>Feeling Of Body Temperature Change</t>
  </si>
  <si>
    <t>Renal Hamartoma</t>
  </si>
  <si>
    <t>Tumour Haemorrhage</t>
  </si>
  <si>
    <t>Infective Exacerbation Of Chronic Obstructive Airways Disease</t>
  </si>
  <si>
    <t>Carotid Artery Thrombosis</t>
  </si>
  <si>
    <t>Haemorrhage Intracranial</t>
  </si>
  <si>
    <t>Basal Cell Carcinoma</t>
  </si>
  <si>
    <t>Thyroid Cancer</t>
  </si>
  <si>
    <t>Lumbar Spinal Stenosis</t>
  </si>
  <si>
    <t>Diabetic Neuropathy</t>
  </si>
  <si>
    <t>Gastrointestinal Necrosis</t>
  </si>
  <si>
    <t>Hernia Repair</t>
  </si>
  <si>
    <t>Blood Magnesium Abnormal</t>
  </si>
  <si>
    <t>Parathyroid Disorder</t>
  </si>
  <si>
    <t>Unresponsive To Stimuli</t>
  </si>
  <si>
    <t>Hypergammaglobulinaemia</t>
  </si>
  <si>
    <t>Depressive Symptom</t>
  </si>
  <si>
    <t>Hyperproteinaemia</t>
  </si>
  <si>
    <t>Tumour Flare</t>
  </si>
  <si>
    <t>Hemianopia Homonymous</t>
  </si>
  <si>
    <t>Hypocapnia</t>
  </si>
  <si>
    <t>Encephalomalacia</t>
  </si>
  <si>
    <t>Pleural Disorder</t>
  </si>
  <si>
    <t>Metastases To The Mediastinum</t>
  </si>
  <si>
    <t>Horner's Syndrome</t>
  </si>
  <si>
    <t>Superficial Injury Of Eye</t>
  </si>
  <si>
    <t>Eye Oedema</t>
  </si>
  <si>
    <t>Plantar Fasciitis</t>
  </si>
  <si>
    <t>Cerebral Arteriosclerosis</t>
  </si>
  <si>
    <t>Chemotherapy</t>
  </si>
  <si>
    <t>Finger Deformity</t>
  </si>
  <si>
    <t>Heart Rate Abnormal</t>
  </si>
  <si>
    <t>Adjustment Disorder With Depressed Mood</t>
  </si>
  <si>
    <t>Endometrial Thickening</t>
  </si>
  <si>
    <t>Endometrial Disorder</t>
  </si>
  <si>
    <t>Intestinal Infarction</t>
  </si>
  <si>
    <t>Facial Pain</t>
  </si>
  <si>
    <t>Tongue Ulceration</t>
  </si>
  <si>
    <t>Skin Turgor Decreased</t>
  </si>
  <si>
    <t>Poor Peripheral Circulation</t>
  </si>
  <si>
    <t>Stent Placement</t>
  </si>
  <si>
    <t>Functional Gastrointestinal Disorder</t>
  </si>
  <si>
    <t>Adrenal Disorder</t>
  </si>
  <si>
    <t>Gastrointestinal Motility Disorder</t>
  </si>
  <si>
    <t>Expired Product Administered</t>
  </si>
  <si>
    <t>Infection Susceptibility Increased</t>
  </si>
  <si>
    <t>Central Nervous System Haemorrhage</t>
  </si>
  <si>
    <t>Axillary Mass</t>
  </si>
  <si>
    <t>Gastritis Bacterial</t>
  </si>
  <si>
    <t>Culture Urine Positive</t>
  </si>
  <si>
    <t>Arterial Thrombosis</t>
  </si>
  <si>
    <t>Arrhythmia Supraventricular</t>
  </si>
  <si>
    <t>Lip Blister</t>
  </si>
  <si>
    <t>Trismus</t>
  </si>
  <si>
    <t>Joint Stabilisation</t>
  </si>
  <si>
    <t>Neck Mass</t>
  </si>
  <si>
    <t>Rosai-Dorfman Syndrome</t>
  </si>
  <si>
    <t>Skin Texture Abnormal</t>
  </si>
  <si>
    <t>Trichorrhexis</t>
  </si>
  <si>
    <t>Boredom</t>
  </si>
  <si>
    <t>Mean Cell Haemoglobin Concentration Decreased</t>
  </si>
  <si>
    <t>Calcium Ionised Decreased</t>
  </si>
  <si>
    <t>Pelvic Discomfort</t>
  </si>
  <si>
    <t>Lichen Sclerosus</t>
  </si>
  <si>
    <t>Bruxism</t>
  </si>
  <si>
    <t>Bone Marrow Disorder</t>
  </si>
  <si>
    <t>Myelocytosis</t>
  </si>
  <si>
    <t>Hydroureter</t>
  </si>
  <si>
    <t>Malignant Neoplasm Of Pleura</t>
  </si>
  <si>
    <t>Deafness Neurosensory</t>
  </si>
  <si>
    <t>Chondropathy</t>
  </si>
  <si>
    <t>Carotid Artery Occlusion</t>
  </si>
  <si>
    <t>Eye Discharge</t>
  </si>
  <si>
    <t>Gastric Ph Increased</t>
  </si>
  <si>
    <t>Amoebiasis</t>
  </si>
  <si>
    <t>Anaemia Of Chronic Disease</t>
  </si>
  <si>
    <t>Skin Odour Abnormal</t>
  </si>
  <si>
    <t>Orthostatic Hypotension</t>
  </si>
  <si>
    <t>Hirsutism</t>
  </si>
  <si>
    <t>Starvation</t>
  </si>
  <si>
    <t>Deficiency Anaemia</t>
  </si>
  <si>
    <t>Metastases To Bone Marrow</t>
  </si>
  <si>
    <t>Cerebral Thrombosis</t>
  </si>
  <si>
    <t>Colorectal Adenoma</t>
  </si>
  <si>
    <t>Alveolitis</t>
  </si>
  <si>
    <t>Breast Haematoma</t>
  </si>
  <si>
    <t>Proctitis Ulcerative</t>
  </si>
  <si>
    <t>Cardiac Ablation</t>
  </si>
  <si>
    <t>Metastatic Uterine Cancer</t>
  </si>
  <si>
    <t>Gingival Ulceration</t>
  </si>
  <si>
    <t>Duodenal Ulcer Perforation</t>
  </si>
  <si>
    <t>Tracheobronchitis</t>
  </si>
  <si>
    <t>Joint Ankylosis</t>
  </si>
  <si>
    <t>Rectal Discharge</t>
  </si>
  <si>
    <t>Urinary Tract Discomfort</t>
  </si>
  <si>
    <t>Foot Deformity</t>
  </si>
  <si>
    <t>Acute Interstitial Pneumonitis</t>
  </si>
  <si>
    <t>Intracranial Aneurysm</t>
  </si>
  <si>
    <t>Micrococcus Infection</t>
  </si>
  <si>
    <t>Product Colour Issue</t>
  </si>
  <si>
    <t>Drooling</t>
  </si>
  <si>
    <t>Chronic Respiratory Failure</t>
  </si>
  <si>
    <t>Cardiac Failure Chronic</t>
  </si>
  <si>
    <t>Cerebellar Haemorrhage</t>
  </si>
  <si>
    <t>Cerebellar Infarction</t>
  </si>
  <si>
    <t>Physical Deconditioning</t>
  </si>
  <si>
    <t>Angiomyolipoma</t>
  </si>
  <si>
    <t>Mean Platelet Volume Decreased</t>
  </si>
  <si>
    <t>Ovarian Cancer</t>
  </si>
  <si>
    <t>Viral Upper Respiratory Tract Infection</t>
  </si>
  <si>
    <t>Cardiac Failure Acute</t>
  </si>
  <si>
    <t>Cell Marker Increased</t>
  </si>
  <si>
    <t>Blood Beta-D-Glucan Decreased</t>
  </si>
  <si>
    <t>Abdominal Compartment Syndrome</t>
  </si>
  <si>
    <t>Immobilisation Syndrome</t>
  </si>
  <si>
    <t>Bacillus Infection</t>
  </si>
  <si>
    <t>Coagulation Factor Deficiency</t>
  </si>
  <si>
    <t>Hypoventilation</t>
  </si>
  <si>
    <t>Foaming At Mouth</t>
  </si>
  <si>
    <t>Gastrointestinal Viral Infection</t>
  </si>
  <si>
    <t>Breast Neoplasm</t>
  </si>
  <si>
    <t>Cardiovascular Function Test Abnormal</t>
  </si>
  <si>
    <t>Measles</t>
  </si>
  <si>
    <t>Serum Sickness</t>
  </si>
  <si>
    <t>Sudden Death</t>
  </si>
  <si>
    <t>Proctalgia</t>
  </si>
  <si>
    <t>Breast Cancer Stage Ii</t>
  </si>
  <si>
    <t>Hypoaesthesia Oral</t>
  </si>
  <si>
    <t>Epigastric Discomfort</t>
  </si>
  <si>
    <t>Weight Bearing Difficulty</t>
  </si>
  <si>
    <t>Neurological Decompensation</t>
  </si>
  <si>
    <t>Nephropathy Toxic</t>
  </si>
  <si>
    <t>Pelvic Mass</t>
  </si>
  <si>
    <t>Vocal Cord Paralysis</t>
  </si>
  <si>
    <t>Nail Dystrophy</t>
  </si>
  <si>
    <t>Retinal Disorder</t>
  </si>
  <si>
    <t>Her2 Positive Breast Cancer</t>
  </si>
  <si>
    <t>Orthostatic Intolerance</t>
  </si>
  <si>
    <t>Petechiae</t>
  </si>
  <si>
    <t>Progesterone Receptor Assay Negative</t>
  </si>
  <si>
    <t>Enterobacter Infection</t>
  </si>
  <si>
    <t>Depression Suicidal</t>
  </si>
  <si>
    <t>Vascular Injury</t>
  </si>
  <si>
    <t>Muscle Mass</t>
  </si>
  <si>
    <t>Biopsy Lung</t>
  </si>
  <si>
    <t>Malignant Ascites</t>
  </si>
  <si>
    <t>Dyslipidaemia</t>
  </si>
  <si>
    <t>Anisocoria</t>
  </si>
  <si>
    <t>Female Sexual Arousal Disorder</t>
  </si>
  <si>
    <t>Xanthopsia</t>
  </si>
  <si>
    <t>Retinal Injury</t>
  </si>
  <si>
    <t>Muscle Contractions Involuntary</t>
  </si>
  <si>
    <t>Somnambulism</t>
  </si>
  <si>
    <t>Serum Ferritin Decreased</t>
  </si>
  <si>
    <t>Urinary Tract Disorder</t>
  </si>
  <si>
    <t>Corneal Dystrophy</t>
  </si>
  <si>
    <t>Diaphragmatic Spasm</t>
  </si>
  <si>
    <t>Papule</t>
  </si>
  <si>
    <t>Biliary Dilatation</t>
  </si>
  <si>
    <t>Colour Blindness</t>
  </si>
  <si>
    <t>Retinal Oedema</t>
  </si>
  <si>
    <t>Retinal Exudates</t>
  </si>
  <si>
    <t>Retinal Aneurysm</t>
  </si>
  <si>
    <t>Visual Acuity Tests Abnormal</t>
  </si>
  <si>
    <t>Micturition Disorder</t>
  </si>
  <si>
    <t>Blood Testosterone Increased</t>
  </si>
  <si>
    <t>Lower Urinary Tract Symptoms</t>
  </si>
  <si>
    <t>Hypertonic Bladder</t>
  </si>
  <si>
    <t>Primary Stabbing Headache</t>
  </si>
  <si>
    <t>Focal Nodular Hyperplasia</t>
  </si>
  <si>
    <t>Vocal Cord Thickening</t>
  </si>
  <si>
    <t>Metamorphopsia</t>
  </si>
  <si>
    <t>Mesenteric Artery Embolism</t>
  </si>
  <si>
    <t>Suture Rupture</t>
  </si>
  <si>
    <t>Vaginal Mucosal Blistering</t>
  </si>
  <si>
    <t>Injection Site Reaction</t>
  </si>
  <si>
    <t>Insulinoma</t>
  </si>
  <si>
    <t>Skin Oedema</t>
  </si>
  <si>
    <t>Nocturia</t>
  </si>
  <si>
    <t>Colitis Microscopic</t>
  </si>
  <si>
    <t>Brief Resolved Unexplained Event</t>
  </si>
  <si>
    <t>Logorrhoea</t>
  </si>
  <si>
    <t>Optic Ischaemic Neuropathy</t>
  </si>
  <si>
    <t>Therapeutic Response Decreased</t>
  </si>
  <si>
    <t>Pharyngeal Hypoaesthesia</t>
  </si>
  <si>
    <t>Delayed Sleep Phase</t>
  </si>
  <si>
    <t>Intervertebral Disc Disorder</t>
  </si>
  <si>
    <t>Metastases To Spleen</t>
  </si>
  <si>
    <t>Blood Parathyroid Hormone Increased</t>
  </si>
  <si>
    <t>Loss Of Control Of Legs</t>
  </si>
  <si>
    <t>Retinal Vascular Thrombosis</t>
  </si>
  <si>
    <t>Proteus Test Positive</t>
  </si>
  <si>
    <t>Mucosal Haemorrhage</t>
  </si>
  <si>
    <t>Restrictive Pulmonary Disease</t>
  </si>
  <si>
    <t>Congenital Cystic Kidney Disease</t>
  </si>
  <si>
    <t>Eyelid Ptosis</t>
  </si>
  <si>
    <t>Pituitary Tumour</t>
  </si>
  <si>
    <t>Apnoea</t>
  </si>
  <si>
    <t>Hepatosplenomegaly</t>
  </si>
  <si>
    <t>Mastication Disorder</t>
  </si>
  <si>
    <t>Lung Adenocarcinoma</t>
  </si>
  <si>
    <t>Amblyopia Strabismic</t>
  </si>
  <si>
    <t>Optic Atrophy</t>
  </si>
  <si>
    <t>Visual Evoked Potentials Abnormal</t>
  </si>
  <si>
    <t>Arterial Disorder</t>
  </si>
  <si>
    <t>Abdominal Abscess</t>
  </si>
  <si>
    <t>Dermatitis Atopic</t>
  </si>
  <si>
    <t>Paratracheal Lymphadenopathy</t>
  </si>
  <si>
    <t>Metastases To Abdominal Cavity</t>
  </si>
  <si>
    <t>Metastases To The Respiratory System</t>
  </si>
  <si>
    <t>Localised Oedema</t>
  </si>
  <si>
    <t>Electrocardiogram St Segment Depression</t>
  </si>
  <si>
    <t>Gastric Cancer</t>
  </si>
  <si>
    <t>Monoparesis</t>
  </si>
  <si>
    <t>Parkinson's Disease</t>
  </si>
  <si>
    <t>Peritoneal Carcinoma Metastatic</t>
  </si>
  <si>
    <t>Metastatic Gastric Cancer</t>
  </si>
  <si>
    <t>Ligament Disorder</t>
  </si>
  <si>
    <t>Intra-Abdominal Haematoma</t>
  </si>
  <si>
    <t>Meningioma Benign</t>
  </si>
  <si>
    <t>Erythropenia</t>
  </si>
  <si>
    <t>Skin Depigmentation</t>
  </si>
  <si>
    <t>Orthopox Virus Infection</t>
  </si>
  <si>
    <t>Brain Death</t>
  </si>
  <si>
    <t>Sinoatrial Block</t>
  </si>
  <si>
    <t>Status Epilepticus</t>
  </si>
  <si>
    <t>Biliary Tract Disorder</t>
  </si>
  <si>
    <t>Iliac Artery Stenosis</t>
  </si>
  <si>
    <t>Appendicitis Perforated</t>
  </si>
  <si>
    <t>Biopsy Chest Wall Abnormal</t>
  </si>
  <si>
    <t>Extremity Necrosis</t>
  </si>
  <si>
    <t>Carotid Artery Stenosis</t>
  </si>
  <si>
    <t>Gangrene</t>
  </si>
  <si>
    <t>Head Injury</t>
  </si>
  <si>
    <t>Hairy Cell Leukaemia</t>
  </si>
  <si>
    <t>Bone Marrow Tumour Cell Infiltration</t>
  </si>
  <si>
    <t>Bone Densitometry</t>
  </si>
  <si>
    <t>Erysipeloid</t>
  </si>
  <si>
    <t>Blepharitis</t>
  </si>
  <si>
    <t>Uterine Cancer</t>
  </si>
  <si>
    <t>Epstein-Barr Virus Infection</t>
  </si>
  <si>
    <t>Helicobacter Test Positive</t>
  </si>
  <si>
    <t>Hepatitis Toxic</t>
  </si>
  <si>
    <t>Hepatitis A</t>
  </si>
  <si>
    <t>Endoscopy Upper Gastrointestinal Tract Abnormal</t>
  </si>
  <si>
    <t>Hepatitis A Antibody Positive</t>
  </si>
  <si>
    <t>Ultrasound Abdomen Abnormal</t>
  </si>
  <si>
    <t>Tendon Injury</t>
  </si>
  <si>
    <t>Burnout Syndrome</t>
  </si>
  <si>
    <t>Albumin Globulin Ratio Decreased</t>
  </si>
  <si>
    <t>Retinal Vein Thrombosis</t>
  </si>
  <si>
    <t>Bile Duct Stone</t>
  </si>
  <si>
    <t>Gastrointestinal Carcinoma</t>
  </si>
  <si>
    <t>Abnormal Sensation In Eye</t>
  </si>
  <si>
    <t>Fibroadenoma Of Breast</t>
  </si>
  <si>
    <t>Jaw Operation</t>
  </si>
  <si>
    <t>Stomatitis Necrotising</t>
  </si>
  <si>
    <t>Jaw Fracture</t>
  </si>
  <si>
    <t>Pyelonephritis Acute</t>
  </si>
  <si>
    <t>Meningism</t>
  </si>
  <si>
    <t>Catheter Placement</t>
  </si>
  <si>
    <t>Skin Neoplasm Excision</t>
  </si>
  <si>
    <t>Retinal Operation</t>
  </si>
  <si>
    <t>Optic Neuropathy</t>
  </si>
  <si>
    <t>Salpingo-Oophorectomy</t>
  </si>
  <si>
    <t>Gastrointestinal Tube Insertion</t>
  </si>
  <si>
    <t>Colporrhaphy</t>
  </si>
  <si>
    <t>Mineral Deficiency</t>
  </si>
  <si>
    <t>Aortic Thrombosis</t>
  </si>
  <si>
    <t>Seroma</t>
  </si>
  <si>
    <t>Incision Site Vesicles</t>
  </si>
  <si>
    <t>Blood Creatine Phosphokinase Mb Decreased</t>
  </si>
  <si>
    <t>Muscle</t>
  </si>
  <si>
    <t>Pacemaker Generated Arrhythmia</t>
  </si>
  <si>
    <t>Po2 Decreased</t>
  </si>
  <si>
    <t>Dental Operation</t>
  </si>
  <si>
    <t>Mechanical Ventilation</t>
  </si>
  <si>
    <t>Biopsy Bone</t>
  </si>
  <si>
    <t>Bone Sarcoma</t>
  </si>
  <si>
    <t>Lung Operation</t>
  </si>
  <si>
    <t>Diverticulum Gastric</t>
  </si>
  <si>
    <t>Mesenteric Artery Stenosis</t>
  </si>
  <si>
    <t>Coeliac Artery Stenosis</t>
  </si>
  <si>
    <t>Loose Tooth</t>
  </si>
  <si>
    <t>Knee Operation</t>
  </si>
  <si>
    <t>Coronary Artery Bypass</t>
  </si>
  <si>
    <t>Ischaemic Cardiomyopathy</t>
  </si>
  <si>
    <t>Cardiopulmonary Bypass</t>
  </si>
  <si>
    <t>Sternotomy</t>
  </si>
  <si>
    <t>Cardioplegia</t>
  </si>
  <si>
    <t>Essential Tremor</t>
  </si>
  <si>
    <t>Sarcoidosis</t>
  </si>
  <si>
    <t>Atrioventricular Block</t>
  </si>
  <si>
    <t>Enterocolitis Infectious</t>
  </si>
  <si>
    <t>Collagen Disorder</t>
  </si>
  <si>
    <t>Connective Tissue</t>
  </si>
  <si>
    <t>Perichondritis</t>
  </si>
  <si>
    <t>Antinuclear Antibody Positive</t>
  </si>
  <si>
    <t>Pancreatic Disorder</t>
  </si>
  <si>
    <t>Pancreas</t>
  </si>
  <si>
    <t>Vascular Graft</t>
  </si>
  <si>
    <t>Joint Contracture</t>
  </si>
  <si>
    <t>Mitral Valve Stenosis</t>
  </si>
  <si>
    <t>Mitral Valve Replacement</t>
  </si>
  <si>
    <t>Hip Surgery</t>
  </si>
  <si>
    <t>Joint Dislocation</t>
  </si>
  <si>
    <t>Sudden Onset Of Sleep</t>
  </si>
  <si>
    <t>Carbon Dioxide Increased</t>
  </si>
  <si>
    <t>Arthroscopic Surgery</t>
  </si>
  <si>
    <t>Peritoneal Lesion</t>
  </si>
  <si>
    <t>Colonoscopy Abnormal</t>
  </si>
  <si>
    <t>Lung Lobectomy</t>
  </si>
  <si>
    <t>Obliterative Bronchiolitis</t>
  </si>
  <si>
    <t>Inner Ear Disorder</t>
  </si>
  <si>
    <t>Amnestic Disorder</t>
  </si>
  <si>
    <t>Maxillofacial Operation</t>
  </si>
  <si>
    <t>Actinomycosis</t>
  </si>
  <si>
    <t>Premenstrual Syndrome</t>
  </si>
  <si>
    <t>Open Fracture</t>
  </si>
  <si>
    <t>Leukoencephalopathy</t>
  </si>
  <si>
    <t>Percutaneous Coronary Intervention</t>
  </si>
  <si>
    <t>Cystocele Repair</t>
  </si>
  <si>
    <t>Eyelid Exfoliation</t>
  </si>
  <si>
    <t>High Density Lipoprotein Increased</t>
  </si>
  <si>
    <t>Cervical Polyp</t>
  </si>
  <si>
    <t>Lens Extraction</t>
  </si>
  <si>
    <t>Central Nervous System Neoplasm</t>
  </si>
  <si>
    <t>Cerebral Artery Thrombosis</t>
  </si>
  <si>
    <t>Angiopathy</t>
  </si>
  <si>
    <t>Fallopian Tube Cyst</t>
  </si>
  <si>
    <t>Peritoneal Lavage</t>
  </si>
  <si>
    <t>Laparotomy</t>
  </si>
  <si>
    <t>Salpingitis</t>
  </si>
  <si>
    <t>Leiomyoma</t>
  </si>
  <si>
    <t>Omentectomy</t>
  </si>
  <si>
    <t>Oophorectomy Bilateral</t>
  </si>
  <si>
    <t>Genital Discharge</t>
  </si>
  <si>
    <t>Retinal Artery Embolism</t>
  </si>
  <si>
    <t>Patella Fracture</t>
  </si>
  <si>
    <t>Uterine Enlargement</t>
  </si>
  <si>
    <t>Hemiplegia</t>
  </si>
  <si>
    <t>Therapeutic Procedure</t>
  </si>
  <si>
    <t>Fracture Treatment</t>
  </si>
  <si>
    <t>Fibroma</t>
  </si>
  <si>
    <t>Perineoplasty</t>
  </si>
  <si>
    <t>Urinary Bladder Suspension</t>
  </si>
  <si>
    <t>Nephrocalcinosis</t>
  </si>
  <si>
    <t>Laparoscopic Surgery</t>
  </si>
  <si>
    <t>Endometrial Cancer</t>
  </si>
  <si>
    <t>Ectropion Of Cervix</t>
  </si>
  <si>
    <t>Uterine Operation</t>
  </si>
  <si>
    <t>Cardiac Ventricular Thrombosis</t>
  </si>
  <si>
    <t>Appendicectomy</t>
  </si>
  <si>
    <t>Papilloma</t>
  </si>
  <si>
    <t>Endometritis</t>
  </si>
  <si>
    <t>Hypertrophic Cardiomyopathy</t>
  </si>
  <si>
    <t>Arterial Stent Insertion</t>
  </si>
  <si>
    <t>Cardiac Output Decreased</t>
  </si>
  <si>
    <t>Haematoma Infection</t>
  </si>
  <si>
    <t>Ocular Toxicity</t>
  </si>
  <si>
    <t>Eye Operation</t>
  </si>
  <si>
    <t>Open Reduction Of Fracture</t>
  </si>
  <si>
    <t>Ulna Fracture</t>
  </si>
  <si>
    <t>Skull Fracture</t>
  </si>
  <si>
    <t>Brain Contusion</t>
  </si>
  <si>
    <t>Acquired Cardiac Septal Defect</t>
  </si>
  <si>
    <t>Ovarian Neoplasm</t>
  </si>
  <si>
    <t>Ovarian Operation</t>
  </si>
  <si>
    <t>Ovarian Adhesion</t>
  </si>
  <si>
    <t>Intervertebral Disc Operation</t>
  </si>
  <si>
    <t>Angiosclerosis</t>
  </si>
  <si>
    <t>Angiogram</t>
  </si>
  <si>
    <t>Arterial Bypass Operation</t>
  </si>
  <si>
    <t>Hemianopia</t>
  </si>
  <si>
    <t>Sputum Discoloured</t>
  </si>
  <si>
    <t>Cerebellar Atrophy</t>
  </si>
  <si>
    <t>Diet Refusal</t>
  </si>
  <si>
    <t>Pemphigus</t>
  </si>
  <si>
    <t>Orthopaedic Procedure</t>
  </si>
  <si>
    <t>Limb Immobilisation</t>
  </si>
  <si>
    <t>Cataract Cortical</t>
  </si>
  <si>
    <t>Systemic Lupus Erythematosus Rash</t>
  </si>
  <si>
    <t>Gastric Polyps</t>
  </si>
  <si>
    <t>Monocyte Percentage Increased</t>
  </si>
  <si>
    <t>Dental Cleaning</t>
  </si>
  <si>
    <t>Glucose Urine</t>
  </si>
  <si>
    <t>Occult Blood Positive</t>
  </si>
  <si>
    <t>Blood Lactate Dehydrogenase Abnormal</t>
  </si>
  <si>
    <t>Bone Sequestrum</t>
  </si>
  <si>
    <t>Congestive Hepatopathy</t>
  </si>
  <si>
    <t>Haemorrhagic Diathesis</t>
  </si>
  <si>
    <t>Contraception</t>
  </si>
  <si>
    <t>Pericardial Drainage</t>
  </si>
  <si>
    <t>Coronary Arterial Stent Insertion</t>
  </si>
  <si>
    <t>Cardiac Ventriculogram Left</t>
  </si>
  <si>
    <t>Actinic Keratosis</t>
  </si>
  <si>
    <t>Sinus Headache</t>
  </si>
  <si>
    <t>Vaginal Odour</t>
  </si>
  <si>
    <t>Eye Degenerative Disorder</t>
  </si>
  <si>
    <t>Refusal Of Treatment By Patient</t>
  </si>
  <si>
    <t>Endometrial Neoplasm</t>
  </si>
  <si>
    <t>Abdominal Hernia Obstructive</t>
  </si>
  <si>
    <t>Transurethral Bladder Resection</t>
  </si>
  <si>
    <t>Cooling Therapy</t>
  </si>
  <si>
    <t>Tongue Disorder</t>
  </si>
  <si>
    <t>Body Tinea</t>
  </si>
  <si>
    <t>Abnormal Sleep-Related Event</t>
  </si>
  <si>
    <t>Vascular Pain</t>
  </si>
  <si>
    <t>Endoscopy Small Intestine</t>
  </si>
  <si>
    <t>Palliative Care</t>
  </si>
  <si>
    <t>Cardiac Fibrillation</t>
  </si>
  <si>
    <t>Aura</t>
  </si>
  <si>
    <t>Urinary Tract Infection Staphylococcal</t>
  </si>
  <si>
    <t>Acute Monocytic Leukaemia</t>
  </si>
  <si>
    <t>Dental Examination Abnormal</t>
  </si>
  <si>
    <t>Artificial Crown Procedure</t>
  </si>
  <si>
    <t>Hyperaesthesia Teeth</t>
  </si>
  <si>
    <t>Glomerulonephritis Rapidly Progressive</t>
  </si>
  <si>
    <t>Abdominal Symptom</t>
  </si>
  <si>
    <t>Bladder Catheterisation</t>
  </si>
  <si>
    <t>Renal Stone Removal</t>
  </si>
  <si>
    <t>Tongue Cancer Metastatic</t>
  </si>
  <si>
    <t>Electrocardiogram Ambulatory</t>
  </si>
  <si>
    <t>Sluggishness</t>
  </si>
  <si>
    <t>Cardiac Flutter</t>
  </si>
  <si>
    <t>Hand Deformity</t>
  </si>
  <si>
    <t>Pneumonia Pseudomonal</t>
  </si>
  <si>
    <t>Haemolysis</t>
  </si>
  <si>
    <t>Liver Abscess</t>
  </si>
  <si>
    <t>Ureteric Obstruction</t>
  </si>
  <si>
    <t>Haemodialysis</t>
  </si>
  <si>
    <t>Mesenteric Vein Thrombosis</t>
  </si>
  <si>
    <t>Hyperkinesia</t>
  </si>
  <si>
    <t>Bronchitis Chronic</t>
  </si>
  <si>
    <t>Diagnostic Aspiration</t>
  </si>
  <si>
    <t>Nephrotic Syndrome</t>
  </si>
  <si>
    <t>Nutritional Supplementation</t>
  </si>
  <si>
    <t>Hypersensitivity Pneumonitis</t>
  </si>
  <si>
    <t>Sense Of Oppression</t>
  </si>
  <si>
    <t>Breast Atrophy</t>
  </si>
  <si>
    <t>Urine Output Increased</t>
  </si>
  <si>
    <t>Increased Upper Airway Secretion</t>
  </si>
  <si>
    <t>Immobile</t>
  </si>
  <si>
    <t>Aortic Disorder</t>
  </si>
  <si>
    <t>Adenoma Benign</t>
  </si>
  <si>
    <t>Performance Status Decreased</t>
  </si>
  <si>
    <t>Virilism</t>
  </si>
  <si>
    <t>Enlarged Clitoris</t>
  </si>
  <si>
    <t>Photodermatosis</t>
  </si>
  <si>
    <t>Lupus-Like Syndrome</t>
  </si>
  <si>
    <t>Autoimmune</t>
  </si>
  <si>
    <t>Bronchial Neoplasm</t>
  </si>
  <si>
    <t>Scleral Discolouration</t>
  </si>
  <si>
    <t>Organ System: Eyes</t>
  </si>
  <si>
    <t>Organ System: Neurological</t>
  </si>
  <si>
    <t>Organ System: Multiple</t>
  </si>
  <si>
    <t>Organ System: Fluid &amp; Electrolyte</t>
  </si>
  <si>
    <t>Organ System: Psychiatric</t>
  </si>
  <si>
    <t>Organ System: Neoplasm</t>
  </si>
  <si>
    <t>Organ System: Surgical</t>
  </si>
  <si>
    <t>Organ System: Infectious Disease</t>
  </si>
  <si>
    <t>Organ System: Otolaryngology</t>
  </si>
  <si>
    <t>Organ System: Spleen</t>
  </si>
  <si>
    <t>Organ System: Skin</t>
  </si>
  <si>
    <t>Organ System: Heart</t>
  </si>
  <si>
    <t>Organ System: Cardiovascular,Renal</t>
  </si>
  <si>
    <t>Organ System: Blood</t>
  </si>
  <si>
    <t>Organ System: NA</t>
  </si>
  <si>
    <t>Organ System: Nervous System</t>
  </si>
  <si>
    <t>Organ System: Liver</t>
  </si>
  <si>
    <t>Organ System: Breast</t>
  </si>
  <si>
    <t>Organ System: Ear</t>
  </si>
  <si>
    <t>Organ System: Eye</t>
  </si>
  <si>
    <t>Organ System: Gastrointestinal, Urinary</t>
  </si>
  <si>
    <t>Organ System: Cardiovascular, Respiratory</t>
  </si>
  <si>
    <t>Organ System: Hematopoietic, Liver</t>
  </si>
  <si>
    <t>Organ System: Muscle</t>
  </si>
  <si>
    <t>Organ System: Connective Tissue</t>
  </si>
  <si>
    <t>Organ System: Pancreas</t>
  </si>
  <si>
    <t>Organ System: Autoimmune</t>
  </si>
  <si>
    <t>Sputum Retention</t>
  </si>
  <si>
    <t>Hydrocele</t>
  </si>
  <si>
    <t>Inguinal Hernia</t>
  </si>
  <si>
    <t>Hypospadias</t>
  </si>
  <si>
    <t>Norovirus Infection</t>
  </si>
  <si>
    <t>Injection Related Reaction</t>
  </si>
  <si>
    <t>Injection Site Discomfort</t>
  </si>
  <si>
    <t>Haematoma Muscle</t>
  </si>
  <si>
    <t>cardiovasuclar</t>
  </si>
  <si>
    <t>renal+urinary</t>
  </si>
  <si>
    <t>Connective Tissue Disorder</t>
  </si>
  <si>
    <t>Drug Withdrawal Syndrome</t>
  </si>
  <si>
    <t>Dark Circles Under Eyes</t>
  </si>
  <si>
    <t>Bladder Neoplasm</t>
  </si>
  <si>
    <t>Asocial Behaviour</t>
  </si>
  <si>
    <t>Product Prescribing Issue</t>
  </si>
  <si>
    <t>Campylobacter Gastroenteritis</t>
  </si>
  <si>
    <t>Skin, Oral</t>
  </si>
  <si>
    <t>Nephroangiosclerosis</t>
  </si>
  <si>
    <t>Joint Warmth</t>
  </si>
  <si>
    <t>Electrocardiogram Pr Prolongation</t>
  </si>
  <si>
    <t>Atrioventricular Block Complete</t>
  </si>
  <si>
    <t>Congenital Genital Malformation Female</t>
  </si>
  <si>
    <t>Onycholysis</t>
  </si>
  <si>
    <t>Hallucination, Visual</t>
  </si>
  <si>
    <t>Ophthalmic Migraine</t>
  </si>
  <si>
    <t>Suspected Product Quality Issue</t>
  </si>
  <si>
    <t>Sciatic Nerve Injury</t>
  </si>
  <si>
    <t>Breast Oedema</t>
  </si>
  <si>
    <t>Atrial Enlargement</t>
  </si>
  <si>
    <t>Body Surface Area Increased</t>
  </si>
  <si>
    <t>Skin Fibrosis</t>
  </si>
  <si>
    <t>Scleroderma-Like Reaction</t>
  </si>
  <si>
    <t>Body Surface Area Decreased</t>
  </si>
  <si>
    <t>Ph Body Fluid Increased</t>
  </si>
  <si>
    <t>Base Excess Increased</t>
  </si>
  <si>
    <t>Alpha-1 Antitrypsin Deficiency</t>
  </si>
  <si>
    <t>Phlebitis Superficial</t>
  </si>
  <si>
    <t>Erythroblastosis</t>
  </si>
  <si>
    <t>Po2 Increased</t>
  </si>
  <si>
    <t>Blood Ph Decreased</t>
  </si>
  <si>
    <t>Pco2 Decreased</t>
  </si>
  <si>
    <t>Acute Cutaneous Lupus Erythematosus</t>
  </si>
  <si>
    <t>Adult Failure To Thrive</t>
  </si>
  <si>
    <t>Eye Symptom</t>
  </si>
  <si>
    <t>Abdominal Infection</t>
  </si>
  <si>
    <t>Atrial Natriuretic Peptide Increased</t>
  </si>
  <si>
    <t>Ph Body Fluid Decreased</t>
  </si>
  <si>
    <t>Hallucination, Auditory</t>
  </si>
  <si>
    <t>Bacterial Test</t>
  </si>
  <si>
    <t>Therapeutic Product Effect Decreased</t>
  </si>
  <si>
    <t>Injection Site Mass</t>
  </si>
  <si>
    <t>Mucous Stools</t>
  </si>
  <si>
    <t>Apparent Death</t>
  </si>
  <si>
    <t>Injection Site Swelling</t>
  </si>
  <si>
    <t>Chest Injury</t>
  </si>
  <si>
    <t>Diabetic Hyperosmolar Coma</t>
  </si>
  <si>
    <t>Change Of Bowel Habit</t>
  </si>
  <si>
    <t>Iron Binding Capacity Total Decreased</t>
  </si>
  <si>
    <t>Blood Immunoglobulin G Decreased</t>
  </si>
  <si>
    <t>Blood Immunoglobulin A Decreased</t>
  </si>
  <si>
    <t>Vomiting Projectile</t>
  </si>
  <si>
    <t>Anorgasmia</t>
  </si>
  <si>
    <t>Menopause</t>
  </si>
  <si>
    <t>Dental Pulp Disorder</t>
  </si>
  <si>
    <t>Body Height Abnormal</t>
  </si>
  <si>
    <t>Aortic Stenosis</t>
  </si>
  <si>
    <t>Face Injury</t>
  </si>
  <si>
    <t>Polymyositis</t>
  </si>
  <si>
    <t>Cervical Vertebral Fracture</t>
  </si>
  <si>
    <t>Non-Hodgkin's Lymphoma</t>
  </si>
  <si>
    <t>Lymph Nodes Scan Abnormal</t>
  </si>
  <si>
    <t>Inflammatory Carcinoma Of The Breast</t>
  </si>
  <si>
    <t>Morbid Thoughts</t>
  </si>
  <si>
    <t>Mediastinal Mass</t>
  </si>
  <si>
    <t>Mediastinal</t>
  </si>
  <si>
    <t>Limb Fracture</t>
  </si>
  <si>
    <t>Multiple Fractures</t>
  </si>
  <si>
    <t>Cardiac Ventricular Disorder</t>
  </si>
  <si>
    <t>Neurosis</t>
  </si>
  <si>
    <t>Ligament Injury</t>
  </si>
  <si>
    <t>Carbohydrate Metabolism Disorder</t>
  </si>
  <si>
    <t>Anaemia Postoperative</t>
  </si>
  <si>
    <t>Wound Drainage</t>
  </si>
  <si>
    <t>Hypertensive Heart Disease</t>
  </si>
  <si>
    <t>Hypertensive Nephropathy</t>
  </si>
  <si>
    <t>Hyperventilation</t>
  </si>
  <si>
    <t>Conversion Disorder</t>
  </si>
  <si>
    <t>Colon Neoplasm</t>
  </si>
  <si>
    <t>Large Intestinal Polypectomy</t>
  </si>
  <si>
    <t>Lung Cancer Metastatic</t>
  </si>
  <si>
    <t>Rectosigmoid Cancer</t>
  </si>
  <si>
    <t>Colectomy</t>
  </si>
  <si>
    <t>Alcohol Use</t>
  </si>
  <si>
    <t>Generalised Tonic-Clonic Seizure</t>
  </si>
  <si>
    <t>Scan Abnormal</t>
  </si>
  <si>
    <t>Premature Baby</t>
  </si>
  <si>
    <t>X-Ray Abnormal</t>
  </si>
  <si>
    <t>Anal Fistula</t>
  </si>
  <si>
    <t>Breast Reconstruction</t>
  </si>
  <si>
    <t>Congenital Labia Pudendi Adhesions</t>
  </si>
  <si>
    <t>Organ System: Skin, Oral</t>
  </si>
  <si>
    <t>Organ System: Mediastinal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</si>
</sst>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pivotCacheDefinition" Target="pivotCache/pivotCacheDefinition9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29" Type="http://schemas.openxmlformats.org/officeDocument/2006/relationships/pivotCacheDefinition" Target="pivotCache/pivotCacheDefinition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8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7.xml"/><Relationship Id="rId28" Type="http://schemas.openxmlformats.org/officeDocument/2006/relationships/pivotCacheDefinition" Target="pivotCache/pivotCacheDefinition1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pivotCacheDefinition" Target="pivotCache/pivotCacheDefinition11.xml"/><Relationship Id="rId30" Type="http://schemas.openxmlformats.org/officeDocument/2006/relationships/pivotCacheDefinition" Target="pivotCache/pivotCacheDefinition14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akati, Jyothirmai" refreshedDate="45628.675480439815" createdVersion="8" refreshedVersion="8" minRefreshableVersion="3" recordCount="699" xr:uid="{593EC033-451B-4F0A-9BC7-5A09BADEF2BD}">
  <cacheSource type="worksheet">
    <worksheetSource ref="A1:C700" sheet="81+_Female"/>
  </cacheSource>
  <cacheFields count="3">
    <cacheField name="Reaction" numFmtId="0">
      <sharedItems/>
    </cacheField>
    <cacheField name="Organ System" numFmtId="0">
      <sharedItems count="29">
        <s v="Respiratory"/>
        <s v="Gastrointestinal"/>
        <s v="Cardiovascular"/>
        <s v="Renal"/>
        <s v="Neurological"/>
        <s v="Metabolic"/>
        <s v="NA"/>
        <s v="Hematopoietic"/>
        <s v="Skin"/>
        <s v="Musculoskeletal"/>
        <s v="Oral"/>
        <s v="Muscle"/>
        <s v="Ear"/>
        <s v="Eye"/>
        <s v="Urinary"/>
        <s v="Infectious"/>
        <s v="Immune"/>
        <s v="Connective Tissue"/>
        <s v="Psychiatric"/>
        <s v="Reproductive"/>
        <s v="Blood"/>
        <s v="Liver"/>
        <s v="Skin, Oral"/>
        <s v="Lymphatic"/>
        <s v="Breast"/>
        <s v="Endocrine"/>
        <s v="Mediastinal"/>
        <s v="Cardiovascular, Respiratory"/>
        <s v="Surgical"/>
      </sharedItems>
    </cacheField>
    <cacheField name="Frequency" numFmtId="0">
      <sharedItems containsSemiMixedTypes="0" containsString="0" containsNumber="1" containsInteger="1" minValue="1" maxValue="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akati, Jyothirmai" refreshedDate="45628.676016435187" createdVersion="8" refreshedVersion="8" minRefreshableVersion="3" recordCount="42" xr:uid="{3BE08643-1B18-454C-BB41-5DCAA3DF031E}">
  <cacheSource type="worksheet">
    <worksheetSource ref="A1:C43" sheet="81+_Male"/>
  </cacheSource>
  <cacheFields count="3">
    <cacheField name="Reaction" numFmtId="0">
      <sharedItems/>
    </cacheField>
    <cacheField name="Organ System" numFmtId="0">
      <sharedItems count="16">
        <s v="Respiratory"/>
        <s v="Cardiovascular"/>
        <s v="Neurological"/>
        <s v="Metabolic"/>
        <s v="Musculoskeletal"/>
        <s v="NA"/>
        <s v="Psychiatric"/>
        <s v="Skin"/>
        <s v="Gastrointestinal"/>
        <s v="Hematopoietic"/>
        <s v="Immune"/>
        <s v="Liver"/>
        <s v="Blood"/>
        <s v="Renal"/>
        <s v="Reproductive"/>
        <s v="Urinary"/>
      </sharedItems>
    </cacheField>
    <cacheField name="Frequency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akati, Jyothirmai" refreshedDate="45628.676302314816" createdVersion="8" refreshedVersion="8" minRefreshableVersion="3" recordCount="2250" xr:uid="{35B14F1E-B14B-43CD-A52C-46364D9DE448}">
  <cacheSource type="worksheet">
    <worksheetSource ref="A1:C2251" sheet="61-80_Female"/>
  </cacheSource>
  <cacheFields count="3">
    <cacheField name="Reaction" numFmtId="0">
      <sharedItems/>
    </cacheField>
    <cacheField name="Organ System" numFmtId="0">
      <sharedItems count="45">
        <s v="Eyes"/>
        <s v="Hematopoietic"/>
        <s v="Neurological"/>
        <s v="Urinary"/>
        <s v="Cardiovascular"/>
        <s v="Immune"/>
        <s v="Musculoskeletal"/>
        <s v="Endocrine"/>
        <s v="Gastrointestinal"/>
        <s v="Respiratory"/>
        <s v="Multiple"/>
        <s v="Integumentary"/>
        <s v="Hepatobiliary"/>
        <s v="Oral"/>
        <s v="Digestive"/>
        <s v="Fluid &amp; Electrolyte"/>
        <s v="Lymphatic"/>
        <s v="Metabolic"/>
        <s v="Psychiatric"/>
        <s v="Neoplasm"/>
        <s v="Reproductive"/>
        <s v="Pancreatic"/>
        <s v="Surgical"/>
        <s v="Infectious Disease"/>
        <s v="Otolaryngology"/>
        <s v="Renal"/>
        <s v="Spleen"/>
        <s v="Skin"/>
        <s v="Heart"/>
        <s v="Cardiovascular,Renal"/>
        <s v="Blood"/>
        <s v="NA"/>
        <s v="Nervous System"/>
        <s v="Liver"/>
        <s v="Breast"/>
        <s v="Ear"/>
        <s v="Eye"/>
        <s v="Gastrointestinal, Urinary"/>
        <s v="Cardiovascular, Respiratory"/>
        <s v="Hematopoietic, Liver"/>
        <s v="Infectious"/>
        <s v="Muscle"/>
        <s v="Connective Tissue"/>
        <s v="Pancreas"/>
        <s v="Autoimmune"/>
      </sharedItems>
    </cacheField>
    <cacheField name="Frequency" numFmtId="0">
      <sharedItems containsSemiMixedTypes="0" containsString="0" containsNumber="1" containsInteger="1" minValue="1" maxValue="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akati, Jyothirmai" refreshedDate="45628.676714814814" createdVersion="8" refreshedVersion="8" minRefreshableVersion="3" recordCount="32" xr:uid="{22C7BAA7-2FAA-42B2-81D7-DC2E2D84D9F5}">
  <cacheSource type="worksheet">
    <worksheetSource ref="A1:C33" sheet="61-80_Male"/>
  </cacheSource>
  <cacheFields count="3">
    <cacheField name="Reaction" numFmtId="0">
      <sharedItems/>
    </cacheField>
    <cacheField name="Organ System" numFmtId="0">
      <sharedItems count="12">
        <s v="Gastrointestinal"/>
        <s v="General"/>
        <s v="Hematopoietic"/>
        <s v="Reproductive"/>
        <s v="Nervous"/>
        <s v="Endocrine"/>
        <s v="Musculoskeletal"/>
        <s v="Respiratory"/>
        <s v="Lymphatic"/>
        <s v="Renal"/>
        <s v="Urinary"/>
        <s v="Metabolic"/>
      </sharedItems>
    </cacheField>
    <cacheField name="Frequency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akati, Jyothirmai" refreshedDate="45628.677060995367" createdVersion="8" refreshedVersion="8" minRefreshableVersion="3" recordCount="1404" xr:uid="{A6F83F90-3918-4440-B99D-479989778ED6}">
  <cacheSource type="worksheet">
    <worksheetSource ref="A1:C1405" sheet="51-60_Female"/>
  </cacheSource>
  <cacheFields count="3">
    <cacheField name="Reaction" numFmtId="0">
      <sharedItems/>
    </cacheField>
    <cacheField name="Organ System" numFmtId="0">
      <sharedItems count="31">
        <s v="Nervous"/>
        <s v="Musculoskeletal"/>
        <s v="Hepatic"/>
        <s v="Gastrointestinal"/>
        <s v="General"/>
        <s v="Hematopoietic"/>
        <s v="Reproductive"/>
        <s v="Cardiovascular"/>
        <s v="Infectious"/>
        <s v="Integumentary"/>
        <s v="Respiratory"/>
        <s v="Muscular"/>
        <s v="Endocrine"/>
        <s v="Metabolic"/>
        <s v="Oral"/>
        <s v="Urinary"/>
        <s v="Lymphatic"/>
        <s v="Renal"/>
        <s v="Mental"/>
        <s v="Ocular"/>
        <s v="Biliary"/>
        <s v="Vascular"/>
        <s v="Immune"/>
        <s v="Allergic"/>
        <s v="Auditory"/>
        <s v="Genetic"/>
        <s v="Cardiac"/>
        <s v="Peritoneal"/>
        <s v="Inflammatory"/>
        <s v="Pancreatic"/>
        <s v="Splenic"/>
      </sharedItems>
    </cacheField>
    <cacheField name="Frequency" numFmtId="0">
      <sharedItems containsSemiMixedTypes="0" containsString="0" containsNumber="1" containsInteger="1" minValue="1" maxValue="1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akati, Jyothirmai" refreshedDate="45628.677362615737" createdVersion="8" refreshedVersion="8" minRefreshableVersion="3" recordCount="19" xr:uid="{F286CCF6-8901-41BA-B7C2-B0CBD8CBF848}">
  <cacheSource type="worksheet">
    <worksheetSource ref="A1:C20" sheet="51-60_Male"/>
  </cacheSource>
  <cacheFields count="3">
    <cacheField name="Reaction" numFmtId="0">
      <sharedItems/>
    </cacheField>
    <cacheField name="Organ System" numFmtId="0">
      <sharedItems count="10">
        <s v="Musculoskeletal"/>
        <s v="General"/>
        <s v="Nervous"/>
        <s v="Integumentary"/>
        <s v="Endocrine"/>
        <s v="Mental"/>
        <s v="Respiratory"/>
        <s v="Gastrointestinal"/>
        <s v="Hematopoietic"/>
        <s v="Cardiovascular"/>
      </sharedItems>
    </cacheField>
    <cacheField name="Frequency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akati, Jyothirmai" refreshedDate="45628.677716319442" createdVersion="8" refreshedVersion="8" minRefreshableVersion="3" recordCount="751" xr:uid="{669F236F-05C2-4E00-9368-B387CC53ED7A}">
  <cacheSource type="worksheet">
    <worksheetSource ref="A1:C752" sheet="41-50_Female"/>
  </cacheSource>
  <cacheFields count="3">
    <cacheField name="Reaction" numFmtId="0">
      <sharedItems/>
    </cacheField>
    <cacheField name="Organ System" numFmtId="0">
      <sharedItems count="30">
        <s v="General"/>
        <s v="Hepatic"/>
        <s v="Biliary"/>
        <s v="Cardiovascular"/>
        <s v="Muscular"/>
        <s v="Endocrine"/>
        <s v="Gastrointestinal"/>
        <s v="Mental"/>
        <s v="Musculoskeletal"/>
        <s v="Integumentary"/>
        <s v="Vascular"/>
        <s v="Nervous"/>
        <s v="Infectious"/>
        <s v="Hematopoietic"/>
        <s v="Respiratory"/>
        <s v="Inflammatory"/>
        <s v="Metabolic"/>
        <s v="Immune"/>
        <s v="Ocular"/>
        <s v="Genetic"/>
        <s v="Reproductive"/>
        <s v="Lymphatic"/>
        <s v="Auditory"/>
        <s v="Oral"/>
        <s v="Renal"/>
        <s v="Urinary"/>
        <s v="Hepatobiliary"/>
        <s v="Peritoneal"/>
        <s v="Allergic"/>
        <s v="Pancreatic"/>
      </sharedItems>
    </cacheField>
    <cacheField name="Frequency" numFmtId="0">
      <sharedItems containsSemiMixedTypes="0" containsString="0" containsNumber="1" containsInteger="1" minValue="1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akati, Jyothirmai" refreshedDate="45628.677958449072" createdVersion="8" refreshedVersion="8" minRefreshableVersion="3" recordCount="13" xr:uid="{0A8F1279-F8E7-4BFD-B855-4ACCDB2A6B5A}">
  <cacheSource type="worksheet">
    <worksheetSource ref="A1:C14" sheet="41-50_Male"/>
  </cacheSource>
  <cacheFields count="3">
    <cacheField name="Reaction" numFmtId="0">
      <sharedItems/>
    </cacheField>
    <cacheField name="Organ System" numFmtId="0">
      <sharedItems count="6">
        <s v="Endocrine"/>
        <s v="General"/>
        <s v="Cardiovascular"/>
        <s v="Infectious"/>
        <s v="Hepatic"/>
        <s v="Muscular"/>
      </sharedItems>
    </cacheField>
    <cacheField name="Frequency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akati, Jyothirmai" refreshedDate="45628.678174652778" createdVersion="8" refreshedVersion="8" minRefreshableVersion="3" recordCount="451" xr:uid="{E5AA9479-3C19-46BD-80DA-536DC4008535}">
  <cacheSource type="worksheet">
    <worksheetSource ref="A1:C452" sheet="22-40_Female"/>
  </cacheSource>
  <cacheFields count="3">
    <cacheField name="Reaction" numFmtId="0">
      <sharedItems/>
    </cacheField>
    <cacheField name="Organ System" numFmtId="0">
      <sharedItems count="31">
        <s v="Ocular"/>
        <s v="Oral"/>
        <s v="Nervous"/>
        <s v="Immune"/>
        <s v="Endocrine/Immune"/>
        <s v="Respiratory"/>
        <s v="Gastrointestinal"/>
        <s v="Integumentary"/>
        <s v="General"/>
        <s v="Mental"/>
        <s v="Endocrine/Metabolic"/>
        <s v="Muscular"/>
        <s v="Reproductive"/>
        <s v="Metabolic"/>
        <s v="Musculoskeletal"/>
        <s v="Circulatory"/>
        <s v="Cardiovascular"/>
        <s v="Urinary"/>
        <s v="Endocrine/Integumentary"/>
        <s v="General/Musculoskeletal/Nervous"/>
        <s v="Hematopoietic/Immune"/>
        <s v="Hematopoietic"/>
        <s v="Endocrine"/>
        <s v="Hepatic"/>
        <s v="Auditory"/>
        <s v="Renal"/>
        <s v="Biliary"/>
        <s v="Pancreatic"/>
        <s v="Infectious"/>
        <s v="Vascular"/>
        <s v="Lymphatic"/>
      </sharedItems>
    </cacheField>
    <cacheField name="Frequency" numFmtId="0">
      <sharedItems containsSemiMixedTypes="0" containsString="0" containsNumber="1" containsInteger="1" minValue="1" maxValue="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akati, Jyothirmai" refreshedDate="45628.678385416664" createdVersion="8" refreshedVersion="8" minRefreshableVersion="3" recordCount="3" xr:uid="{0D1F3CD4-83CB-4811-8066-9EC05B98787D}">
  <cacheSource type="worksheet">
    <worksheetSource ref="A1:C4" sheet="22-40_Male"/>
  </cacheSource>
  <cacheFields count="3">
    <cacheField name="Reaction" numFmtId="0">
      <sharedItems/>
    </cacheField>
    <cacheField name="Organ System" numFmtId="0">
      <sharedItems count="3">
        <s v="General"/>
        <s v="Musculoskeletal"/>
        <s v="Reproductive"/>
      </sharedItems>
    </cacheField>
    <cacheField name="Frequency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akati, Jyothirmai" refreshedDate="45628.678612615739" createdVersion="8" refreshedVersion="8" minRefreshableVersion="3" recordCount="12" xr:uid="{197CDF00-02BB-4DFA-9B62-7FE4FD8D00E0}">
  <cacheSource type="worksheet">
    <worksheetSource ref="A1:C13" sheet="13-21_Female"/>
  </cacheSource>
  <cacheFields count="3">
    <cacheField name="Reaction/Condition" numFmtId="0">
      <sharedItems/>
    </cacheField>
    <cacheField name="Organ System" numFmtId="0">
      <sharedItems count="5">
        <s v="Digestive"/>
        <s v="Reproductive"/>
        <s v="Hematopoietic"/>
        <s v="General"/>
        <s v="Nervous"/>
      </sharedItems>
    </cacheField>
    <cacheField name="Frequency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akati, Jyothirmai" refreshedDate="45628.678971990739" createdVersion="8" refreshedVersion="8" minRefreshableVersion="3" recordCount="40" xr:uid="{9AD1F0EC-7865-40E2-811A-453C6D804718}">
  <cacheSource type="worksheet">
    <worksheetSource ref="A1:C41" sheet="13-21_Male"/>
  </cacheSource>
  <cacheFields count="3">
    <cacheField name="Reaction/Condition" numFmtId="0">
      <sharedItems/>
    </cacheField>
    <cacheField name="Organ System" numFmtId="0">
      <sharedItems count="7">
        <s v="Nervous"/>
        <s v="General"/>
        <s v="Musculoskeletal"/>
        <s v="Reproductive"/>
        <s v="Respiratory"/>
        <s v="Cardiovascular"/>
        <s v="Integumentary"/>
      </sharedItems>
    </cacheField>
    <cacheField name="Frequency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akati, Jyothirmai" refreshedDate="45628.6792369213" createdVersion="8" refreshedVersion="8" minRefreshableVersion="3" recordCount="23" xr:uid="{ABAC5CB8-14C5-4059-8026-906A65D8C48D}">
  <cacheSource type="worksheet">
    <worksheetSource ref="A1:C24" sheet="7-12_Male"/>
  </cacheSource>
  <cacheFields count="3">
    <cacheField name="Reaction/Condition" numFmtId="0">
      <sharedItems/>
    </cacheField>
    <cacheField name="Organ System" numFmtId="0">
      <sharedItems count="8">
        <s v="General"/>
        <s v="Hematopoietic"/>
        <s v="Metabolic"/>
        <s v="Musculoskeletal"/>
        <s v="Endocrine"/>
        <s v="Nervous"/>
        <s v="Renal"/>
        <s v="Respiratory"/>
      </sharedItems>
    </cacheField>
    <cacheField name="Frequency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lakati, Jyothirmai" refreshedDate="45628.679600347219" createdVersion="8" refreshedVersion="8" minRefreshableVersion="3" recordCount="2" xr:uid="{FCFAD8B0-F924-4055-96C5-7624415C321F}">
  <cacheSource type="worksheet">
    <worksheetSource ref="A1:C3" sheet="0-6_Female"/>
  </cacheSource>
  <cacheFields count="3">
    <cacheField name="Reaction" numFmtId="0">
      <sharedItems/>
    </cacheField>
    <cacheField name="Organ System" numFmtId="0">
      <sharedItems count="2">
        <s v="Reproductive"/>
        <s v="Auditory"/>
      </sharedItems>
    </cacheField>
    <cacheField name="Frequency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9">
  <r>
    <s v="Empyema"/>
    <x v="0"/>
    <n v="1"/>
  </r>
  <r>
    <s v="Norovirus Infection"/>
    <x v="1"/>
    <n v="1"/>
  </r>
  <r>
    <s v="Atrial Fibrillation"/>
    <x v="2"/>
    <n v="10"/>
  </r>
  <r>
    <s v="Hypotension"/>
    <x v="2"/>
    <n v="6"/>
  </r>
  <r>
    <s v="Acute Kidney Injury"/>
    <x v="3"/>
    <n v="13"/>
  </r>
  <r>
    <s v="Pneumonia"/>
    <x v="0"/>
    <n v="23"/>
  </r>
  <r>
    <s v="Mental Impairment"/>
    <x v="4"/>
    <n v="2"/>
  </r>
  <r>
    <s v="Delirium"/>
    <x v="4"/>
    <n v="2"/>
  </r>
  <r>
    <s v="Pyrexia"/>
    <x v="5"/>
    <n v="15"/>
  </r>
  <r>
    <s v="General Physical Health Deterioration"/>
    <x v="6"/>
    <n v="28"/>
  </r>
  <r>
    <s v="Deep Vein Thrombosis"/>
    <x v="2"/>
    <n v="14"/>
  </r>
  <r>
    <s v="Dementia"/>
    <x v="4"/>
    <n v="2"/>
  </r>
  <r>
    <s v="Agranulocytosis"/>
    <x v="7"/>
    <n v="13"/>
  </r>
  <r>
    <s v="Pulmonary Embolism"/>
    <x v="0"/>
    <n v="18"/>
  </r>
  <r>
    <s v="Injection Related Reaction"/>
    <x v="8"/>
    <n v="1"/>
  </r>
  <r>
    <s v="Head Injury"/>
    <x v="4"/>
    <n v="3"/>
  </r>
  <r>
    <s v="Dyspepsia"/>
    <x v="1"/>
    <n v="4"/>
  </r>
  <r>
    <s v="Vertigo"/>
    <x v="4"/>
    <n v="9"/>
  </r>
  <r>
    <s v="Back Pain"/>
    <x v="9"/>
    <n v="10"/>
  </r>
  <r>
    <s v="Constipation"/>
    <x v="1"/>
    <n v="30"/>
  </r>
  <r>
    <s v="Toothache"/>
    <x v="10"/>
    <n v="3"/>
  </r>
  <r>
    <s v="Dysgeusia"/>
    <x v="4"/>
    <n v="3"/>
  </r>
  <r>
    <s v="Skin Reaction"/>
    <x v="8"/>
    <n v="1"/>
  </r>
  <r>
    <s v="Arthralgia"/>
    <x v="9"/>
    <n v="33"/>
  </r>
  <r>
    <s v="Injection Site Discomfort"/>
    <x v="8"/>
    <n v="1"/>
  </r>
  <r>
    <s v="Haematoma Muscle"/>
    <x v="9"/>
    <n v="1"/>
  </r>
  <r>
    <s v="Neutrophil Count Decreased"/>
    <x v="7"/>
    <n v="4"/>
  </r>
  <r>
    <s v="Dizziness"/>
    <x v="4"/>
    <n v="30"/>
  </r>
  <r>
    <s v="Oedema Peripheral"/>
    <x v="2"/>
    <n v="20"/>
  </r>
  <r>
    <s v="Dry Mouth"/>
    <x v="10"/>
    <n v="2"/>
  </r>
  <r>
    <s v="Nausea"/>
    <x v="1"/>
    <n v="37"/>
  </r>
  <r>
    <s v="Fall"/>
    <x v="9"/>
    <n v="27"/>
  </r>
  <r>
    <s v="Diarrhoea"/>
    <x v="1"/>
    <n v="42"/>
  </r>
  <r>
    <s v="Joint Swelling"/>
    <x v="9"/>
    <n v="6"/>
  </r>
  <r>
    <s v="Chest Pain"/>
    <x v="2"/>
    <n v="5"/>
  </r>
  <r>
    <s v="Dyspnoea"/>
    <x v="0"/>
    <n v="46"/>
  </r>
  <r>
    <s v="Electrocardiogram Qt Prolonged"/>
    <x v="2"/>
    <n v="7"/>
  </r>
  <r>
    <s v="Haemorrhage"/>
    <x v="7"/>
    <n v="1"/>
  </r>
  <r>
    <s v="Musculoskeletal Chest Pain"/>
    <x v="9"/>
    <n v="2"/>
  </r>
  <r>
    <s v="Syncope"/>
    <x v="2"/>
    <n v="4"/>
  </r>
  <r>
    <s v="White Blood Cell Count Decreased"/>
    <x v="7"/>
    <n v="21"/>
  </r>
  <r>
    <s v="Radiation Injury"/>
    <x v="6"/>
    <n v="5"/>
  </r>
  <r>
    <s v="Obstruction"/>
    <x v="6"/>
    <n v="7"/>
  </r>
  <r>
    <s v="Balance Disorder"/>
    <x v="4"/>
    <n v="9"/>
  </r>
  <r>
    <s v="Limb Injury"/>
    <x v="9"/>
    <n v="8"/>
  </r>
  <r>
    <s v="Arrhythmia"/>
    <x v="2"/>
    <n v="15"/>
  </r>
  <r>
    <s v="Femoral Neck Fracture"/>
    <x v="9"/>
    <n v="6"/>
  </r>
  <r>
    <s v="Musculoskeletal Disorder"/>
    <x v="9"/>
    <n v="7"/>
  </r>
  <r>
    <s v="Dyspnoea Exertional"/>
    <x v="0"/>
    <n v="9"/>
  </r>
  <r>
    <s v="Spinal Fracture"/>
    <x v="9"/>
    <n v="9"/>
  </r>
  <r>
    <s v="Abdominal Pain"/>
    <x v="1"/>
    <n v="16"/>
  </r>
  <r>
    <s v="Leukopenia"/>
    <x v="7"/>
    <n v="39"/>
  </r>
  <r>
    <s v="Death"/>
    <x v="6"/>
    <n v="17"/>
  </r>
  <r>
    <s v="Sleep Apnoea Syndrome"/>
    <x v="0"/>
    <n v="2"/>
  </r>
  <r>
    <s v="Neutropenia"/>
    <x v="7"/>
    <n v="71"/>
  </r>
  <r>
    <s v="Weight Decreased"/>
    <x v="5"/>
    <n v="16"/>
  </r>
  <r>
    <s v="Hypertension"/>
    <x v="2"/>
    <n v="16"/>
  </r>
  <r>
    <s v="Rhabdomyolysis"/>
    <x v="11"/>
    <n v="2"/>
  </r>
  <r>
    <s v="Drug Interaction"/>
    <x v="6"/>
    <n v="1"/>
  </r>
  <r>
    <s v="Anaemia"/>
    <x v="7"/>
    <n v="48"/>
  </r>
  <r>
    <s v="Hypoacusis"/>
    <x v="12"/>
    <n v="4"/>
  </r>
  <r>
    <s v="Dry Eye"/>
    <x v="13"/>
    <n v="1"/>
  </r>
  <r>
    <s v="Rhinorrhoea"/>
    <x v="0"/>
    <n v="1"/>
  </r>
  <r>
    <s v="Pollakiuria"/>
    <x v="14"/>
    <n v="2"/>
  </r>
  <r>
    <s v="Asthenia"/>
    <x v="4"/>
    <n v="46"/>
  </r>
  <r>
    <s v="Dry Skin"/>
    <x v="8"/>
    <n v="5"/>
  </r>
  <r>
    <s v="Dengue Fever"/>
    <x v="15"/>
    <n v="1"/>
  </r>
  <r>
    <s v="Bone Disorder"/>
    <x v="9"/>
    <n v="1"/>
  </r>
  <r>
    <s v="Hypersensitivity"/>
    <x v="16"/>
    <n v="3"/>
  </r>
  <r>
    <s v="Decreased Appetite"/>
    <x v="5"/>
    <n v="23"/>
  </r>
  <r>
    <s v="Muscular Weakness"/>
    <x v="9"/>
    <n v="9"/>
  </r>
  <r>
    <s v="Fatigue"/>
    <x v="4"/>
    <n v="48"/>
  </r>
  <r>
    <s v="Decreased Immune Responsiveness"/>
    <x v="16"/>
    <n v="2"/>
  </r>
  <r>
    <s v="Connective Tissue Disorder"/>
    <x v="17"/>
    <n v="5"/>
  </r>
  <r>
    <s v="Femur Fracture"/>
    <x v="9"/>
    <n v="6"/>
  </r>
  <r>
    <s v="Lumbar Vertebral Fracture"/>
    <x v="9"/>
    <n v="8"/>
  </r>
  <r>
    <s v="Osteoporotic Fracture"/>
    <x v="9"/>
    <n v="7"/>
  </r>
  <r>
    <s v="Renal Failure"/>
    <x v="3"/>
    <n v="12"/>
  </r>
  <r>
    <s v="Blood Creatinine Increased"/>
    <x v="3"/>
    <n v="9"/>
  </r>
  <r>
    <s v="Erythema"/>
    <x v="8"/>
    <n v="10"/>
  </r>
  <r>
    <s v="Neck Pain"/>
    <x v="9"/>
    <n v="3"/>
  </r>
  <r>
    <s v="Pruritus"/>
    <x v="8"/>
    <n v="21"/>
  </r>
  <r>
    <s v="Infusion Related Reaction"/>
    <x v="8"/>
    <n v="3"/>
  </r>
  <r>
    <s v="Osteonecrosis Of Jaw"/>
    <x v="9"/>
    <n v="4"/>
  </r>
  <r>
    <s v="Prurigo"/>
    <x v="8"/>
    <n v="5"/>
  </r>
  <r>
    <s v="Sepsis"/>
    <x v="15"/>
    <n v="11"/>
  </r>
  <r>
    <s v="Quadriplegia"/>
    <x v="4"/>
    <n v="2"/>
  </r>
  <r>
    <s v="Cardiac Failure"/>
    <x v="2"/>
    <n v="22"/>
  </r>
  <r>
    <s v="Thrombocytopenia"/>
    <x v="7"/>
    <n v="35"/>
  </r>
  <r>
    <s v="Cerebrovascular Accident"/>
    <x v="4"/>
    <n v="13"/>
  </r>
  <r>
    <s v="Cachexia"/>
    <x v="5"/>
    <n v="3"/>
  </r>
  <r>
    <s v="Pneumonitis"/>
    <x v="0"/>
    <n v="3"/>
  </r>
  <r>
    <s v="Tooth Disorder"/>
    <x v="10"/>
    <n v="2"/>
  </r>
  <r>
    <s v="Interstitial Lung Disease"/>
    <x v="0"/>
    <n v="23"/>
  </r>
  <r>
    <s v="Nasopharyngitis"/>
    <x v="0"/>
    <n v="5"/>
  </r>
  <r>
    <s v="Tremor"/>
    <x v="4"/>
    <n v="4"/>
  </r>
  <r>
    <s v="Illness"/>
    <x v="6"/>
    <n v="1"/>
  </r>
  <r>
    <s v="Cough"/>
    <x v="0"/>
    <n v="13"/>
  </r>
  <r>
    <s v="Malaise"/>
    <x v="4"/>
    <n v="18"/>
  </r>
  <r>
    <s v="Neoplasm Progression"/>
    <x v="6"/>
    <n v="19"/>
  </r>
  <r>
    <s v="Mitral Valve Disease"/>
    <x v="2"/>
    <n v="2"/>
  </r>
  <r>
    <s v="Anxiety"/>
    <x v="18"/>
    <n v="6"/>
  </r>
  <r>
    <s v="Endometrial Neoplasm"/>
    <x v="19"/>
    <n v="2"/>
  </r>
  <r>
    <s v="Red Blood Cell Count Decreased"/>
    <x v="7"/>
    <n v="11"/>
  </r>
  <r>
    <s v="Feeling Abnormal"/>
    <x v="4"/>
    <n v="8"/>
  </r>
  <r>
    <s v="Fear"/>
    <x v="18"/>
    <n v="2"/>
  </r>
  <r>
    <s v="Pleural Effusion"/>
    <x v="0"/>
    <n v="17"/>
  </r>
  <r>
    <s v="Visual Impairment"/>
    <x v="13"/>
    <n v="8"/>
  </r>
  <r>
    <s v="Drug Withdrawal Syndrome"/>
    <x v="4"/>
    <n v="2"/>
  </r>
  <r>
    <s v="Immune System Disorder"/>
    <x v="16"/>
    <n v="2"/>
  </r>
  <r>
    <s v="Dark Circles Under Eyes"/>
    <x v="8"/>
    <n v="2"/>
  </r>
  <r>
    <s v="Finger Deformity"/>
    <x v="9"/>
    <n v="2"/>
  </r>
  <r>
    <s v="Skin Disorder"/>
    <x v="8"/>
    <n v="9"/>
  </r>
  <r>
    <s v="Haematoma"/>
    <x v="8"/>
    <n v="4"/>
  </r>
  <r>
    <s v="Throat Tightness"/>
    <x v="0"/>
    <n v="2"/>
  </r>
  <r>
    <s v="Eye Disorder"/>
    <x v="13"/>
    <n v="3"/>
  </r>
  <r>
    <s v="Blood Iron Decreased"/>
    <x v="7"/>
    <n v="3"/>
  </r>
  <r>
    <s v="Head Discomfort"/>
    <x v="4"/>
    <n v="2"/>
  </r>
  <r>
    <s v="Platelet Count Decreased"/>
    <x v="7"/>
    <n v="5"/>
  </r>
  <r>
    <s v="Cataract"/>
    <x v="13"/>
    <n v="4"/>
  </r>
  <r>
    <s v="Cardiac Disorder"/>
    <x v="2"/>
    <n v="2"/>
  </r>
  <r>
    <s v="Hair Colour Changes"/>
    <x v="8"/>
    <n v="2"/>
  </r>
  <r>
    <s v="Vision Blurred"/>
    <x v="13"/>
    <n v="5"/>
  </r>
  <r>
    <s v="Lacrimation Increased"/>
    <x v="13"/>
    <n v="5"/>
  </r>
  <r>
    <s v="Pain In Extremity"/>
    <x v="9"/>
    <n v="19"/>
  </r>
  <r>
    <s v="Tinnitus"/>
    <x v="12"/>
    <n v="3"/>
  </r>
  <r>
    <s v="Heart Rate Increased"/>
    <x v="2"/>
    <n v="9"/>
  </r>
  <r>
    <s v="Bladder Neoplasm"/>
    <x v="14"/>
    <n v="2"/>
  </r>
  <r>
    <s v="Second Primary Malignancy"/>
    <x v="6"/>
    <n v="6"/>
  </r>
  <r>
    <s v="Visual Acuity Reduced"/>
    <x v="13"/>
    <n v="5"/>
  </r>
  <r>
    <s v="Suicidal Ideation"/>
    <x v="18"/>
    <n v="2"/>
  </r>
  <r>
    <s v="Arthropathy"/>
    <x v="9"/>
    <n v="2"/>
  </r>
  <r>
    <s v="Stress"/>
    <x v="18"/>
    <n v="6"/>
  </r>
  <r>
    <s v="Rheumatoid Arthritis"/>
    <x v="9"/>
    <n v="2"/>
  </r>
  <r>
    <s v="Chest Discomfort"/>
    <x v="2"/>
    <n v="3"/>
  </r>
  <r>
    <s v="Depressed Mood"/>
    <x v="18"/>
    <n v="13"/>
  </r>
  <r>
    <s v="Haematocrit Decreased"/>
    <x v="7"/>
    <n v="8"/>
  </r>
  <r>
    <s v="Alopecia"/>
    <x v="8"/>
    <n v="35"/>
  </r>
  <r>
    <s v="Contusion"/>
    <x v="8"/>
    <n v="10"/>
  </r>
  <r>
    <s v="Psychiatric Symptom"/>
    <x v="18"/>
    <n v="3"/>
  </r>
  <r>
    <s v="Mood Altered"/>
    <x v="18"/>
    <n v="2"/>
  </r>
  <r>
    <s v="Asocial Behaviour"/>
    <x v="18"/>
    <n v="2"/>
  </r>
  <r>
    <s v="Mean Cell Haemoglobin Increased"/>
    <x v="20"/>
    <n v="3"/>
  </r>
  <r>
    <s v="Red Cell Distribution Width Increased"/>
    <x v="20"/>
    <n v="5"/>
  </r>
  <r>
    <s v="Monocyte Count Increased"/>
    <x v="20"/>
    <n v="2"/>
  </r>
  <r>
    <s v="Mean Cell Volume Increased"/>
    <x v="20"/>
    <n v="4"/>
  </r>
  <r>
    <s v="Blister"/>
    <x v="8"/>
    <n v="4"/>
  </r>
  <r>
    <s v="Epistaxis"/>
    <x v="7"/>
    <n v="12"/>
  </r>
  <r>
    <s v="Ischaemic Stroke"/>
    <x v="4"/>
    <n v="14"/>
  </r>
  <r>
    <s v="Product Prescribing Issue"/>
    <x v="6"/>
    <n v="1"/>
  </r>
  <r>
    <s v="Cytopenia"/>
    <x v="7"/>
    <n v="2"/>
  </r>
  <r>
    <s v="Product Dose Omission Issue"/>
    <x v="6"/>
    <n v="1"/>
  </r>
  <r>
    <s v="Chills"/>
    <x v="5"/>
    <n v="8"/>
  </r>
  <r>
    <s v="Hypocalcaemia"/>
    <x v="5"/>
    <n v="3"/>
  </r>
  <r>
    <s v="Cholestasis"/>
    <x v="21"/>
    <n v="5"/>
  </r>
  <r>
    <s v="Hyponatraemia"/>
    <x v="5"/>
    <n v="9"/>
  </r>
  <r>
    <s v="Erysipelas"/>
    <x v="8"/>
    <n v="4"/>
  </r>
  <r>
    <s v="Blood Sodium Decreased"/>
    <x v="5"/>
    <n v="2"/>
  </r>
  <r>
    <s v="Chronic Kidney Disease"/>
    <x v="3"/>
    <n v="2"/>
  </r>
  <r>
    <s v="Sleep Disorder"/>
    <x v="4"/>
    <n v="4"/>
  </r>
  <r>
    <s v="Hypernatraemia"/>
    <x v="5"/>
    <n v="1"/>
  </r>
  <r>
    <s v="Influenza"/>
    <x v="15"/>
    <n v="2"/>
  </r>
  <r>
    <s v="Abdominal Pain Upper"/>
    <x v="1"/>
    <n v="5"/>
  </r>
  <r>
    <s v="Loss Of Personal Independence In Daily Activities"/>
    <x v="6"/>
    <n v="2"/>
  </r>
  <r>
    <s v="Full Blood Count Decreased"/>
    <x v="7"/>
    <n v="3"/>
  </r>
  <r>
    <s v="Campylobacter Gastroenteritis"/>
    <x v="1"/>
    <n v="2"/>
  </r>
  <r>
    <s v="Hypersomnia"/>
    <x v="4"/>
    <n v="4"/>
  </r>
  <r>
    <s v="Covid-19"/>
    <x v="0"/>
    <n v="6"/>
  </r>
  <r>
    <s v="Underweight"/>
    <x v="5"/>
    <n v="1"/>
  </r>
  <r>
    <s v="Vomiting"/>
    <x v="1"/>
    <n v="15"/>
  </r>
  <r>
    <s v="Product Use Issue"/>
    <x v="6"/>
    <n v="2"/>
  </r>
  <r>
    <s v="Pyelonephritis Acute"/>
    <x v="3"/>
    <n v="3"/>
  </r>
  <r>
    <s v="Mucosal Dryness"/>
    <x v="22"/>
    <n v="4"/>
  </r>
  <r>
    <s v="Neoplasm Malignant"/>
    <x v="6"/>
    <n v="6"/>
  </r>
  <r>
    <s v="Pancytopenia"/>
    <x v="7"/>
    <n v="14"/>
  </r>
  <r>
    <s v="Eating Disorder"/>
    <x v="18"/>
    <n v="4"/>
  </r>
  <r>
    <s v="Gastric Cancer"/>
    <x v="1"/>
    <n v="1"/>
  </r>
  <r>
    <s v="Acidosis"/>
    <x v="5"/>
    <n v="2"/>
  </r>
  <r>
    <s v="Drug Intolerance"/>
    <x v="6"/>
    <n v="4"/>
  </r>
  <r>
    <s v="Tubulointerstitial Nephritis"/>
    <x v="3"/>
    <n v="2"/>
  </r>
  <r>
    <s v="Nephroangiosclerosis"/>
    <x v="3"/>
    <n v="2"/>
  </r>
  <r>
    <s v="Hypokalaemia"/>
    <x v="5"/>
    <n v="3"/>
  </r>
  <r>
    <s v="Nephrocalcinosis"/>
    <x v="3"/>
    <n v="2"/>
  </r>
  <r>
    <s v="Lymphangitis"/>
    <x v="23"/>
    <n v="1"/>
  </r>
  <r>
    <s v="Gastritis"/>
    <x v="1"/>
    <n v="4"/>
  </r>
  <r>
    <s v="Hot Flush"/>
    <x v="19"/>
    <n v="9"/>
  </r>
  <r>
    <s v="Musculoskeletal Pain"/>
    <x v="9"/>
    <n v="7"/>
  </r>
  <r>
    <s v="Pain"/>
    <x v="6"/>
    <n v="15"/>
  </r>
  <r>
    <s v="Joint Warmth"/>
    <x v="9"/>
    <n v="1"/>
  </r>
  <r>
    <s v="Vitamin D Deficiency"/>
    <x v="5"/>
    <n v="1"/>
  </r>
  <r>
    <s v="Blood Sodium Increased"/>
    <x v="5"/>
    <n v="1"/>
  </r>
  <r>
    <s v="Dysphagia"/>
    <x v="1"/>
    <n v="9"/>
  </r>
  <r>
    <s v="Bronchitis"/>
    <x v="0"/>
    <n v="5"/>
  </r>
  <r>
    <s v="Cystitis"/>
    <x v="14"/>
    <n v="3"/>
  </r>
  <r>
    <s v="Blood Pressure Increased"/>
    <x v="2"/>
    <n v="4"/>
  </r>
  <r>
    <s v="Oedema"/>
    <x v="2"/>
    <n v="5"/>
  </r>
  <r>
    <s v="Tachyarrhythmia"/>
    <x v="2"/>
    <n v="3"/>
  </r>
  <r>
    <s v="Breast Cancer Metastatic"/>
    <x v="24"/>
    <n v="9"/>
  </r>
  <r>
    <s v="Malignant Neoplasm Progression"/>
    <x v="6"/>
    <n v="15"/>
  </r>
  <r>
    <s v="Metastases To Bone"/>
    <x v="9"/>
    <n v="4"/>
  </r>
  <r>
    <s v="Electrocardiogram Pr Prolongation"/>
    <x v="2"/>
    <n v="1"/>
  </r>
  <r>
    <s v="Hypophagia"/>
    <x v="5"/>
    <n v="1"/>
  </r>
  <r>
    <s v="Bradycardia"/>
    <x v="2"/>
    <n v="6"/>
  </r>
  <r>
    <s v="Troponin Increased"/>
    <x v="2"/>
    <n v="5"/>
  </r>
  <r>
    <s v="Atrioventricular Block Complete"/>
    <x v="2"/>
    <n v="6"/>
  </r>
  <r>
    <s v="Depression"/>
    <x v="18"/>
    <n v="8"/>
  </r>
  <r>
    <s v="Hypothyroidism"/>
    <x v="25"/>
    <n v="9"/>
  </r>
  <r>
    <s v="Maternal Exposure During Pregnancy"/>
    <x v="19"/>
    <n v="2"/>
  </r>
  <r>
    <s v="Congenital Genital Malformation Female"/>
    <x v="19"/>
    <n v="1"/>
  </r>
  <r>
    <s v="Pulmonary Fibrosis"/>
    <x v="0"/>
    <n v="9"/>
  </r>
  <r>
    <s v="Onycholysis"/>
    <x v="8"/>
    <n v="1"/>
  </r>
  <r>
    <s v="Inflammation"/>
    <x v="6"/>
    <n v="4"/>
  </r>
  <r>
    <s v="Abdominal Hernia"/>
    <x v="1"/>
    <n v="3"/>
  </r>
  <r>
    <s v="Gastric Haemorrhage"/>
    <x v="1"/>
    <n v="3"/>
  </r>
  <r>
    <s v="Haemorrhoids"/>
    <x v="1"/>
    <n v="2"/>
  </r>
  <r>
    <s v="Headache"/>
    <x v="4"/>
    <n v="9"/>
  </r>
  <r>
    <s v="Hypoaesthesia"/>
    <x v="4"/>
    <n v="4"/>
  </r>
  <r>
    <s v="Nocturia"/>
    <x v="14"/>
    <n v="2"/>
  </r>
  <r>
    <s v="Dysuria"/>
    <x v="14"/>
    <n v="2"/>
  </r>
  <r>
    <s v="Mucosal Inflammation"/>
    <x v="6"/>
    <n v="10"/>
  </r>
  <r>
    <s v="Carpal Tunnel Syndrome"/>
    <x v="4"/>
    <n v="2"/>
  </r>
  <r>
    <s v="Osteoarthritis"/>
    <x v="9"/>
    <n v="5"/>
  </r>
  <r>
    <s v="Rash"/>
    <x v="8"/>
    <n v="9"/>
  </r>
  <r>
    <s v="Insomnia"/>
    <x v="4"/>
    <n v="3"/>
  </r>
  <r>
    <s v="Rash Erythematous"/>
    <x v="8"/>
    <n v="2"/>
  </r>
  <r>
    <s v="Rash Macular"/>
    <x v="8"/>
    <n v="3"/>
  </r>
  <r>
    <s v="Nasal Inflammation"/>
    <x v="0"/>
    <n v="2"/>
  </r>
  <r>
    <s v="Skin Odour Abnormal"/>
    <x v="8"/>
    <n v="2"/>
  </r>
  <r>
    <s v="Dermatitis"/>
    <x v="8"/>
    <n v="9"/>
  </r>
  <r>
    <s v="Lung Disorder"/>
    <x v="0"/>
    <n v="9"/>
  </r>
  <r>
    <s v="Haemoptysis"/>
    <x v="0"/>
    <n v="1"/>
  </r>
  <r>
    <s v="Transient Ischaemic Attack"/>
    <x v="4"/>
    <n v="4"/>
  </r>
  <r>
    <s v="Condition Aggravated"/>
    <x v="6"/>
    <n v="5"/>
  </r>
  <r>
    <s v="Febrile Neutropenia"/>
    <x v="7"/>
    <n v="3"/>
  </r>
  <r>
    <s v="Hallucination, Visual"/>
    <x v="4"/>
    <n v="7"/>
  </r>
  <r>
    <s v="Ophthalmic Migraine"/>
    <x v="4"/>
    <n v="6"/>
  </r>
  <r>
    <s v="Migraine"/>
    <x v="4"/>
    <n v="6"/>
  </r>
  <r>
    <s v="Nail Disorder"/>
    <x v="8"/>
    <n v="3"/>
  </r>
  <r>
    <s v="Escherichia Urinary Tract Infection"/>
    <x v="14"/>
    <n v="2"/>
  </r>
  <r>
    <s v="Wound Infection"/>
    <x v="8"/>
    <n v="3"/>
  </r>
  <r>
    <s v="Tumour Ulceration"/>
    <x v="6"/>
    <n v="3"/>
  </r>
  <r>
    <s v="Hypercalcaemia"/>
    <x v="5"/>
    <n v="2"/>
  </r>
  <r>
    <s v="Diverticulitis"/>
    <x v="1"/>
    <n v="2"/>
  </r>
  <r>
    <s v="Hepatitis Cholestatic"/>
    <x v="21"/>
    <n v="6"/>
  </r>
  <r>
    <s v="Drug Ineffective"/>
    <x v="6"/>
    <n v="7"/>
  </r>
  <r>
    <s v="Product Substitution Issue"/>
    <x v="6"/>
    <n v="2"/>
  </r>
  <r>
    <s v="Suspected Product Quality Issue"/>
    <x v="6"/>
    <n v="1"/>
  </r>
  <r>
    <s v="Lethargy"/>
    <x v="4"/>
    <n v="6"/>
  </r>
  <r>
    <s v="Swelling"/>
    <x v="6"/>
    <n v="4"/>
  </r>
  <r>
    <s v="Disorientation"/>
    <x v="4"/>
    <n v="6"/>
  </r>
  <r>
    <s v="Lymphoedema"/>
    <x v="23"/>
    <n v="3"/>
  </r>
  <r>
    <s v="Madarosis"/>
    <x v="8"/>
    <n v="3"/>
  </r>
  <r>
    <s v="Sciatic Nerve Injury"/>
    <x v="4"/>
    <n v="1"/>
  </r>
  <r>
    <s v="Fracture"/>
    <x v="9"/>
    <n v="6"/>
  </r>
  <r>
    <s v="Humerus Fracture"/>
    <x v="9"/>
    <n v="4"/>
  </r>
  <r>
    <s v="Renal Impairment"/>
    <x v="3"/>
    <n v="5"/>
  </r>
  <r>
    <s v="Palmar-Plantar Erythrodysaesthesia Syndrome"/>
    <x v="8"/>
    <n v="3"/>
  </r>
  <r>
    <s v="Skin Ulcer"/>
    <x v="8"/>
    <n v="2"/>
  </r>
  <r>
    <s v="Urinary Tract Infection"/>
    <x v="14"/>
    <n v="9"/>
  </r>
  <r>
    <s v="Radiation Skin Injury"/>
    <x v="8"/>
    <n v="2"/>
  </r>
  <r>
    <s v="Myalgia"/>
    <x v="9"/>
    <n v="7"/>
  </r>
  <r>
    <s v="Superficial Vein Thrombosis"/>
    <x v="2"/>
    <n v="2"/>
  </r>
  <r>
    <s v="Malignant Pleural Effusion"/>
    <x v="0"/>
    <n v="3"/>
  </r>
  <r>
    <s v="Neuropathy Peripheral"/>
    <x v="4"/>
    <n v="5"/>
  </r>
  <r>
    <s v="Stomatitis"/>
    <x v="10"/>
    <n v="7"/>
  </r>
  <r>
    <s v="Neuralgia"/>
    <x v="4"/>
    <n v="6"/>
  </r>
  <r>
    <s v="Embolism"/>
    <x v="2"/>
    <n v="3"/>
  </r>
  <r>
    <s v="Hip Fracture"/>
    <x v="9"/>
    <n v="6"/>
  </r>
  <r>
    <s v="Skin Infection"/>
    <x v="8"/>
    <n v="3"/>
  </r>
  <r>
    <s v="Therapy Interrupted"/>
    <x v="6"/>
    <n v="2"/>
  </r>
  <r>
    <s v="Oropharyngeal Discomfort"/>
    <x v="10"/>
    <n v="1"/>
  </r>
  <r>
    <s v="Peripheral Ischaemia"/>
    <x v="2"/>
    <n v="3"/>
  </r>
  <r>
    <s v="Hospice Care"/>
    <x v="6"/>
    <n v="2"/>
  </r>
  <r>
    <s v="Respiratory Failure"/>
    <x v="0"/>
    <n v="3"/>
  </r>
  <r>
    <s v="Gastroenteritis"/>
    <x v="1"/>
    <n v="3"/>
  </r>
  <r>
    <s v="Breast Oedema"/>
    <x v="24"/>
    <n v="3"/>
  </r>
  <r>
    <s v="Metastases To Peritoneum"/>
    <x v="1"/>
    <n v="2"/>
  </r>
  <r>
    <s v="Urinary Retention"/>
    <x v="14"/>
    <n v="1"/>
  </r>
  <r>
    <s v="Polyneuropathy"/>
    <x v="4"/>
    <n v="1"/>
  </r>
  <r>
    <s v="Skin Fissures"/>
    <x v="8"/>
    <n v="1"/>
  </r>
  <r>
    <s v="Treatment Failure"/>
    <x v="6"/>
    <n v="3"/>
  </r>
  <r>
    <s v="Eosinophil Count Decreased"/>
    <x v="7"/>
    <n v="1"/>
  </r>
  <r>
    <s v="Eosinophil Count Increased"/>
    <x v="7"/>
    <n v="1"/>
  </r>
  <r>
    <s v="Pneumonia Bacterial"/>
    <x v="0"/>
    <n v="1"/>
  </r>
  <r>
    <s v="Cardiomegaly"/>
    <x v="2"/>
    <n v="2"/>
  </r>
  <r>
    <s v="Lymphocyte Count Decreased"/>
    <x v="7"/>
    <n v="4"/>
  </r>
  <r>
    <s v="Lymphocyte Count Increased"/>
    <x v="7"/>
    <n v="1"/>
  </r>
  <r>
    <s v="Atrial Enlargement"/>
    <x v="2"/>
    <n v="1"/>
  </r>
  <r>
    <s v="Monocyte Count Decreased"/>
    <x v="7"/>
    <n v="1"/>
  </r>
  <r>
    <s v="Left Ventricular Dysfunction"/>
    <x v="2"/>
    <n v="1"/>
  </r>
  <r>
    <s v="Haemoglobin Decreased"/>
    <x v="7"/>
    <n v="14"/>
  </r>
  <r>
    <s v="Creatinine Renal Clearance Decreased"/>
    <x v="3"/>
    <n v="4"/>
  </r>
  <r>
    <s v="Body Surface Area Increased"/>
    <x v="6"/>
    <n v="4"/>
  </r>
  <r>
    <s v="Weight Increased"/>
    <x v="5"/>
    <n v="10"/>
  </r>
  <r>
    <s v="Blood Cholesterol Increased"/>
    <x v="5"/>
    <n v="2"/>
  </r>
  <r>
    <s v="Osteopenia"/>
    <x v="9"/>
    <n v="3"/>
  </r>
  <r>
    <s v="Hallucination"/>
    <x v="4"/>
    <n v="6"/>
  </r>
  <r>
    <s v="Skin Fibrosis"/>
    <x v="8"/>
    <n v="1"/>
  </r>
  <r>
    <s v="Scleroderma-Like Reaction"/>
    <x v="8"/>
    <n v="1"/>
  </r>
  <r>
    <s v="Musculoskeletal Stiffness"/>
    <x v="9"/>
    <n v="1"/>
  </r>
  <r>
    <s v="Osteoporosis"/>
    <x v="9"/>
    <n v="6"/>
  </r>
  <r>
    <s v="Varicella"/>
    <x v="8"/>
    <n v="1"/>
  </r>
  <r>
    <s v="Blood Pressure Decreased"/>
    <x v="2"/>
    <n v="3"/>
  </r>
  <r>
    <s v="Diabetes Mellitus"/>
    <x v="25"/>
    <n v="1"/>
  </r>
  <r>
    <s v="Nephropathy Toxic"/>
    <x v="3"/>
    <n v="1"/>
  </r>
  <r>
    <s v="Kidney Infection"/>
    <x v="3"/>
    <n v="1"/>
  </r>
  <r>
    <s v="Acute Coronary Syndrome"/>
    <x v="2"/>
    <n v="6"/>
  </r>
  <r>
    <s v="Nodule"/>
    <x v="8"/>
    <n v="1"/>
  </r>
  <r>
    <s v="Peripheral Venous Disease"/>
    <x v="2"/>
    <n v="1"/>
  </r>
  <r>
    <s v="Body Surface Area Decreased"/>
    <x v="6"/>
    <n v="2"/>
  </r>
  <r>
    <s v="Confusional State"/>
    <x v="4"/>
    <n v="11"/>
  </r>
  <r>
    <s v="Protein Urine Present"/>
    <x v="3"/>
    <n v="1"/>
  </r>
  <r>
    <s v="C-Reactive Protein Increased"/>
    <x v="16"/>
    <n v="8"/>
  </r>
  <r>
    <s v="Ph Body Fluid Increased"/>
    <x v="5"/>
    <n v="1"/>
  </r>
  <r>
    <s v="Ankle Fracture"/>
    <x v="9"/>
    <n v="1"/>
  </r>
  <r>
    <s v="Blood Phosphorus Decreased"/>
    <x v="5"/>
    <n v="1"/>
  </r>
  <r>
    <s v="Po2 Decreased"/>
    <x v="0"/>
    <n v="1"/>
  </r>
  <r>
    <s v="Base Excess Increased"/>
    <x v="5"/>
    <n v="1"/>
  </r>
  <r>
    <s v="Mean Cell Haemoglobin"/>
    <x v="20"/>
    <n v="2"/>
  </r>
  <r>
    <s v="Alpha-1 Antitrypsin Deficiency"/>
    <x v="5"/>
    <n v="1"/>
  </r>
  <r>
    <s v="Neutrophil Count Increased"/>
    <x v="7"/>
    <n v="1"/>
  </r>
  <r>
    <s v="Coagulopathy"/>
    <x v="20"/>
    <n v="2"/>
  </r>
  <r>
    <s v="Oxygen Saturation Decreased"/>
    <x v="0"/>
    <n v="3"/>
  </r>
  <r>
    <s v="Urobilinogen Urine Increased"/>
    <x v="21"/>
    <n v="1"/>
  </r>
  <r>
    <s v="Gamma-Glutamyltransferase Increased"/>
    <x v="21"/>
    <n v="2"/>
  </r>
  <r>
    <s v="Blood Glucose Increased"/>
    <x v="5"/>
    <n v="4"/>
  </r>
  <r>
    <s v="Red Blood Cells Urine Positive"/>
    <x v="3"/>
    <n v="4"/>
  </r>
  <r>
    <s v="Blood Lactate Dehydrogenase Increased"/>
    <x v="21"/>
    <n v="1"/>
  </r>
  <r>
    <s v="Phlebitis Superficial"/>
    <x v="2"/>
    <n v="1"/>
  </r>
  <r>
    <s v="Cognitive Disorder"/>
    <x v="4"/>
    <n v="6"/>
  </r>
  <r>
    <s v="Gait Disturbance"/>
    <x v="4"/>
    <n v="16"/>
  </r>
  <r>
    <s v="Product Use Complaint"/>
    <x v="6"/>
    <n v="1"/>
  </r>
  <r>
    <s v="Choking"/>
    <x v="0"/>
    <n v="1"/>
  </r>
  <r>
    <s v="Wrong Technique In Product Usage Process"/>
    <x v="6"/>
    <n v="3"/>
  </r>
  <r>
    <s v="Breast Cancer"/>
    <x v="24"/>
    <n v="7"/>
  </r>
  <r>
    <s v="Venous Thrombosis"/>
    <x v="2"/>
    <n v="7"/>
  </r>
  <r>
    <s v="Lymphopenia"/>
    <x v="7"/>
    <n v="6"/>
  </r>
  <r>
    <s v="Myelodysplastic Syndrome"/>
    <x v="7"/>
    <n v="3"/>
  </r>
  <r>
    <s v="Erythroblastosis"/>
    <x v="7"/>
    <n v="1"/>
  </r>
  <r>
    <s v="Erythema Multiforme"/>
    <x v="8"/>
    <n v="2"/>
  </r>
  <r>
    <s v="Mucosal Infection"/>
    <x v="6"/>
    <n v="2"/>
  </r>
  <r>
    <s v="Transaminases Increased"/>
    <x v="21"/>
    <n v="3"/>
  </r>
  <r>
    <s v="Amnesia"/>
    <x v="4"/>
    <n v="5"/>
  </r>
  <r>
    <s v="Flatulence"/>
    <x v="1"/>
    <n v="2"/>
  </r>
  <r>
    <s v="Po2 Increased"/>
    <x v="0"/>
    <n v="1"/>
  </r>
  <r>
    <s v="Macrocytosis"/>
    <x v="7"/>
    <n v="1"/>
  </r>
  <r>
    <s v="Blood Ph Decreased"/>
    <x v="5"/>
    <n v="1"/>
  </r>
  <r>
    <s v="Abdominal Distension"/>
    <x v="1"/>
    <n v="3"/>
  </r>
  <r>
    <s v="Carbon Dioxide Increased"/>
    <x v="0"/>
    <n v="1"/>
  </r>
  <r>
    <s v="Hypercapnia"/>
    <x v="0"/>
    <n v="1"/>
  </r>
  <r>
    <s v="Brain Natriuretic Peptide Increased"/>
    <x v="2"/>
    <n v="2"/>
  </r>
  <r>
    <s v="Pco2 Decreased"/>
    <x v="0"/>
    <n v="1"/>
  </r>
  <r>
    <s v="Chronic Obstructive Pulmonary Disease"/>
    <x v="0"/>
    <n v="2"/>
  </r>
  <r>
    <s v="Faecaloma"/>
    <x v="1"/>
    <n v="6"/>
  </r>
  <r>
    <s v="Hypoxia"/>
    <x v="0"/>
    <n v="5"/>
  </r>
  <r>
    <s v="Failure To Thrive"/>
    <x v="5"/>
    <n v="1"/>
  </r>
  <r>
    <s v="Acute Cutaneous Lupus Erythematosus"/>
    <x v="8"/>
    <n v="7"/>
  </r>
  <r>
    <s v="Adult Failure To Thrive"/>
    <x v="6"/>
    <n v="1"/>
  </r>
  <r>
    <s v="Agitation"/>
    <x v="4"/>
    <n v="1"/>
  </r>
  <r>
    <s v="Cardiac Arrest"/>
    <x v="2"/>
    <n v="2"/>
  </r>
  <r>
    <s v="Cardiac Failure Congestive"/>
    <x v="2"/>
    <n v="1"/>
  </r>
  <r>
    <s v="Hyperthyroidism"/>
    <x v="25"/>
    <n v="9"/>
  </r>
  <r>
    <s v="Blindness Unilateral"/>
    <x v="13"/>
    <n v="1"/>
  </r>
  <r>
    <s v="Blindness"/>
    <x v="13"/>
    <n v="3"/>
  </r>
  <r>
    <s v="Eye Symptom"/>
    <x v="13"/>
    <n v="1"/>
  </r>
  <r>
    <s v="Intestinal Obstruction"/>
    <x v="1"/>
    <n v="4"/>
  </r>
  <r>
    <s v="Ascites"/>
    <x v="1"/>
    <n v="1"/>
  </r>
  <r>
    <s v="Abdominal Infection"/>
    <x v="1"/>
    <n v="1"/>
  </r>
  <r>
    <s v="Lymphadenopathy"/>
    <x v="23"/>
    <n v="2"/>
  </r>
  <r>
    <s v="Psoriasis"/>
    <x v="8"/>
    <n v="1"/>
  </r>
  <r>
    <s v="Therapeutic Response Shortened"/>
    <x v="6"/>
    <n v="1"/>
  </r>
  <r>
    <s v="Breast Cancer Female"/>
    <x v="24"/>
    <n v="1"/>
  </r>
  <r>
    <s v="Loss Of Consciousness"/>
    <x v="4"/>
    <n v="3"/>
  </r>
  <r>
    <s v="Rash Maculo-Papular"/>
    <x v="8"/>
    <n v="3"/>
  </r>
  <r>
    <s v="Hepatic Cytolysis"/>
    <x v="21"/>
    <n v="8"/>
  </r>
  <r>
    <s v="Tachycardia"/>
    <x v="2"/>
    <n v="8"/>
  </r>
  <r>
    <s v="Atrial Flutter"/>
    <x v="2"/>
    <n v="4"/>
  </r>
  <r>
    <s v="Toxic Skin Eruption"/>
    <x v="8"/>
    <n v="2"/>
  </r>
  <r>
    <s v="Bone Pain"/>
    <x v="9"/>
    <n v="8"/>
  </r>
  <r>
    <s v="Onycholysis"/>
    <x v="8"/>
    <n v="1"/>
  </r>
  <r>
    <s v="Dysstasia"/>
    <x v="4"/>
    <n v="2"/>
  </r>
  <r>
    <s v="Joint Injury"/>
    <x v="9"/>
    <n v="1"/>
  </r>
  <r>
    <s v="Vitamin B12 Decreased"/>
    <x v="5"/>
    <n v="2"/>
  </r>
  <r>
    <s v="Bundle Branch Block Left"/>
    <x v="2"/>
    <n v="1"/>
  </r>
  <r>
    <s v="Congestive Hepatopathy"/>
    <x v="21"/>
    <n v="1"/>
  </r>
  <r>
    <s v="Thrombosis"/>
    <x v="2"/>
    <n v="2"/>
  </r>
  <r>
    <s v="Disease Recurrence"/>
    <x v="6"/>
    <n v="2"/>
  </r>
  <r>
    <s v="Glossodynia"/>
    <x v="10"/>
    <n v="1"/>
  </r>
  <r>
    <s v="Aphasia"/>
    <x v="4"/>
    <n v="3"/>
  </r>
  <r>
    <s v="Unevaluable Event"/>
    <x v="6"/>
    <n v="1"/>
  </r>
  <r>
    <s v="Full Blood Count Abnormal"/>
    <x v="7"/>
    <n v="2"/>
  </r>
  <r>
    <s v="Abdominal Discomfort"/>
    <x v="1"/>
    <n v="6"/>
  </r>
  <r>
    <s v="Laboratory Test Abnormal"/>
    <x v="6"/>
    <n v="1"/>
  </r>
  <r>
    <s v="Upper Respiratory Tract Infection"/>
    <x v="0"/>
    <n v="1"/>
  </r>
  <r>
    <s v="Localised Infection"/>
    <x v="6"/>
    <n v="2"/>
  </r>
  <r>
    <s v="Prescription Drug Used Without A Prescription"/>
    <x v="6"/>
    <n v="1"/>
  </r>
  <r>
    <s v="Pseudomonas Infection"/>
    <x v="15"/>
    <n v="1"/>
  </r>
  <r>
    <s v="Cardiovascular Disorder"/>
    <x v="2"/>
    <n v="3"/>
  </r>
  <r>
    <s v="Impaired Healing"/>
    <x v="6"/>
    <n v="2"/>
  </r>
  <r>
    <s v="Rash Pruritic"/>
    <x v="8"/>
    <n v="2"/>
  </r>
  <r>
    <s v="Staphylococcal Infection"/>
    <x v="8"/>
    <n v="3"/>
  </r>
  <r>
    <s v="Overdose"/>
    <x v="6"/>
    <n v="2"/>
  </r>
  <r>
    <s v="Urosepsis"/>
    <x v="14"/>
    <n v="1"/>
  </r>
  <r>
    <s v="Renal Disorder"/>
    <x v="3"/>
    <n v="1"/>
  </r>
  <r>
    <s v="Myocardial Infarction"/>
    <x v="2"/>
    <n v="7"/>
  </r>
  <r>
    <s v="Hypertransaminasaemia"/>
    <x v="21"/>
    <n v="1"/>
  </r>
  <r>
    <s v="Fibrin D Dimer Increased"/>
    <x v="20"/>
    <n v="4"/>
  </r>
  <r>
    <s v="Escherichia Infection"/>
    <x v="15"/>
    <n v="4"/>
  </r>
  <r>
    <s v="Atrial Natriuretic Peptide Increased"/>
    <x v="2"/>
    <n v="4"/>
  </r>
  <r>
    <s v="Activated Partial Thromboplastin Time Prolonged"/>
    <x v="20"/>
    <n v="4"/>
  </r>
  <r>
    <s v="Ph Body Fluid Decreased"/>
    <x v="5"/>
    <n v="4"/>
  </r>
  <r>
    <s v="Bundle Branch Block Right"/>
    <x v="2"/>
    <n v="5"/>
  </r>
  <r>
    <s v="Presyncope"/>
    <x v="4"/>
    <n v="5"/>
  </r>
  <r>
    <s v="Discomfort"/>
    <x v="6"/>
    <n v="4"/>
  </r>
  <r>
    <s v="Haematuria"/>
    <x v="14"/>
    <n v="2"/>
  </r>
  <r>
    <s v="International Normalised Ratio Decreased"/>
    <x v="20"/>
    <n v="4"/>
  </r>
  <r>
    <s v="Glomerular Filtration Rate Decreased"/>
    <x v="3"/>
    <n v="5"/>
  </r>
  <r>
    <s v="Product Use In Unapproved Indication"/>
    <x v="6"/>
    <n v="3"/>
  </r>
  <r>
    <s v="Hallucination, Auditory"/>
    <x v="4"/>
    <n v="1"/>
  </r>
  <r>
    <s v="Chromaturia"/>
    <x v="14"/>
    <n v="9"/>
  </r>
  <r>
    <s v="Liver Injury"/>
    <x v="21"/>
    <n v="8"/>
  </r>
  <r>
    <s v="Jaundice Cholestatic"/>
    <x v="21"/>
    <n v="8"/>
  </r>
  <r>
    <s v="Faeces Pale"/>
    <x v="1"/>
    <n v="8"/>
  </r>
  <r>
    <s v="White Blood Cells Urine Positive"/>
    <x v="14"/>
    <n v="1"/>
  </r>
  <r>
    <s v="Bacterial Test"/>
    <x v="6"/>
    <n v="1"/>
  </r>
  <r>
    <s v="Muscle Spasms"/>
    <x v="9"/>
    <n v="3"/>
  </r>
  <r>
    <s v="Atrophy"/>
    <x v="6"/>
    <n v="2"/>
  </r>
  <r>
    <s v="Arthritis"/>
    <x v="9"/>
    <n v="2"/>
  </r>
  <r>
    <s v="Blood Potassium Decreased"/>
    <x v="5"/>
    <n v="2"/>
  </r>
  <r>
    <s v="Food Allergy"/>
    <x v="16"/>
    <n v="1"/>
  </r>
  <r>
    <s v="Peripheral Swelling"/>
    <x v="2"/>
    <n v="6"/>
  </r>
  <r>
    <s v="Therapeutic Product Effect Decreased"/>
    <x v="6"/>
    <n v="1"/>
  </r>
  <r>
    <s v="Urticaria"/>
    <x v="8"/>
    <n v="1"/>
  </r>
  <r>
    <s v="Withdrawal Syndrome"/>
    <x v="4"/>
    <n v="1"/>
  </r>
  <r>
    <s v="Injection Site Mass"/>
    <x v="8"/>
    <n v="1"/>
  </r>
  <r>
    <s v="Limb Discomfort"/>
    <x v="9"/>
    <n v="2"/>
  </r>
  <r>
    <s v="Back Disorder"/>
    <x v="9"/>
    <n v="3"/>
  </r>
  <r>
    <s v="Injection Site Pain"/>
    <x v="8"/>
    <n v="3"/>
  </r>
  <r>
    <s v="Poor Quality Sleep"/>
    <x v="4"/>
    <n v="1"/>
  </r>
  <r>
    <s v="Rhinalgia"/>
    <x v="4"/>
    <n v="2"/>
  </r>
  <r>
    <s v="Mucous Stools"/>
    <x v="1"/>
    <n v="2"/>
  </r>
  <r>
    <s v="Blood Pressure Diastolic Decreased"/>
    <x v="2"/>
    <n v="2"/>
  </r>
  <r>
    <s v="Memory Impairment"/>
    <x v="4"/>
    <n v="6"/>
  </r>
  <r>
    <s v="Apparent Death"/>
    <x v="6"/>
    <n v="1"/>
  </r>
  <r>
    <s v="Injection Site Swelling"/>
    <x v="8"/>
    <n v="2"/>
  </r>
  <r>
    <s v="Chest Injury"/>
    <x v="0"/>
    <n v="2"/>
  </r>
  <r>
    <s v="Muscle Atrophy"/>
    <x v="9"/>
    <n v="3"/>
  </r>
  <r>
    <s v="Injection Site Erythema"/>
    <x v="8"/>
    <n v="2"/>
  </r>
  <r>
    <s v="Nasal Injury"/>
    <x v="0"/>
    <n v="2"/>
  </r>
  <r>
    <s v="Blood Pressure Systolic Increased"/>
    <x v="2"/>
    <n v="4"/>
  </r>
  <r>
    <s v="Obstructive Airways Disorder"/>
    <x v="0"/>
    <n v="2"/>
  </r>
  <r>
    <s v="Tenderness"/>
    <x v="6"/>
    <n v="2"/>
  </r>
  <r>
    <s v="Body Temperature Decreased"/>
    <x v="5"/>
    <n v="3"/>
  </r>
  <r>
    <s v="Small Intestinal Obstruction"/>
    <x v="1"/>
    <n v="1"/>
  </r>
  <r>
    <s v="Parkinson's Disease"/>
    <x v="4"/>
    <n v="2"/>
  </r>
  <r>
    <s v="Disease Progression"/>
    <x v="6"/>
    <n v="8"/>
  </r>
  <r>
    <s v="Vasculitis"/>
    <x v="2"/>
    <n v="2"/>
  </r>
  <r>
    <s v="Petechiae"/>
    <x v="8"/>
    <n v="1"/>
  </r>
  <r>
    <s v="Hepatic Failure"/>
    <x v="21"/>
    <n v="6"/>
  </r>
  <r>
    <s v="Diabetic Hyperosmolar Coma"/>
    <x v="5"/>
    <n v="6"/>
  </r>
  <r>
    <s v="Eye Haemorrhage"/>
    <x v="13"/>
    <n v="5"/>
  </r>
  <r>
    <s v="International Normalised Ratio Increased"/>
    <x v="20"/>
    <n v="5"/>
  </r>
  <r>
    <s v="Blood Bilirubin Decreased"/>
    <x v="21"/>
    <n v="1"/>
  </r>
  <r>
    <s v="Blood Albumin Decreased"/>
    <x v="21"/>
    <n v="1"/>
  </r>
  <r>
    <s v="Blood Urea Increased"/>
    <x v="3"/>
    <n v="3"/>
  </r>
  <r>
    <s v="Change Of Bowel Habit"/>
    <x v="1"/>
    <n v="1"/>
  </r>
  <r>
    <s v="Iron Binding Capacity Total Decreased"/>
    <x v="7"/>
    <n v="1"/>
  </r>
  <r>
    <s v="Alanine Aminotransferase Increased"/>
    <x v="21"/>
    <n v="3"/>
  </r>
  <r>
    <s v="Dehydration"/>
    <x v="5"/>
    <n v="5"/>
  </r>
  <r>
    <s v="Hyperpyrexia"/>
    <x v="5"/>
    <n v="1"/>
  </r>
  <r>
    <s v="Eosinophilia"/>
    <x v="7"/>
    <n v="1"/>
  </r>
  <r>
    <s v="Vitamin B12 Increased"/>
    <x v="5"/>
    <n v="1"/>
  </r>
  <r>
    <s v="Sinus Tachycardia"/>
    <x v="2"/>
    <n v="1"/>
  </r>
  <r>
    <s v="Oliguria"/>
    <x v="3"/>
    <n v="1"/>
  </r>
  <r>
    <s v="Blood Immunoglobulin G Decreased"/>
    <x v="16"/>
    <n v="1"/>
  </r>
  <r>
    <s v="Drug Hypersensitivity"/>
    <x v="16"/>
    <n v="1"/>
  </r>
  <r>
    <s v="Hepatic Enzyme Increased"/>
    <x v="21"/>
    <n v="1"/>
  </r>
  <r>
    <s v="Aspartate Aminotransferase Increased"/>
    <x v="21"/>
    <n v="1"/>
  </r>
  <r>
    <s v="Liver Tenderness"/>
    <x v="21"/>
    <n v="1"/>
  </r>
  <r>
    <s v="Blood Immunoglobulin A Decreased"/>
    <x v="16"/>
    <n v="1"/>
  </r>
  <r>
    <s v="Hyperhidrosis"/>
    <x v="8"/>
    <n v="3"/>
  </r>
  <r>
    <s v="Night Sweats"/>
    <x v="4"/>
    <n v="1"/>
  </r>
  <r>
    <s v="Hepatic Function Abnormal"/>
    <x v="21"/>
    <n v="1"/>
  </r>
  <r>
    <s v="Mental Status Changes"/>
    <x v="4"/>
    <n v="2"/>
  </r>
  <r>
    <s v="Bacteraemia"/>
    <x v="15"/>
    <n v="1"/>
  </r>
  <r>
    <s v="Vomiting Projectile"/>
    <x v="1"/>
    <n v="1"/>
  </r>
  <r>
    <s v="Blood Immunoglobulin E Increased"/>
    <x v="16"/>
    <n v="1"/>
  </r>
  <r>
    <s v="Vitamin B12 Deficiency"/>
    <x v="5"/>
    <n v="1"/>
  </r>
  <r>
    <s v="Joint Stiffness"/>
    <x v="9"/>
    <n v="1"/>
  </r>
  <r>
    <s v="Breast Tenderness"/>
    <x v="24"/>
    <n v="1"/>
  </r>
  <r>
    <s v="Breast Swelling"/>
    <x v="24"/>
    <n v="2"/>
  </r>
  <r>
    <s v="Hypoglycaemia"/>
    <x v="5"/>
    <n v="2"/>
  </r>
  <r>
    <s v="Crepitations"/>
    <x v="0"/>
    <n v="1"/>
  </r>
  <r>
    <s v="Near Death Experience"/>
    <x v="6"/>
    <n v="1"/>
  </r>
  <r>
    <s v="Viral Infection"/>
    <x v="0"/>
    <n v="2"/>
  </r>
  <r>
    <s v="Blood Oestrogen Decreased"/>
    <x v="25"/>
    <n v="1"/>
  </r>
  <r>
    <s v="Anorgasmia"/>
    <x v="19"/>
    <n v="1"/>
  </r>
  <r>
    <s v="Menopause"/>
    <x v="19"/>
    <n v="1"/>
  </r>
  <r>
    <s v="Libido Disorder"/>
    <x v="19"/>
    <n v="1"/>
  </r>
  <r>
    <s v="Panic Attack"/>
    <x v="18"/>
    <n v="1"/>
  </r>
  <r>
    <s v="Acute Respiratory Distress Syndrome"/>
    <x v="0"/>
    <n v="1"/>
  </r>
  <r>
    <s v="Lung Infiltration"/>
    <x v="0"/>
    <n v="2"/>
  </r>
  <r>
    <s v="Meningioma"/>
    <x v="4"/>
    <n v="1"/>
  </r>
  <r>
    <s v="Hyperaesthesia Teeth"/>
    <x v="10"/>
    <n v="1"/>
  </r>
  <r>
    <s v="Tooth Infection"/>
    <x v="10"/>
    <n v="1"/>
  </r>
  <r>
    <s v="Dental Pulp Disorder"/>
    <x v="10"/>
    <n v="1"/>
  </r>
  <r>
    <s v="Body Height Abnormal"/>
    <x v="9"/>
    <n v="1"/>
  </r>
  <r>
    <s v="Hiatus Hernia"/>
    <x v="1"/>
    <n v="1"/>
  </r>
  <r>
    <s v="Speech Disorder"/>
    <x v="4"/>
    <n v="1"/>
  </r>
  <r>
    <s v="Breast Mass"/>
    <x v="24"/>
    <n v="2"/>
  </r>
  <r>
    <s v="Aortic Stenosis"/>
    <x v="2"/>
    <n v="1"/>
  </r>
  <r>
    <s v="Therapy Cessation"/>
    <x v="6"/>
    <n v="1"/>
  </r>
  <r>
    <s v="Palpitations"/>
    <x v="2"/>
    <n v="1"/>
  </r>
  <r>
    <s v="Lip Injury"/>
    <x v="10"/>
    <n v="1"/>
  </r>
  <r>
    <s v="Oral Pain"/>
    <x v="10"/>
    <n v="2"/>
  </r>
  <r>
    <s v="Face Injury"/>
    <x v="8"/>
    <n v="1"/>
  </r>
  <r>
    <s v="Oral Mucosal Exfoliation"/>
    <x v="10"/>
    <n v="1"/>
  </r>
  <r>
    <s v="Metastases To Lung"/>
    <x v="0"/>
    <n v="4"/>
  </r>
  <r>
    <s v="Swollen Tongue"/>
    <x v="10"/>
    <n v="1"/>
  </r>
  <r>
    <s v="Pharyngeal Swelling"/>
    <x v="0"/>
    <n v="1"/>
  </r>
  <r>
    <s v="Breast Cancer Recurrent"/>
    <x v="24"/>
    <n v="3"/>
  </r>
  <r>
    <s v="Dysphonia"/>
    <x v="0"/>
    <n v="1"/>
  </r>
  <r>
    <s v="Metastases To Liver"/>
    <x v="21"/>
    <n v="4"/>
  </r>
  <r>
    <s v="Acute Myeloid Leukaemia"/>
    <x v="7"/>
    <n v="1"/>
  </r>
  <r>
    <s v="Drug Level Increased"/>
    <x v="6"/>
    <n v="1"/>
  </r>
  <r>
    <s v="Body Height Decreased"/>
    <x v="9"/>
    <n v="2"/>
  </r>
  <r>
    <s v="Dermatomyositis"/>
    <x v="9"/>
    <n v="1"/>
  </r>
  <r>
    <s v="Erythema Of Eyelid"/>
    <x v="13"/>
    <n v="1"/>
  </r>
  <r>
    <s v="Polymyositis"/>
    <x v="9"/>
    <n v="1"/>
  </r>
  <r>
    <s v="Eyelid Oedema"/>
    <x v="13"/>
    <n v="1"/>
  </r>
  <r>
    <s v="Autoimmune Disorder"/>
    <x v="16"/>
    <n v="1"/>
  </r>
  <r>
    <s v="Abnormal Faeces"/>
    <x v="1"/>
    <n v="1"/>
  </r>
  <r>
    <s v="Nystagmus"/>
    <x v="4"/>
    <n v="1"/>
  </r>
  <r>
    <s v="Gastrooesophageal Reflux Disease"/>
    <x v="1"/>
    <n v="2"/>
  </r>
  <r>
    <s v="Coronary Artery Disease"/>
    <x v="2"/>
    <n v="3"/>
  </r>
  <r>
    <s v="Diverticulum"/>
    <x v="1"/>
    <n v="1"/>
  </r>
  <r>
    <s v="Haematochezia"/>
    <x v="1"/>
    <n v="2"/>
  </r>
  <r>
    <s v="Haematemesis"/>
    <x v="1"/>
    <n v="2"/>
  </r>
  <r>
    <s v="Ulcer"/>
    <x v="1"/>
    <n v="1"/>
  </r>
  <r>
    <s v="Intentional Product Misuse"/>
    <x v="6"/>
    <n v="2"/>
  </r>
  <r>
    <s v="Haemoglobin Increased"/>
    <x v="7"/>
    <n v="1"/>
  </r>
  <r>
    <s v="Granulocyte Count Decreased"/>
    <x v="7"/>
    <n v="1"/>
  </r>
  <r>
    <s v="Cervical Vertebral Fracture"/>
    <x v="9"/>
    <n v="1"/>
  </r>
  <r>
    <s v="Breast Cancer Stage Iv"/>
    <x v="24"/>
    <n v="2"/>
  </r>
  <r>
    <s v="Non-Hodgkin's Lymphoma"/>
    <x v="7"/>
    <n v="1"/>
  </r>
  <r>
    <s v="Lymph Nodes Scan Abnormal"/>
    <x v="23"/>
    <n v="1"/>
  </r>
  <r>
    <s v="Pulmonary Mass"/>
    <x v="0"/>
    <n v="1"/>
  </r>
  <r>
    <s v="Shock"/>
    <x v="2"/>
    <n v="1"/>
  </r>
  <r>
    <s v="Faeces Discoloured"/>
    <x v="1"/>
    <n v="1"/>
  </r>
  <r>
    <s v="Upper Gastrointestinal Haemorrhage"/>
    <x v="1"/>
    <n v="1"/>
  </r>
  <r>
    <s v="Inflammatory Carcinoma Of The Breast"/>
    <x v="24"/>
    <n v="1"/>
  </r>
  <r>
    <s v="Tumour Pain"/>
    <x v="6"/>
    <n v="1"/>
  </r>
  <r>
    <s v="Gastrointestinal Haemorrhage"/>
    <x v="1"/>
    <n v="1"/>
  </r>
  <r>
    <s v="Duodenal Ulcer"/>
    <x v="1"/>
    <n v="1"/>
  </r>
  <r>
    <s v="Skin Discolouration"/>
    <x v="8"/>
    <n v="1"/>
  </r>
  <r>
    <s v="Hypermetabolism"/>
    <x v="5"/>
    <n v="1"/>
  </r>
  <r>
    <s v="Oesophageal Candidiasis"/>
    <x v="1"/>
    <n v="1"/>
  </r>
  <r>
    <s v="Morbid Thoughts"/>
    <x v="18"/>
    <n v="2"/>
  </r>
  <r>
    <s v="Aortic Valve Stenosis"/>
    <x v="2"/>
    <n v="1"/>
  </r>
  <r>
    <s v="Platelet Count Abnormal"/>
    <x v="7"/>
    <n v="1"/>
  </r>
  <r>
    <s v="Blood Creatinine Abnormal"/>
    <x v="3"/>
    <n v="1"/>
  </r>
  <r>
    <s v="Blood Triglycerides Increased"/>
    <x v="5"/>
    <n v="1"/>
  </r>
  <r>
    <s v="Recurrent Cancer"/>
    <x v="6"/>
    <n v="1"/>
  </r>
  <r>
    <s v="Onychoclasis"/>
    <x v="8"/>
    <n v="1"/>
  </r>
  <r>
    <s v="Spinal Compression Fracture"/>
    <x v="9"/>
    <n v="1"/>
  </r>
  <r>
    <s v="Nervousness"/>
    <x v="4"/>
    <n v="2"/>
  </r>
  <r>
    <s v="Hand Fracture"/>
    <x v="9"/>
    <n v="1"/>
  </r>
  <r>
    <s v="Mediastinal Mass"/>
    <x v="26"/>
    <n v="1"/>
  </r>
  <r>
    <s v="Blood Calcium Decreased"/>
    <x v="5"/>
    <n v="1"/>
  </r>
  <r>
    <s v="Pain In Jaw"/>
    <x v="10"/>
    <n v="1"/>
  </r>
  <r>
    <s v="Feeling Cold"/>
    <x v="4"/>
    <n v="1"/>
  </r>
  <r>
    <s v="Tumour Marker Increased"/>
    <x v="6"/>
    <n v="1"/>
  </r>
  <r>
    <s v="Drug-Induced Liver Injury"/>
    <x v="21"/>
    <n v="1"/>
  </r>
  <r>
    <s v="Ocular Discomfort"/>
    <x v="13"/>
    <n v="1"/>
  </r>
  <r>
    <s v="Sciatica"/>
    <x v="4"/>
    <n v="1"/>
  </r>
  <r>
    <s v="Suicide Attempt"/>
    <x v="18"/>
    <n v="1"/>
  </r>
  <r>
    <s v="Knee Arthroplasty"/>
    <x v="9"/>
    <n v="2"/>
  </r>
  <r>
    <s v="Limb Fracture"/>
    <x v="9"/>
    <n v="1"/>
  </r>
  <r>
    <s v="Hypokinesia"/>
    <x v="4"/>
    <n v="1"/>
  </r>
  <r>
    <s v="Heart Rate Irregular"/>
    <x v="2"/>
    <n v="2"/>
  </r>
  <r>
    <s v="Breast Cancer Stage I"/>
    <x v="24"/>
    <n v="1"/>
  </r>
  <r>
    <s v="Multiple Fractures"/>
    <x v="9"/>
    <n v="1"/>
  </r>
  <r>
    <s v="Cardiac Ventricular Disorder"/>
    <x v="2"/>
    <n v="1"/>
  </r>
  <r>
    <s v="Neurosis"/>
    <x v="18"/>
    <n v="1"/>
  </r>
  <r>
    <s v="Ligament Injury"/>
    <x v="9"/>
    <n v="1"/>
  </r>
  <r>
    <s v="Dysarthria"/>
    <x v="4"/>
    <n v="2"/>
  </r>
  <r>
    <s v="Anxiety Disorder"/>
    <x v="18"/>
    <n v="1"/>
  </r>
  <r>
    <s v="Retching"/>
    <x v="1"/>
    <n v="1"/>
  </r>
  <r>
    <s v="Splenomegaly"/>
    <x v="7"/>
    <n v="2"/>
  </r>
  <r>
    <s v="Somnolence"/>
    <x v="4"/>
    <n v="2"/>
  </r>
  <r>
    <s v="Off Label Use"/>
    <x v="6"/>
    <n v="1"/>
  </r>
  <r>
    <s v="Respiratory Tract Infection"/>
    <x v="0"/>
    <n v="1"/>
  </r>
  <r>
    <s v="Cardiopulmonary Failure"/>
    <x v="27"/>
    <n v="1"/>
  </r>
  <r>
    <s v="Hypertensive Crisis"/>
    <x v="2"/>
    <n v="1"/>
  </r>
  <r>
    <s v="Pulmonary Oedema"/>
    <x v="0"/>
    <n v="1"/>
  </r>
  <r>
    <s v="Neoplasm"/>
    <x v="6"/>
    <n v="2"/>
  </r>
  <r>
    <s v="Clostridial Infection"/>
    <x v="15"/>
    <n v="1"/>
  </r>
  <r>
    <s v="Pneumonia Aspiration"/>
    <x v="0"/>
    <n v="2"/>
  </r>
  <r>
    <s v="Carbohydrate Metabolism Disorder"/>
    <x v="5"/>
    <n v="1"/>
  </r>
  <r>
    <s v="Wrist Fracture"/>
    <x v="9"/>
    <n v="1"/>
  </r>
  <r>
    <s v="Cellulitis"/>
    <x v="8"/>
    <n v="1"/>
  </r>
  <r>
    <s v="Hemiparesis"/>
    <x v="4"/>
    <n v="2"/>
  </r>
  <r>
    <s v="Paraesthesia"/>
    <x v="4"/>
    <n v="2"/>
  </r>
  <r>
    <s v="Fluid Retention"/>
    <x v="2"/>
    <n v="2"/>
  </r>
  <r>
    <s v="Anal Incontinence"/>
    <x v="1"/>
    <n v="1"/>
  </r>
  <r>
    <s v="Retinal Detachment"/>
    <x v="13"/>
    <n v="1"/>
  </r>
  <r>
    <s v="Retinal Haemorrhage"/>
    <x v="13"/>
    <n v="1"/>
  </r>
  <r>
    <s v="Retinal Vascular Thrombosis"/>
    <x v="13"/>
    <n v="1"/>
  </r>
  <r>
    <s v="Lung Neoplasm"/>
    <x v="0"/>
    <n v="2"/>
  </r>
  <r>
    <s v="Anaemia Postoperative"/>
    <x v="7"/>
    <n v="1"/>
  </r>
  <r>
    <s v="Hip Surgery"/>
    <x v="9"/>
    <n v="1"/>
  </r>
  <r>
    <s v="Wound Secretion"/>
    <x v="8"/>
    <n v="1"/>
  </r>
  <r>
    <s v="Wound Drainage"/>
    <x v="8"/>
    <n v="1"/>
  </r>
  <r>
    <s v="Cataract Operation"/>
    <x v="13"/>
    <n v="3"/>
  </r>
  <r>
    <s v="Intraocular Lens Implant"/>
    <x v="13"/>
    <n v="1"/>
  </r>
  <r>
    <s v="Hypertensive Heart Disease"/>
    <x v="2"/>
    <n v="2"/>
  </r>
  <r>
    <s v="Hypertensive Nephropathy"/>
    <x v="3"/>
    <n v="1"/>
  </r>
  <r>
    <s v="Rib Fracture"/>
    <x v="9"/>
    <n v="1"/>
  </r>
  <r>
    <s v="Hyperventilation"/>
    <x v="0"/>
    <n v="1"/>
  </r>
  <r>
    <s v="Conversion Disorder"/>
    <x v="18"/>
    <n v="1"/>
  </r>
  <r>
    <s v="Colon Neoplasm"/>
    <x v="1"/>
    <n v="1"/>
  </r>
  <r>
    <s v="Adenoma Benign"/>
    <x v="1"/>
    <n v="1"/>
  </r>
  <r>
    <s v="Large Intestinal Polypectomy"/>
    <x v="1"/>
    <n v="1"/>
  </r>
  <r>
    <s v="Tumour Excision"/>
    <x v="28"/>
    <n v="1"/>
  </r>
  <r>
    <s v="Large Intestine Polyp"/>
    <x v="1"/>
    <n v="1"/>
  </r>
  <r>
    <s v="Impaired Driving Ability"/>
    <x v="6"/>
    <n v="1"/>
  </r>
  <r>
    <s v="Lower Limb Fracture"/>
    <x v="9"/>
    <n v="1"/>
  </r>
  <r>
    <s v="Lung Cancer Metastatic"/>
    <x v="0"/>
    <n v="1"/>
  </r>
  <r>
    <s v="Bacterial Infection"/>
    <x v="15"/>
    <n v="1"/>
  </r>
  <r>
    <s v="Enterococcal Infection"/>
    <x v="15"/>
    <n v="1"/>
  </r>
  <r>
    <s v="Tooth Loss"/>
    <x v="10"/>
    <n v="1"/>
  </r>
  <r>
    <s v="Rectosigmoid Cancer"/>
    <x v="1"/>
    <n v="1"/>
  </r>
  <r>
    <s v="Colectomy"/>
    <x v="1"/>
    <n v="1"/>
  </r>
  <r>
    <s v="Cardiogenic Shock"/>
    <x v="2"/>
    <n v="1"/>
  </r>
  <r>
    <s v="Dementia Alzheimer's Type"/>
    <x v="4"/>
    <n v="1"/>
  </r>
  <r>
    <s v="Acute Myocardial Infarction"/>
    <x v="2"/>
    <n v="1"/>
  </r>
  <r>
    <s v="Arteriosclerosis Coronary Artery"/>
    <x v="2"/>
    <n v="1"/>
  </r>
  <r>
    <s v="Generalised Oedema"/>
    <x v="2"/>
    <n v="1"/>
  </r>
  <r>
    <s v="Rales"/>
    <x v="0"/>
    <n v="2"/>
  </r>
  <r>
    <s v="Pulmonary Congestion"/>
    <x v="0"/>
    <n v="1"/>
  </r>
  <r>
    <s v="Cerebral Arteriosclerosis"/>
    <x v="4"/>
    <n v="1"/>
  </r>
  <r>
    <s v="Myocardial Ischaemia"/>
    <x v="2"/>
    <n v="1"/>
  </r>
  <r>
    <s v="Breast Conserving Surgery"/>
    <x v="28"/>
    <n v="1"/>
  </r>
  <r>
    <s v="Compression Fracture"/>
    <x v="9"/>
    <n v="1"/>
  </r>
  <r>
    <s v="Metastases To Central Nervous System"/>
    <x v="4"/>
    <n v="1"/>
  </r>
  <r>
    <s v="Diabetes Mellitus Inadequate Control"/>
    <x v="5"/>
    <n v="1"/>
  </r>
  <r>
    <s v="Phlebitis"/>
    <x v="2"/>
    <n v="1"/>
  </r>
  <r>
    <s v="Varicose Vein"/>
    <x v="2"/>
    <n v="1"/>
  </r>
  <r>
    <s v="Scoliosis"/>
    <x v="9"/>
    <n v="1"/>
  </r>
  <r>
    <s v="Bone Density Decreased"/>
    <x v="9"/>
    <n v="2"/>
  </r>
  <r>
    <s v="Carotid Artery Stenosis"/>
    <x v="2"/>
    <n v="1"/>
  </r>
  <r>
    <s v="Spinal Osteoarthritis"/>
    <x v="9"/>
    <n v="1"/>
  </r>
  <r>
    <s v="Cerebral Atrophy"/>
    <x v="4"/>
    <n v="1"/>
  </r>
  <r>
    <s v="Alcohol Use"/>
    <x v="6"/>
    <n v="1"/>
  </r>
  <r>
    <s v="Leukocytosis"/>
    <x v="7"/>
    <n v="1"/>
  </r>
  <r>
    <s v="Respiratory Rate Increased"/>
    <x v="0"/>
    <n v="1"/>
  </r>
  <r>
    <s v="Glaucoma"/>
    <x v="13"/>
    <n v="1"/>
  </r>
  <r>
    <s v="Subdural Haematoma"/>
    <x v="4"/>
    <n v="1"/>
  </r>
  <r>
    <s v="Focal Dyscognitive Seizures"/>
    <x v="4"/>
    <n v="1"/>
  </r>
  <r>
    <s v="Generalised Tonic-Clonic Seizure"/>
    <x v="4"/>
    <n v="1"/>
  </r>
  <r>
    <s v="Hypocapnia"/>
    <x v="0"/>
    <n v="1"/>
  </r>
  <r>
    <s v="Pulmonary Hypertension"/>
    <x v="2"/>
    <n v="1"/>
  </r>
  <r>
    <s v="Dilated Cardiomyopathy"/>
    <x v="2"/>
    <n v="1"/>
  </r>
  <r>
    <s v="Ejection Fraction Decreased"/>
    <x v="2"/>
    <n v="1"/>
  </r>
  <r>
    <s v="Pulmonary Thrombosis"/>
    <x v="2"/>
    <n v="1"/>
  </r>
  <r>
    <s v="Scan Abnormal"/>
    <x v="6"/>
    <n v="1"/>
  </r>
  <r>
    <s v="Caesarean Section"/>
    <x v="19"/>
    <n v="1"/>
  </r>
  <r>
    <s v="Premature Baby"/>
    <x v="19"/>
    <n v="3"/>
  </r>
  <r>
    <s v="Maternal Exposure Before Pregnancy"/>
    <x v="19"/>
    <n v="2"/>
  </r>
  <r>
    <s v="X-Ray Abnormal"/>
    <x v="6"/>
    <n v="1"/>
  </r>
  <r>
    <s v="Blood Alkaline Phosphatase Increased"/>
    <x v="21"/>
    <n v="1"/>
  </r>
  <r>
    <s v="Red Blood Cell Sedimentation Rate Increased"/>
    <x v="20"/>
    <n v="1"/>
  </r>
  <r>
    <s v="Spinal Flattening"/>
    <x v="9"/>
    <n v="1"/>
  </r>
  <r>
    <s v="Liver Function Test Abnormal"/>
    <x v="21"/>
    <n v="1"/>
  </r>
  <r>
    <s v="Anal Fistula"/>
    <x v="1"/>
    <n v="1"/>
  </r>
  <r>
    <s v="Parosmia"/>
    <x v="4"/>
    <n v="1"/>
  </r>
  <r>
    <s v="Ageusia"/>
    <x v="4"/>
    <n v="1"/>
  </r>
  <r>
    <s v="Mitral Valve Calcification"/>
    <x v="2"/>
    <n v="1"/>
  </r>
  <r>
    <s v="Echocardiogram Abnormal"/>
    <x v="2"/>
    <n v="1"/>
  </r>
  <r>
    <s v="Refusal Of Treatment By Patient"/>
    <x v="6"/>
    <n v="1"/>
  </r>
  <r>
    <s v="Mass"/>
    <x v="6"/>
    <n v="1"/>
  </r>
  <r>
    <s v="Gout"/>
    <x v="9"/>
    <n v="1"/>
  </r>
  <r>
    <s v="Osteolysis"/>
    <x v="9"/>
    <n v="1"/>
  </r>
  <r>
    <s v="Abdominal Pain Lower"/>
    <x v="1"/>
    <n v="1"/>
  </r>
  <r>
    <s v="Breast Reconstruction"/>
    <x v="28"/>
    <n v="1"/>
  </r>
  <r>
    <s v="Colitis"/>
    <x v="1"/>
    <n v="1"/>
  </r>
  <r>
    <s v="Monocyte Percentage Increased"/>
    <x v="7"/>
    <n v="1"/>
  </r>
  <r>
    <s v="Body Temperature Increased"/>
    <x v="5"/>
    <n v="2"/>
  </r>
  <r>
    <s v="Calcinosis"/>
    <x v="9"/>
    <n v="1"/>
  </r>
  <r>
    <s v="Prothrombin Time Prolonged"/>
    <x v="20"/>
    <n v="1"/>
  </r>
  <r>
    <s v="Exostosis"/>
    <x v="9"/>
    <n v="1"/>
  </r>
  <r>
    <s v="Temperature Intolerance"/>
    <x v="4"/>
    <n v="1"/>
  </r>
  <r>
    <s v="Lung Hyperinflation"/>
    <x v="0"/>
    <n v="1"/>
  </r>
  <r>
    <s v="Tenosynovitis"/>
    <x v="9"/>
    <n v="1"/>
  </r>
  <r>
    <s v="Abnormal Behaviour"/>
    <x v="18"/>
    <n v="1"/>
  </r>
  <r>
    <s v="Proteinuria"/>
    <x v="3"/>
    <n v="1"/>
  </r>
  <r>
    <s v="Nephrotic Syndrome"/>
    <x v="3"/>
    <n v="1"/>
  </r>
  <r>
    <s v="Congenital Labia Pudendi Adhesions"/>
    <x v="19"/>
    <n v="1"/>
  </r>
  <r>
    <s v="Maternal Drugs Affecting Foetus"/>
    <x v="19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Productive Cough"/>
    <x v="0"/>
    <n v="1"/>
  </r>
  <r>
    <s v="Vein Disorder"/>
    <x v="1"/>
    <n v="1"/>
  </r>
  <r>
    <s v="Sensory Disturbance"/>
    <x v="2"/>
    <n v="1"/>
  </r>
  <r>
    <s v="Decreased Appetite"/>
    <x v="3"/>
    <n v="1"/>
  </r>
  <r>
    <s v="Paraesthesia"/>
    <x v="2"/>
    <n v="1"/>
  </r>
  <r>
    <s v="Arthralgia"/>
    <x v="4"/>
    <n v="1"/>
  </r>
  <r>
    <s v="Sputum Retention"/>
    <x v="0"/>
    <n v="1"/>
  </r>
  <r>
    <s v="Dysphonia"/>
    <x v="0"/>
    <n v="1"/>
  </r>
  <r>
    <s v="Phlebitis"/>
    <x v="1"/>
    <n v="1"/>
  </r>
  <r>
    <s v="Quality Of Life Decreased"/>
    <x v="5"/>
    <n v="1"/>
  </r>
  <r>
    <s v="Affective Disorder"/>
    <x v="6"/>
    <n v="1"/>
  </r>
  <r>
    <s v="Varicose Vein"/>
    <x v="1"/>
    <n v="1"/>
  </r>
  <r>
    <s v="Respiratory Failure"/>
    <x v="0"/>
    <n v="2"/>
  </r>
  <r>
    <s v="Atrial Fibrillation"/>
    <x v="1"/>
    <n v="1"/>
  </r>
  <r>
    <s v="Somnolence"/>
    <x v="2"/>
    <n v="1"/>
  </r>
  <r>
    <s v="Dyspnoea"/>
    <x v="0"/>
    <n v="2"/>
  </r>
  <r>
    <s v="Erythema"/>
    <x v="7"/>
    <n v="1"/>
  </r>
  <r>
    <s v="Diarrhoea"/>
    <x v="8"/>
    <n v="1"/>
  </r>
  <r>
    <s v="Product Use Issue"/>
    <x v="5"/>
    <n v="1"/>
  </r>
  <r>
    <s v="Bronchitis"/>
    <x v="0"/>
    <n v="1"/>
  </r>
  <r>
    <s v="White Blood Cell Count Decreased"/>
    <x v="9"/>
    <n v="1"/>
  </r>
  <r>
    <s v="Oxygen Saturation Decreased"/>
    <x v="0"/>
    <n v="1"/>
  </r>
  <r>
    <s v="C-Reactive Protein Increased"/>
    <x v="10"/>
    <n v="1"/>
  </r>
  <r>
    <s v="Malaise"/>
    <x v="2"/>
    <n v="1"/>
  </r>
  <r>
    <s v="White Blood Cell Count Increased"/>
    <x v="9"/>
    <n v="1"/>
  </r>
  <r>
    <s v="Blood Alkaline Phosphatase Increased"/>
    <x v="11"/>
    <n v="1"/>
  </r>
  <r>
    <s v="Blood Pressure Decreased"/>
    <x v="1"/>
    <n v="1"/>
  </r>
  <r>
    <s v="Pneumonia"/>
    <x v="0"/>
    <n v="1"/>
  </r>
  <r>
    <s v="Blood Lactate Dehydrogenase Increased"/>
    <x v="11"/>
    <n v="1"/>
  </r>
  <r>
    <s v="Platelet Count Increased"/>
    <x v="12"/>
    <n v="1"/>
  </r>
  <r>
    <s v="Depressed Level Of Consciousness"/>
    <x v="2"/>
    <n v="1"/>
  </r>
  <r>
    <s v="Blood Urea Increased"/>
    <x v="13"/>
    <n v="1"/>
  </r>
  <r>
    <s v="Hypersensitivity"/>
    <x v="10"/>
    <n v="1"/>
  </r>
  <r>
    <s v="Rash"/>
    <x v="7"/>
    <n v="1"/>
  </r>
  <r>
    <s v="Arthropod Bite"/>
    <x v="7"/>
    <n v="1"/>
  </r>
  <r>
    <s v="Pruritus"/>
    <x v="7"/>
    <n v="1"/>
  </r>
  <r>
    <s v="Acne"/>
    <x v="7"/>
    <n v="1"/>
  </r>
  <r>
    <s v="Hydrocele"/>
    <x v="14"/>
    <n v="1"/>
  </r>
  <r>
    <s v="Maternal Exposure Before Pregnancy"/>
    <x v="14"/>
    <n v="3"/>
  </r>
  <r>
    <s v="Inguinal Hernia"/>
    <x v="8"/>
    <n v="1"/>
  </r>
  <r>
    <s v="Umbilical Hernia"/>
    <x v="8"/>
    <n v="1"/>
  </r>
  <r>
    <s v="Hypospadias"/>
    <x v="15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0">
  <r>
    <s v="Retinal Vein Occlusion"/>
    <x v="0"/>
    <n v="2"/>
  </r>
  <r>
    <s v="Haematocrit Decreased"/>
    <x v="1"/>
    <n v="27"/>
  </r>
  <r>
    <s v="Granulocyte Count Increased"/>
    <x v="1"/>
    <n v="2"/>
  </r>
  <r>
    <s v="Mean Cell Volume Increased"/>
    <x v="1"/>
    <n v="8"/>
  </r>
  <r>
    <s v="Asthenia"/>
    <x v="2"/>
    <n v="210"/>
  </r>
  <r>
    <s v="Dysuria"/>
    <x v="3"/>
    <n v="21"/>
  </r>
  <r>
    <s v="Chest Pain"/>
    <x v="4"/>
    <n v="55"/>
  </r>
  <r>
    <s v="Platelet Count Decreased"/>
    <x v="1"/>
    <n v="57"/>
  </r>
  <r>
    <s v="Sepsis"/>
    <x v="5"/>
    <n v="29"/>
  </r>
  <r>
    <s v="Haemoglobin Decreased"/>
    <x v="1"/>
    <n v="73"/>
  </r>
  <r>
    <s v="Myalgia"/>
    <x v="6"/>
    <n v="110"/>
  </r>
  <r>
    <s v="Cystitis"/>
    <x v="3"/>
    <n v="57"/>
  </r>
  <r>
    <s v="Urinary Tract Infection"/>
    <x v="3"/>
    <n v="125"/>
  </r>
  <r>
    <s v="Pyrexia"/>
    <x v="5"/>
    <n v="139"/>
  </r>
  <r>
    <s v="Tachycardia"/>
    <x v="4"/>
    <n v="48"/>
  </r>
  <r>
    <s v="Lethargy"/>
    <x v="2"/>
    <n v="14"/>
  </r>
  <r>
    <s v="Hypovolaemia"/>
    <x v="4"/>
    <n v="4"/>
  </r>
  <r>
    <s v="Hypokalaemia"/>
    <x v="7"/>
    <n v="61"/>
  </r>
  <r>
    <s v="Diarrhoea"/>
    <x v="8"/>
    <n v="242"/>
  </r>
  <r>
    <s v="Pericarditis"/>
    <x v="4"/>
    <n v="3"/>
  </r>
  <r>
    <s v="Interstitial Lung Disease"/>
    <x v="9"/>
    <n v="81"/>
  </r>
  <r>
    <s v="Osteonecrosis Of Jaw"/>
    <x v="6"/>
    <n v="61"/>
  </r>
  <r>
    <s v="Type 2 Diabetes Mellitus"/>
    <x v="7"/>
    <n v="13"/>
  </r>
  <r>
    <s v="Gallbladder Empyema"/>
    <x v="8"/>
    <n v="2"/>
  </r>
  <r>
    <s v="Neutrophil Count Decreased"/>
    <x v="1"/>
    <n v="71"/>
  </r>
  <r>
    <s v="Stress"/>
    <x v="7"/>
    <n v="16"/>
  </r>
  <r>
    <s v="Feeling Abnormal"/>
    <x v="2"/>
    <n v="63"/>
  </r>
  <r>
    <s v="Bone Density Decreased"/>
    <x v="6"/>
    <n v="10"/>
  </r>
  <r>
    <s v="Bone Loss"/>
    <x v="6"/>
    <n v="1"/>
  </r>
  <r>
    <s v="Amnesia"/>
    <x v="2"/>
    <n v="27"/>
  </r>
  <r>
    <s v="Illness"/>
    <x v="5"/>
    <n v="26"/>
  </r>
  <r>
    <s v="Bone Density Abnormal"/>
    <x v="6"/>
    <n v="3"/>
  </r>
  <r>
    <s v="Insomnia"/>
    <x v="2"/>
    <n v="86"/>
  </r>
  <r>
    <s v="Off Label Use"/>
    <x v="10"/>
    <n v="59"/>
  </r>
  <r>
    <s v="Nausea"/>
    <x v="8"/>
    <n v="360"/>
  </r>
  <r>
    <s v="Full Blood Count Abnormal"/>
    <x v="1"/>
    <n v="46"/>
  </r>
  <r>
    <s v="Body Height Decreased"/>
    <x v="7"/>
    <n v="6"/>
  </r>
  <r>
    <s v="Alopecia"/>
    <x v="11"/>
    <n v="187"/>
  </r>
  <r>
    <s v="Dizziness"/>
    <x v="2"/>
    <n v="121"/>
  </r>
  <r>
    <s v="Blood Potassium Decreased"/>
    <x v="7"/>
    <n v="11"/>
  </r>
  <r>
    <s v="Fatigue"/>
    <x v="2"/>
    <n v="400"/>
  </r>
  <r>
    <s v="Cough"/>
    <x v="9"/>
    <n v="146"/>
  </r>
  <r>
    <s v="Depression"/>
    <x v="2"/>
    <n v="103"/>
  </r>
  <r>
    <s v="Product Container Issue"/>
    <x v="10"/>
    <n v="1"/>
  </r>
  <r>
    <s v="Anxiety"/>
    <x v="2"/>
    <n v="93"/>
  </r>
  <r>
    <s v="Gait Disturbance"/>
    <x v="2"/>
    <n v="73"/>
  </r>
  <r>
    <s v="Incorrect Dose Administered"/>
    <x v="10"/>
    <n v="6"/>
  </r>
  <r>
    <s v="Hepatic Cytolysis"/>
    <x v="12"/>
    <n v="77"/>
  </r>
  <r>
    <s v="Cholestasis"/>
    <x v="12"/>
    <n v="38"/>
  </r>
  <r>
    <s v="Salivary Gland Cancer"/>
    <x v="7"/>
    <n v="3"/>
  </r>
  <r>
    <s v="Bone Cancer"/>
    <x v="6"/>
    <n v="10"/>
  </r>
  <r>
    <s v="Gingivitis"/>
    <x v="13"/>
    <n v="6"/>
  </r>
  <r>
    <s v="Subcutaneous Abscess"/>
    <x v="11"/>
    <n v="4"/>
  </r>
  <r>
    <s v="Cataract"/>
    <x v="0"/>
    <n v="42"/>
  </r>
  <r>
    <s v="Colitis"/>
    <x v="8"/>
    <n v="8"/>
  </r>
  <r>
    <s v="Throat Irritation"/>
    <x v="9"/>
    <n v="13"/>
  </r>
  <r>
    <s v="Incontinence"/>
    <x v="3"/>
    <n v="8"/>
  </r>
  <r>
    <s v="Dysphonia"/>
    <x v="2"/>
    <n v="17"/>
  </r>
  <r>
    <s v="Pulmonary Embolism"/>
    <x v="4"/>
    <n v="120"/>
  </r>
  <r>
    <s v="Anaemia"/>
    <x v="1"/>
    <n v="223"/>
  </r>
  <r>
    <s v="Renal Pain"/>
    <x v="3"/>
    <n v="3"/>
  </r>
  <r>
    <s v="Gastroenteritis"/>
    <x v="8"/>
    <n v="12"/>
  </r>
  <r>
    <s v="Hypocalcaemia"/>
    <x v="7"/>
    <n v="25"/>
  </r>
  <r>
    <s v="Hepatic Enzyme Increased"/>
    <x v="12"/>
    <n v="18"/>
  </r>
  <r>
    <s v="Leukopenia"/>
    <x v="1"/>
    <n v="96"/>
  </r>
  <r>
    <s v="Neutropenia"/>
    <x v="1"/>
    <n v="305"/>
  </r>
  <r>
    <s v="Vomiting"/>
    <x v="8"/>
    <n v="181"/>
  </r>
  <r>
    <s v="Musculoskeletal Pain"/>
    <x v="6"/>
    <n v="20"/>
  </r>
  <r>
    <s v="Pneumonitis"/>
    <x v="9"/>
    <n v="24"/>
  </r>
  <r>
    <s v="Back Pain"/>
    <x v="6"/>
    <n v="133"/>
  </r>
  <r>
    <s v="Arthralgia"/>
    <x v="6"/>
    <n v="296"/>
  </r>
  <r>
    <s v="Hypophosphataemia"/>
    <x v="7"/>
    <n v="4"/>
  </r>
  <r>
    <s v="Neuropathy Peripheral"/>
    <x v="2"/>
    <n v="53"/>
  </r>
  <r>
    <s v="Condition Aggravated"/>
    <x v="10"/>
    <n v="70"/>
  </r>
  <r>
    <s v="Malnutrition"/>
    <x v="14"/>
    <n v="11"/>
  </r>
  <r>
    <s v="Dehydration"/>
    <x v="15"/>
    <n v="54"/>
  </r>
  <r>
    <s v="Lymphoedema"/>
    <x v="16"/>
    <n v="25"/>
  </r>
  <r>
    <s v="Oedema Peripheral"/>
    <x v="4"/>
    <n v="100"/>
  </r>
  <r>
    <s v="Epistaxis"/>
    <x v="1"/>
    <n v="64"/>
  </r>
  <r>
    <s v="Abdominal Pain"/>
    <x v="8"/>
    <n v="89"/>
  </r>
  <r>
    <s v="Ageusia"/>
    <x v="2"/>
    <n v="11"/>
  </r>
  <r>
    <s v="Pain In Extremity"/>
    <x v="6"/>
    <n v="136"/>
  </r>
  <r>
    <s v="Restless Legs Syndrome"/>
    <x v="2"/>
    <n v="3"/>
  </r>
  <r>
    <s v="Eye Disorder"/>
    <x v="0"/>
    <n v="9"/>
  </r>
  <r>
    <s v="Skin Exfoliation"/>
    <x v="11"/>
    <n v="19"/>
  </r>
  <r>
    <s v="Cholelithiasis"/>
    <x v="8"/>
    <n v="19"/>
  </r>
  <r>
    <s v="Memory Impairment"/>
    <x v="2"/>
    <n v="41"/>
  </r>
  <r>
    <s v="Pain"/>
    <x v="10"/>
    <n v="178"/>
  </r>
  <r>
    <s v="Dyspnoea"/>
    <x v="9"/>
    <n v="278"/>
  </r>
  <r>
    <s v="Hypoaesthesia"/>
    <x v="2"/>
    <n v="49"/>
  </r>
  <r>
    <s v="Weight Decreased"/>
    <x v="17"/>
    <n v="96"/>
  </r>
  <r>
    <s v="Eating Disorder"/>
    <x v="18"/>
    <n v="13"/>
  </r>
  <r>
    <s v="Confusional State"/>
    <x v="2"/>
    <n v="58"/>
  </r>
  <r>
    <s v="Crying"/>
    <x v="18"/>
    <n v="15"/>
  </r>
  <r>
    <s v="Burning Sensation"/>
    <x v="10"/>
    <n v="18"/>
  </r>
  <r>
    <s v="Neoplasm Progression"/>
    <x v="10"/>
    <n v="107"/>
  </r>
  <r>
    <s v="Headache"/>
    <x v="2"/>
    <n v="140"/>
  </r>
  <r>
    <s v="Balance Disorder"/>
    <x v="2"/>
    <n v="29"/>
  </r>
  <r>
    <s v="Underweight"/>
    <x v="17"/>
    <n v="1"/>
  </r>
  <r>
    <s v="Pruritus"/>
    <x v="11"/>
    <n v="129"/>
  </r>
  <r>
    <s v="Tremor"/>
    <x v="2"/>
    <n v="48"/>
  </r>
  <r>
    <s v="Renal Cyst"/>
    <x v="3"/>
    <n v="9"/>
  </r>
  <r>
    <s v="Benign Neoplasm"/>
    <x v="10"/>
    <n v="1"/>
  </r>
  <r>
    <s v="Blood Calcium Increased"/>
    <x v="7"/>
    <n v="21"/>
  </r>
  <r>
    <s v="Asthenopia"/>
    <x v="0"/>
    <n v="2"/>
  </r>
  <r>
    <s v="Skin Burning Sensation"/>
    <x v="11"/>
    <n v="6"/>
  </r>
  <r>
    <s v="Dermatitis Exfoliative"/>
    <x v="11"/>
    <n v="1"/>
  </r>
  <r>
    <s v="Contusion"/>
    <x v="11"/>
    <n v="33"/>
  </r>
  <r>
    <s v="Mobility Decreased"/>
    <x v="6"/>
    <n v="28"/>
  </r>
  <r>
    <s v="Aphonia"/>
    <x v="2"/>
    <n v="1"/>
  </r>
  <r>
    <s v="Nephropathy"/>
    <x v="3"/>
    <n v="1"/>
  </r>
  <r>
    <s v="Product Dose Omission Issue"/>
    <x v="10"/>
    <n v="18"/>
  </r>
  <r>
    <s v="Arthritis"/>
    <x v="6"/>
    <n v="41"/>
  </r>
  <r>
    <s v="Cerebral Disorder"/>
    <x v="2"/>
    <n v="4"/>
  </r>
  <r>
    <s v="Blindness Transient"/>
    <x v="0"/>
    <n v="1"/>
  </r>
  <r>
    <s v="Mood Altered"/>
    <x v="18"/>
    <n v="11"/>
  </r>
  <r>
    <s v="Exercise Tolerance Decreased"/>
    <x v="4"/>
    <n v="3"/>
  </r>
  <r>
    <s v="Rash"/>
    <x v="11"/>
    <n v="82"/>
  </r>
  <r>
    <s v="Peripheral Swelling"/>
    <x v="4"/>
    <n v="45"/>
  </r>
  <r>
    <s v="Renal Function Test Abnormal"/>
    <x v="3"/>
    <n v="2"/>
  </r>
  <r>
    <s v="Visual Impairment"/>
    <x v="0"/>
    <n v="49"/>
  </r>
  <r>
    <s v="Decreased Appetite"/>
    <x v="14"/>
    <n v="132"/>
  </r>
  <r>
    <s v="Stomatitis"/>
    <x v="13"/>
    <n v="57"/>
  </r>
  <r>
    <s v="Weight Increased"/>
    <x v="17"/>
    <n v="54"/>
  </r>
  <r>
    <s v="Oesophagitis"/>
    <x v="8"/>
    <n v="12"/>
  </r>
  <r>
    <s v="Rash Erythematous"/>
    <x v="11"/>
    <n v="13"/>
  </r>
  <r>
    <s v="Neck Pain"/>
    <x v="6"/>
    <n v="11"/>
  </r>
  <r>
    <s v="Muscle Atrophy"/>
    <x v="6"/>
    <n v="9"/>
  </r>
  <r>
    <s v="Sunburn"/>
    <x v="11"/>
    <n v="2"/>
  </r>
  <r>
    <s v="Cardiac Failure"/>
    <x v="4"/>
    <n v="83"/>
  </r>
  <r>
    <s v="Somnolence"/>
    <x v="2"/>
    <n v="34"/>
  </r>
  <r>
    <s v="Underdose"/>
    <x v="10"/>
    <n v="15"/>
  </r>
  <r>
    <s v="Mucosal Dryness"/>
    <x v="13"/>
    <n v="10"/>
  </r>
  <r>
    <s v="White Blood Cell Count Decreased"/>
    <x v="1"/>
    <n v="218"/>
  </r>
  <r>
    <s v="Respiratory Tract Congestion"/>
    <x v="9"/>
    <n v="3"/>
  </r>
  <r>
    <s v="Malaise"/>
    <x v="2"/>
    <n v="135"/>
  </r>
  <r>
    <s v="Iron Deficiency Anaemia"/>
    <x v="1"/>
    <n v="2"/>
  </r>
  <r>
    <s v="Muscular Weakness"/>
    <x v="2"/>
    <n v="36"/>
  </r>
  <r>
    <s v="Dyspnoea Exertional"/>
    <x v="9"/>
    <n v="39"/>
  </r>
  <r>
    <s v="Femoral Neck Fracture"/>
    <x v="6"/>
    <n v="11"/>
  </r>
  <r>
    <s v="Pneumonia"/>
    <x v="9"/>
    <n v="155"/>
  </r>
  <r>
    <s v="Melanocytic Naevus"/>
    <x v="11"/>
    <n v="2"/>
  </r>
  <r>
    <s v="Muscle Spasms"/>
    <x v="6"/>
    <n v="95"/>
  </r>
  <r>
    <s v="White Blood Cells Urine Positive"/>
    <x v="3"/>
    <n v="7"/>
  </r>
  <r>
    <s v="Blood Pressure Increased"/>
    <x v="4"/>
    <n v="54"/>
  </r>
  <r>
    <s v="Blindness"/>
    <x v="0"/>
    <n v="7"/>
  </r>
  <r>
    <s v="Alanine Aminotransferase Increased"/>
    <x v="12"/>
    <n v="62"/>
  </r>
  <r>
    <s v="Oral Pain"/>
    <x v="13"/>
    <n v="8"/>
  </r>
  <r>
    <s v="Aphthous Ulcer"/>
    <x v="13"/>
    <n v="24"/>
  </r>
  <r>
    <s v="Aspartate Aminotransferase Increased"/>
    <x v="12"/>
    <n v="57"/>
  </r>
  <r>
    <s v="Lymphocyte Count Decreased"/>
    <x v="1"/>
    <n v="28"/>
  </r>
  <r>
    <s v="Renal Impairment"/>
    <x v="3"/>
    <n v="41"/>
  </r>
  <r>
    <s v="Blood Creatinine Increased"/>
    <x v="3"/>
    <n v="96"/>
  </r>
  <r>
    <s v="Eastern Cooperative Oncology Group Performance Status Worsened"/>
    <x v="10"/>
    <n v="18"/>
  </r>
  <r>
    <s v="Thrombocytopenia"/>
    <x v="1"/>
    <n v="127"/>
  </r>
  <r>
    <s v="Blood Glucose Increased"/>
    <x v="7"/>
    <n v="56"/>
  </r>
  <r>
    <s v="C-Reactive Protein Increased"/>
    <x v="5"/>
    <n v="35"/>
  </r>
  <r>
    <s v="Nephrolithiasis"/>
    <x v="3"/>
    <n v="19"/>
  </r>
  <r>
    <s v="Chronic Kidney Disease"/>
    <x v="3"/>
    <n v="24"/>
  </r>
  <r>
    <s v="Hypertension"/>
    <x v="4"/>
    <n v="152"/>
  </r>
  <r>
    <s v="Electrocardiogram Qt Prolonged"/>
    <x v="4"/>
    <n v="81"/>
  </r>
  <r>
    <s v="Pleural Effusion"/>
    <x v="9"/>
    <n v="100"/>
  </r>
  <r>
    <s v="Blood Alkaline Phosphatase Increased"/>
    <x v="12"/>
    <n v="36"/>
  </r>
  <r>
    <s v="Infection"/>
    <x v="5"/>
    <n v="43"/>
  </r>
  <r>
    <s v="General Physical Health Deterioration"/>
    <x v="10"/>
    <n v="126"/>
  </r>
  <r>
    <s v="Hyponatraemia"/>
    <x v="7"/>
    <n v="47"/>
  </r>
  <r>
    <s v="Glomerular Filtration Rate Decreased"/>
    <x v="3"/>
    <n v="24"/>
  </r>
  <r>
    <s v="Urinary Retention"/>
    <x v="3"/>
    <n v="19"/>
  </r>
  <r>
    <s v="Bronchitis"/>
    <x v="9"/>
    <n v="56"/>
  </r>
  <r>
    <s v="Osteoarthritis"/>
    <x v="6"/>
    <n v="57"/>
  </r>
  <r>
    <s v="Atrial Fibrillation"/>
    <x v="4"/>
    <n v="86"/>
  </r>
  <r>
    <s v="Blood Thyroid Stimulating Hormone Increased"/>
    <x v="7"/>
    <n v="21"/>
  </r>
  <r>
    <s v="Dry Skin"/>
    <x v="11"/>
    <n v="65"/>
  </r>
  <r>
    <s v="Concomitant Disease Aggravated"/>
    <x v="10"/>
    <n v="22"/>
  </r>
  <r>
    <s v="Peripheral Motor Neuropathy"/>
    <x v="2"/>
    <n v="3"/>
  </r>
  <r>
    <s v="Gastritis"/>
    <x v="8"/>
    <n v="22"/>
  </r>
  <r>
    <s v="Arrhythmia"/>
    <x v="4"/>
    <n v="15"/>
  </r>
  <r>
    <s v="Heart Rate Decreased"/>
    <x v="4"/>
    <n v="3"/>
  </r>
  <r>
    <s v="Dry Eye"/>
    <x v="0"/>
    <n v="37"/>
  </r>
  <r>
    <s v="Gamma-Glutamyltransferase Increased"/>
    <x v="12"/>
    <n v="53"/>
  </r>
  <r>
    <s v="Constipation"/>
    <x v="8"/>
    <n v="96"/>
  </r>
  <r>
    <s v="Aphasia"/>
    <x v="2"/>
    <n v="16"/>
  </r>
  <r>
    <s v="Sleep Disorder"/>
    <x v="2"/>
    <n v="60"/>
  </r>
  <r>
    <s v="Taste Disorder"/>
    <x v="2"/>
    <n v="20"/>
  </r>
  <r>
    <s v="Gastrointestinal Infection"/>
    <x v="8"/>
    <n v="5"/>
  </r>
  <r>
    <s v="Lymphadenopathy"/>
    <x v="16"/>
    <n v="23"/>
  </r>
  <r>
    <s v="Nasopharyngitis"/>
    <x v="9"/>
    <n v="49"/>
  </r>
  <r>
    <s v="Hot Flush"/>
    <x v="7"/>
    <n v="110"/>
  </r>
  <r>
    <s v="Blood Lactate Dehydrogenase Increased"/>
    <x v="12"/>
    <n v="33"/>
  </r>
  <r>
    <s v="Disturbance In Attention"/>
    <x v="2"/>
    <n v="17"/>
  </r>
  <r>
    <s v="Product Use In Unapproved Indication"/>
    <x v="10"/>
    <n v="38"/>
  </r>
  <r>
    <s v="Arthropod Bite"/>
    <x v="11"/>
    <n v="11"/>
  </r>
  <r>
    <s v="Musculoskeletal Stiffness"/>
    <x v="6"/>
    <n v="49"/>
  </r>
  <r>
    <s v="Pulpitis Dental"/>
    <x v="13"/>
    <n v="2"/>
  </r>
  <r>
    <s v="Conjunctivitis"/>
    <x v="0"/>
    <n v="18"/>
  </r>
  <r>
    <s v="Coronavirus Infection"/>
    <x v="9"/>
    <n v="3"/>
  </r>
  <r>
    <s v="Palpitations"/>
    <x v="4"/>
    <n v="40"/>
  </r>
  <r>
    <s v="Dry Mouth"/>
    <x v="13"/>
    <n v="27"/>
  </r>
  <r>
    <s v="Respiratory Tract Infection"/>
    <x v="9"/>
    <n v="17"/>
  </r>
  <r>
    <s v="Hypothyroidism"/>
    <x v="7"/>
    <n v="17"/>
  </r>
  <r>
    <s v="Blood Lactic Acid Increased"/>
    <x v="17"/>
    <n v="3"/>
  </r>
  <r>
    <s v="Metastases To Bone"/>
    <x v="6"/>
    <n v="84"/>
  </r>
  <r>
    <s v="Hypercalcaemia"/>
    <x v="7"/>
    <n v="24"/>
  </r>
  <r>
    <s v="Metabolic Acidosis"/>
    <x v="17"/>
    <n v="7"/>
  </r>
  <r>
    <s v="Cardiac Arrest"/>
    <x v="4"/>
    <n v="13"/>
  </r>
  <r>
    <s v="Malignant Neoplasm Progression"/>
    <x v="10"/>
    <n v="104"/>
  </r>
  <r>
    <s v="Speech Disorder"/>
    <x v="2"/>
    <n v="20"/>
  </r>
  <r>
    <s v="Fall"/>
    <x v="6"/>
    <n v="117"/>
  </r>
  <r>
    <s v="Haematoma"/>
    <x v="11"/>
    <n v="2"/>
  </r>
  <r>
    <s v="Hepatitis"/>
    <x v="12"/>
    <n v="11"/>
  </r>
  <r>
    <s v="Laboratory Test Abnormal"/>
    <x v="10"/>
    <n v="7"/>
  </r>
  <r>
    <s v="Abdominal Discomfort"/>
    <x v="8"/>
    <n v="39"/>
  </r>
  <r>
    <s v="Inflammation"/>
    <x v="5"/>
    <n v="23"/>
  </r>
  <r>
    <s v="Rhinorrhoea"/>
    <x v="9"/>
    <n v="44"/>
  </r>
  <r>
    <s v="Cognitive Disorder"/>
    <x v="2"/>
    <n v="11"/>
  </r>
  <r>
    <s v="Blood Glucose Abnormal"/>
    <x v="7"/>
    <n v="6"/>
  </r>
  <r>
    <s v="Influenza"/>
    <x v="9"/>
    <n v="30"/>
  </r>
  <r>
    <s v="Hypersensitivity"/>
    <x v="5"/>
    <n v="33"/>
  </r>
  <r>
    <s v="Ascites"/>
    <x v="8"/>
    <n v="36"/>
  </r>
  <r>
    <s v="Mental Disorder"/>
    <x v="18"/>
    <n v="27"/>
  </r>
  <r>
    <s v="Liver Disorder"/>
    <x v="12"/>
    <n v="20"/>
  </r>
  <r>
    <s v="White Blood Cell Disorder"/>
    <x v="1"/>
    <n v="3"/>
  </r>
  <r>
    <s v="Liver Injury"/>
    <x v="12"/>
    <n v="7"/>
  </r>
  <r>
    <s v="Intestinal Obstruction"/>
    <x v="8"/>
    <n v="3"/>
  </r>
  <r>
    <s v="Fluid Intake Reduced"/>
    <x v="15"/>
    <n v="2"/>
  </r>
  <r>
    <s v="Liver Function Test Increased"/>
    <x v="12"/>
    <n v="12"/>
  </r>
  <r>
    <s v="Peripheral Sensory Neuropathy"/>
    <x v="2"/>
    <n v="5"/>
  </r>
  <r>
    <s v="Hyperthyroidism"/>
    <x v="7"/>
    <n v="6"/>
  </r>
  <r>
    <s v="Carpal Tunnel Syndrome"/>
    <x v="2"/>
    <n v="9"/>
  </r>
  <r>
    <s v="Tenosynovitis"/>
    <x v="6"/>
    <n v="2"/>
  </r>
  <r>
    <s v="Covid-19"/>
    <x v="9"/>
    <n v="28"/>
  </r>
  <r>
    <s v="Periorbital Dermatitis"/>
    <x v="11"/>
    <n v="2"/>
  </r>
  <r>
    <s v="Overdose"/>
    <x v="10"/>
    <n v="16"/>
  </r>
  <r>
    <s v="Mucosal Inflammation"/>
    <x v="10"/>
    <n v="25"/>
  </r>
  <r>
    <s v="Bone Pain"/>
    <x v="6"/>
    <n v="116"/>
  </r>
  <r>
    <s v="Spinal Operation"/>
    <x v="6"/>
    <n v="1"/>
  </r>
  <r>
    <s v="Body Temperature Fluctuation"/>
    <x v="7"/>
    <n v="2"/>
  </r>
  <r>
    <s v="Renal Failure"/>
    <x v="3"/>
    <n v="63"/>
  </r>
  <r>
    <s v="Erysipelas"/>
    <x v="11"/>
    <n v="12"/>
  </r>
  <r>
    <s v="Death"/>
    <x v="10"/>
    <n v="55"/>
  </r>
  <r>
    <s v="Syncope"/>
    <x v="4"/>
    <n v="49"/>
  </r>
  <r>
    <s v="Chest Discomfort"/>
    <x v="4"/>
    <n v="47"/>
  </r>
  <r>
    <s v="Pneumothorax"/>
    <x v="9"/>
    <n v="3"/>
  </r>
  <r>
    <s v="Osteoporotic Fracture"/>
    <x v="6"/>
    <n v="5"/>
  </r>
  <r>
    <s v="Dermatitis Bullous"/>
    <x v="11"/>
    <n v="26"/>
  </r>
  <r>
    <s v="Ischaemic Stroke"/>
    <x v="2"/>
    <n v="43"/>
  </r>
  <r>
    <s v="Cholangitis Sclerosing"/>
    <x v="12"/>
    <n v="5"/>
  </r>
  <r>
    <s v="Dizziness Postural"/>
    <x v="2"/>
    <n v="1"/>
  </r>
  <r>
    <s v="Joint Swelling"/>
    <x v="6"/>
    <n v="34"/>
  </r>
  <r>
    <s v="Oedema"/>
    <x v="4"/>
    <n v="20"/>
  </r>
  <r>
    <s v="Breast Cancer"/>
    <x v="7"/>
    <n v="74"/>
  </r>
  <r>
    <s v="Oxygen Saturation Abnormal"/>
    <x v="9"/>
    <n v="1"/>
  </r>
  <r>
    <s v="Hyperhidrosis"/>
    <x v="11"/>
    <n v="51"/>
  </r>
  <r>
    <s v="Arthropathy"/>
    <x v="6"/>
    <n v="17"/>
  </r>
  <r>
    <s v="Night Sweats"/>
    <x v="7"/>
    <n v="19"/>
  </r>
  <r>
    <s v="Dysphagia"/>
    <x v="8"/>
    <n v="48"/>
  </r>
  <r>
    <s v="Adjustment Disorder With Anxiety"/>
    <x v="18"/>
    <n v="1"/>
  </r>
  <r>
    <s v="Affective Disorder"/>
    <x v="18"/>
    <n v="2"/>
  </r>
  <r>
    <s v="Vein Collapse"/>
    <x v="4"/>
    <n v="1"/>
  </r>
  <r>
    <s v="Anaemia Macrocytic"/>
    <x v="1"/>
    <n v="9"/>
  </r>
  <r>
    <s v="Lacrimation Increased"/>
    <x v="0"/>
    <n v="18"/>
  </r>
  <r>
    <s v="Tinnitus"/>
    <x v="2"/>
    <n v="15"/>
  </r>
  <r>
    <s v="Animal Bite"/>
    <x v="11"/>
    <n v="1"/>
  </r>
  <r>
    <s v="Vision Blurred"/>
    <x v="0"/>
    <n v="35"/>
  </r>
  <r>
    <s v="Hypoacusis"/>
    <x v="2"/>
    <n v="15"/>
  </r>
  <r>
    <s v="Thrombosis"/>
    <x v="4"/>
    <n v="25"/>
  </r>
  <r>
    <s v="Pancytopenia"/>
    <x v="1"/>
    <n v="51"/>
  </r>
  <r>
    <s v="Secretion Discharge"/>
    <x v="10"/>
    <n v="3"/>
  </r>
  <r>
    <s v="Disease Progression"/>
    <x v="10"/>
    <n v="58"/>
  </r>
  <r>
    <s v="Blood Pressure Systolic Increased"/>
    <x v="4"/>
    <n v="9"/>
  </r>
  <r>
    <s v="Pulmonary Valve Incompetence"/>
    <x v="4"/>
    <n v="2"/>
  </r>
  <r>
    <s v="Electrocardiogram Abnormal"/>
    <x v="4"/>
    <n v="5"/>
  </r>
  <r>
    <s v="Blood Pressure Diastolic Increased"/>
    <x v="4"/>
    <n v="1"/>
  </r>
  <r>
    <s v="Sinus Tachycardia"/>
    <x v="4"/>
    <n v="1"/>
  </r>
  <r>
    <s v="Blood Magnesium Decreased"/>
    <x v="7"/>
    <n v="6"/>
  </r>
  <r>
    <s v="Vitamin D Decreased"/>
    <x v="7"/>
    <n v="5"/>
  </r>
  <r>
    <s v="Blood Calcium Decreased"/>
    <x v="7"/>
    <n v="11"/>
  </r>
  <r>
    <s v="Femur Fracture"/>
    <x v="6"/>
    <n v="27"/>
  </r>
  <r>
    <s v="Joint Injury"/>
    <x v="6"/>
    <n v="4"/>
  </r>
  <r>
    <s v="Polymyalgia Rheumatica"/>
    <x v="6"/>
    <n v="5"/>
  </r>
  <r>
    <s v="Large Intestine Infection"/>
    <x v="8"/>
    <n v="2"/>
  </r>
  <r>
    <s v="Medication Error"/>
    <x v="10"/>
    <n v="6"/>
  </r>
  <r>
    <s v="Psychiatric Decompensation"/>
    <x v="18"/>
    <n v="1"/>
  </r>
  <r>
    <s v="Escherichia Urinary Tract Infection"/>
    <x v="3"/>
    <n v="4"/>
  </r>
  <r>
    <s v="Febrile Infection"/>
    <x v="5"/>
    <n v="3"/>
  </r>
  <r>
    <s v="Intertrigo"/>
    <x v="11"/>
    <n v="1"/>
  </r>
  <r>
    <s v="Myopathy"/>
    <x v="6"/>
    <n v="4"/>
  </r>
  <r>
    <s v="Erythema"/>
    <x v="11"/>
    <n v="38"/>
  </r>
  <r>
    <s v="Brain Oedema"/>
    <x v="2"/>
    <n v="4"/>
  </r>
  <r>
    <s v="Blood Urine Present"/>
    <x v="3"/>
    <n v="7"/>
  </r>
  <r>
    <s v="Protein Urine Present"/>
    <x v="3"/>
    <n v="6"/>
  </r>
  <r>
    <s v="Vertigo"/>
    <x v="2"/>
    <n v="44"/>
  </r>
  <r>
    <s v="Cerebral Ischaemia"/>
    <x v="2"/>
    <n v="10"/>
  </r>
  <r>
    <s v="Head Discomfort"/>
    <x v="2"/>
    <n v="19"/>
  </r>
  <r>
    <s v="Vestibular Disorder"/>
    <x v="2"/>
    <n v="2"/>
  </r>
  <r>
    <s v="Subclavian Artery Thrombosis"/>
    <x v="4"/>
    <n v="4"/>
  </r>
  <r>
    <s v="Subclavian Vein Thrombosis"/>
    <x v="4"/>
    <n v="6"/>
  </r>
  <r>
    <s v="Stress Cardiomyopathy"/>
    <x v="4"/>
    <n v="5"/>
  </r>
  <r>
    <s v="Febrile Neutropenia"/>
    <x v="1"/>
    <n v="47"/>
  </r>
  <r>
    <s v="Knee Arthroplasty"/>
    <x v="6"/>
    <n v="5"/>
  </r>
  <r>
    <s v="Fat Necrosis"/>
    <x v="11"/>
    <n v="1"/>
  </r>
  <r>
    <s v="Pulmonary Mass"/>
    <x v="9"/>
    <n v="13"/>
  </r>
  <r>
    <s v="Intention Tremor"/>
    <x v="2"/>
    <n v="1"/>
  </r>
  <r>
    <s v="Restlessness"/>
    <x v="2"/>
    <n v="5"/>
  </r>
  <r>
    <s v="Respiratory Syncytial Virus Infection"/>
    <x v="9"/>
    <n v="1"/>
  </r>
  <r>
    <s v="Depressed Mood"/>
    <x v="18"/>
    <n v="47"/>
  </r>
  <r>
    <s v="Chronic Obstructive Pulmonary Disease"/>
    <x v="9"/>
    <n v="38"/>
  </r>
  <r>
    <s v="Thrombocytopenic Purpura"/>
    <x v="1"/>
    <n v="2"/>
  </r>
  <r>
    <s v="Hypotension"/>
    <x v="4"/>
    <n v="24"/>
  </r>
  <r>
    <s v="Carcinoembryonic Antigen Increased"/>
    <x v="14"/>
    <n v="8"/>
  </r>
  <r>
    <s v="Shoulder Fracture"/>
    <x v="6"/>
    <n v="5"/>
  </r>
  <r>
    <s v="Influenza Like Illness"/>
    <x v="9"/>
    <n v="12"/>
  </r>
  <r>
    <s v="Gastritis Erosive"/>
    <x v="8"/>
    <n v="5"/>
  </r>
  <r>
    <s v="Jaundice"/>
    <x v="12"/>
    <n v="18"/>
  </r>
  <r>
    <s v="Device Breakage"/>
    <x v="10"/>
    <n v="1"/>
  </r>
  <r>
    <s v="Urinary Incontinence"/>
    <x v="3"/>
    <n v="9"/>
  </r>
  <r>
    <s v="Dementia"/>
    <x v="2"/>
    <n v="4"/>
  </r>
  <r>
    <s v="Sarcoma"/>
    <x v="19"/>
    <n v="4"/>
  </r>
  <r>
    <s v="Anxiety Disorder"/>
    <x v="18"/>
    <n v="3"/>
  </r>
  <r>
    <s v="Vulvovaginal Dryness"/>
    <x v="20"/>
    <n v="5"/>
  </r>
  <r>
    <s v="Radiation Pneumonitis"/>
    <x v="9"/>
    <n v="5"/>
  </r>
  <r>
    <s v="Pharyngitis"/>
    <x v="9"/>
    <n v="3"/>
  </r>
  <r>
    <s v="Dyspepsia"/>
    <x v="8"/>
    <n v="41"/>
  </r>
  <r>
    <s v="Macrocytosis"/>
    <x v="1"/>
    <n v="6"/>
  </r>
  <r>
    <s v="Cytopenia"/>
    <x v="1"/>
    <n v="8"/>
  </r>
  <r>
    <s v="Vulvovaginal Pruritus"/>
    <x v="20"/>
    <n v="3"/>
  </r>
  <r>
    <s v="Hepatic Failure"/>
    <x v="12"/>
    <n v="22"/>
  </r>
  <r>
    <s v="Osteonecrosis"/>
    <x v="6"/>
    <n v="15"/>
  </r>
  <r>
    <s v="Mouth Haemorrhage"/>
    <x v="13"/>
    <n v="6"/>
  </r>
  <r>
    <s v="Hepatic Encephalopathy"/>
    <x v="2"/>
    <n v="6"/>
  </r>
  <r>
    <s v="Anal Haemorrhage"/>
    <x v="8"/>
    <n v="7"/>
  </r>
  <r>
    <s v="Magnetic Resonance Imaging Head Abnormal"/>
    <x v="2"/>
    <n v="1"/>
  </r>
  <r>
    <s v="Hypotonia"/>
    <x v="2"/>
    <n v="7"/>
  </r>
  <r>
    <s v="Facial Paralysis"/>
    <x v="2"/>
    <n v="5"/>
  </r>
  <r>
    <s v="Cerebral Infarction"/>
    <x v="2"/>
    <n v="12"/>
  </r>
  <r>
    <s v="Tongue Paralysis"/>
    <x v="2"/>
    <n v="1"/>
  </r>
  <r>
    <s v="Limb Discomfort"/>
    <x v="6"/>
    <n v="11"/>
  </r>
  <r>
    <s v="Lacunar Infarction"/>
    <x v="2"/>
    <n v="3"/>
  </r>
  <r>
    <s v="Decreased Immune Responsiveness"/>
    <x v="5"/>
    <n v="14"/>
  </r>
  <r>
    <s v="Vulvovaginitis"/>
    <x v="20"/>
    <n v="4"/>
  </r>
  <r>
    <s v="Gastroenteritis Viral"/>
    <x v="8"/>
    <n v="11"/>
  </r>
  <r>
    <s v="Dysstasia"/>
    <x v="6"/>
    <n v="12"/>
  </r>
  <r>
    <s v="Anorectal Discomfort"/>
    <x v="8"/>
    <n v="6"/>
  </r>
  <r>
    <s v="Gait Inability"/>
    <x v="2"/>
    <n v="15"/>
  </r>
  <r>
    <s v="Back Injury"/>
    <x v="6"/>
    <n v="4"/>
  </r>
  <r>
    <s v="Nightmare"/>
    <x v="18"/>
    <n v="7"/>
  </r>
  <r>
    <s v="Suicidal Ideation"/>
    <x v="18"/>
    <n v="23"/>
  </r>
  <r>
    <s v="Renal Disorder"/>
    <x v="3"/>
    <n v="10"/>
  </r>
  <r>
    <s v="Ovarian Disorder"/>
    <x v="20"/>
    <n v="5"/>
  </r>
  <r>
    <s v="Gingival Pain"/>
    <x v="13"/>
    <n v="10"/>
  </r>
  <r>
    <s v="Abdominal Distension"/>
    <x v="8"/>
    <n v="28"/>
  </r>
  <r>
    <s v="Candida Infection"/>
    <x v="11"/>
    <n v="12"/>
  </r>
  <r>
    <s v="Tooth Injury"/>
    <x v="13"/>
    <n v="3"/>
  </r>
  <r>
    <s v="Skin Lesion"/>
    <x v="11"/>
    <n v="9"/>
  </r>
  <r>
    <s v="Alpha Hydroxybutyrate Dehydrogenase Increased"/>
    <x v="12"/>
    <n v="1"/>
  </r>
  <r>
    <s v="Proteinuria"/>
    <x v="3"/>
    <n v="2"/>
  </r>
  <r>
    <s v="Hypernatraemia"/>
    <x v="7"/>
    <n v="1"/>
  </r>
  <r>
    <s v="Urinary Occult Blood Positive"/>
    <x v="3"/>
    <n v="1"/>
  </r>
  <r>
    <s v="Hyperglycaemia"/>
    <x v="7"/>
    <n v="8"/>
  </r>
  <r>
    <s v="Venous Thrombosis"/>
    <x v="4"/>
    <n v="2"/>
  </r>
  <r>
    <s v="Soft Tissue Swelling"/>
    <x v="6"/>
    <n v="1"/>
  </r>
  <r>
    <s v="Vascular Wall Hypertrophy"/>
    <x v="4"/>
    <n v="1"/>
  </r>
  <r>
    <s v="Skin Infection"/>
    <x v="11"/>
    <n v="5"/>
  </r>
  <r>
    <s v="Hypoalbuminaemia"/>
    <x v="17"/>
    <n v="10"/>
  </r>
  <r>
    <s v="Superficial Vein Thrombosis"/>
    <x v="4"/>
    <n v="6"/>
  </r>
  <r>
    <s v="Myocardial Ischaemia"/>
    <x v="4"/>
    <n v="13"/>
  </r>
  <r>
    <s v="Therapeutic Response Shortened"/>
    <x v="10"/>
    <n v="1"/>
  </r>
  <r>
    <s v="Bone Lesion"/>
    <x v="6"/>
    <n v="16"/>
  </r>
  <r>
    <s v="Acute Kidney Injury"/>
    <x v="3"/>
    <n v="90"/>
  </r>
  <r>
    <s v="Myelosuppression"/>
    <x v="1"/>
    <n v="15"/>
  </r>
  <r>
    <s v="Hair Texture Abnormal"/>
    <x v="11"/>
    <n v="16"/>
  </r>
  <r>
    <s v="Intraosseous Access Placement"/>
    <x v="10"/>
    <n v="1"/>
  </r>
  <r>
    <s v="Interleukin Level Increased"/>
    <x v="5"/>
    <n v="1"/>
  </r>
  <r>
    <s v="Prealbumin Decreased"/>
    <x v="17"/>
    <n v="1"/>
  </r>
  <r>
    <s v="Amylase Decreased"/>
    <x v="14"/>
    <n v="1"/>
  </r>
  <r>
    <s v="Metastasis"/>
    <x v="19"/>
    <n v="12"/>
  </r>
  <r>
    <s v="Red Blood Cell Count Decreased"/>
    <x v="1"/>
    <n v="44"/>
  </r>
  <r>
    <s v="Mean Cell Haemoglobin Increased"/>
    <x v="1"/>
    <n v="6"/>
  </r>
  <r>
    <s v="Blood Triglycerides Decreased"/>
    <x v="17"/>
    <n v="2"/>
  </r>
  <r>
    <s v="Basophil Count Increased"/>
    <x v="1"/>
    <n v="3"/>
  </r>
  <r>
    <s v="Calcification Metastatic"/>
    <x v="6"/>
    <n v="1"/>
  </r>
  <r>
    <s v="Lymphangitis"/>
    <x v="16"/>
    <n v="2"/>
  </r>
  <r>
    <s v="Monocyte Count Increased"/>
    <x v="1"/>
    <n v="4"/>
  </r>
  <r>
    <s v="Pancreatitis Acute"/>
    <x v="8"/>
    <n v="7"/>
  </r>
  <r>
    <s v="Reflux Gastritis"/>
    <x v="8"/>
    <n v="2"/>
  </r>
  <r>
    <s v="Duodenal Ulcer"/>
    <x v="8"/>
    <n v="1"/>
  </r>
  <r>
    <s v="Protein Total Decreased"/>
    <x v="17"/>
    <n v="9"/>
  </r>
  <r>
    <s v="Neutrophil Count Increased"/>
    <x v="1"/>
    <n v="11"/>
  </r>
  <r>
    <s v="Blood Albumin Decreased"/>
    <x v="17"/>
    <n v="15"/>
  </r>
  <r>
    <s v="Eosinophil Count Decreased"/>
    <x v="1"/>
    <n v="2"/>
  </r>
  <r>
    <s v="Hepatic Cyst"/>
    <x v="12"/>
    <n v="11"/>
  </r>
  <r>
    <s v="Pancreatic Steatosis"/>
    <x v="8"/>
    <n v="1"/>
  </r>
  <r>
    <s v="Plateletcrit Decreased"/>
    <x v="1"/>
    <n v="1"/>
  </r>
  <r>
    <s v="Red Cell Distribution Width Increased"/>
    <x v="1"/>
    <n v="14"/>
  </r>
  <r>
    <s v="Tooth Loss"/>
    <x v="13"/>
    <n v="4"/>
  </r>
  <r>
    <s v="Forced Vital Capacity Decreased"/>
    <x v="9"/>
    <n v="3"/>
  </r>
  <r>
    <s v="Gastrointestinal Disorder"/>
    <x v="8"/>
    <n v="15"/>
  </r>
  <r>
    <s v="Motor Dysfunction"/>
    <x v="2"/>
    <n v="4"/>
  </r>
  <r>
    <s v="Mixed Anxiety And Depressive Disorder"/>
    <x v="18"/>
    <n v="3"/>
  </r>
  <r>
    <s v="Food Intolerance"/>
    <x v="8"/>
    <n v="5"/>
  </r>
  <r>
    <s v="Temperature Intolerance"/>
    <x v="7"/>
    <n v="5"/>
  </r>
  <r>
    <s v="Joint Stiffness"/>
    <x v="6"/>
    <n v="36"/>
  </r>
  <r>
    <s v="Blood Pressure Decreased"/>
    <x v="4"/>
    <n v="12"/>
  </r>
  <r>
    <s v="Extra Dose Administered"/>
    <x v="10"/>
    <n v="5"/>
  </r>
  <r>
    <s v="Meniscus Injury"/>
    <x v="6"/>
    <n v="4"/>
  </r>
  <r>
    <s v="Phobia Of Driving"/>
    <x v="18"/>
    <n v="3"/>
  </r>
  <r>
    <s v="Psychiatric Symptom"/>
    <x v="18"/>
    <n v="3"/>
  </r>
  <r>
    <s v="Atelectasis"/>
    <x v="9"/>
    <n v="11"/>
  </r>
  <r>
    <s v="Vitamin D Increased"/>
    <x v="7"/>
    <n v="1"/>
  </r>
  <r>
    <s v="Heart Rate Increased"/>
    <x v="4"/>
    <n v="20"/>
  </r>
  <r>
    <s v="Muscle Rupture"/>
    <x v="6"/>
    <n v="1"/>
  </r>
  <r>
    <s v="Body Mass Index Increased"/>
    <x v="17"/>
    <n v="1"/>
  </r>
  <r>
    <s v="Pyelonephritis"/>
    <x v="3"/>
    <n v="9"/>
  </r>
  <r>
    <s v="Acute Coronary Syndrome"/>
    <x v="4"/>
    <n v="7"/>
  </r>
  <r>
    <s v="Product Dispensing Error"/>
    <x v="10"/>
    <n v="3"/>
  </r>
  <r>
    <s v="Mental Impairment"/>
    <x v="2"/>
    <n v="27"/>
  </r>
  <r>
    <s v="Paralysis Recurrent Laryngeal Nerve"/>
    <x v="2"/>
    <n v="5"/>
  </r>
  <r>
    <s v="Anaemia Of Malignant Disease"/>
    <x v="1"/>
    <n v="3"/>
  </r>
  <r>
    <s v="Malignant Melanoma"/>
    <x v="11"/>
    <n v="6"/>
  </r>
  <r>
    <s v="Squamous Cell Carcinoma Of Skin"/>
    <x v="11"/>
    <n v="1"/>
  </r>
  <r>
    <s v="Precancerous Skin Lesion"/>
    <x v="11"/>
    <n v="1"/>
  </r>
  <r>
    <s v="Second Primary Malignancy"/>
    <x v="19"/>
    <n v="25"/>
  </r>
  <r>
    <s v="Hypertransaminasaemia"/>
    <x v="12"/>
    <n v="6"/>
  </r>
  <r>
    <s v="Organising Pneumonia"/>
    <x v="9"/>
    <n v="7"/>
  </r>
  <r>
    <s v="Ischaemia"/>
    <x v="4"/>
    <n v="3"/>
  </r>
  <r>
    <s v="Acute Respiratory Failure"/>
    <x v="9"/>
    <n v="11"/>
  </r>
  <r>
    <s v="Hemiparesis"/>
    <x v="2"/>
    <n v="8"/>
  </r>
  <r>
    <s v="Lipase Increased"/>
    <x v="21"/>
    <n v="16"/>
  </r>
  <r>
    <s v="Poisoning Deliberate"/>
    <x v="10"/>
    <n v="12"/>
  </r>
  <r>
    <s v="Glioblastoma"/>
    <x v="2"/>
    <n v="2"/>
  </r>
  <r>
    <s v="Polyneuropathy"/>
    <x v="2"/>
    <n v="20"/>
  </r>
  <r>
    <s v="Deep Vein Thrombosis"/>
    <x v="4"/>
    <n v="57"/>
  </r>
  <r>
    <s v="Hepatic Function Abnormal"/>
    <x v="12"/>
    <n v="9"/>
  </r>
  <r>
    <s v="Trigger Finger"/>
    <x v="6"/>
    <n v="25"/>
  </r>
  <r>
    <s v="Grip Strength Decreased"/>
    <x v="6"/>
    <n v="5"/>
  </r>
  <r>
    <s v="Diabetes Mellitus"/>
    <x v="7"/>
    <n v="16"/>
  </r>
  <r>
    <s v="Epilepsy"/>
    <x v="2"/>
    <n v="10"/>
  </r>
  <r>
    <s v="Impaired Healing"/>
    <x v="10"/>
    <n v="9"/>
  </r>
  <r>
    <s v="Flatulence"/>
    <x v="8"/>
    <n v="11"/>
  </r>
  <r>
    <s v="Rash Macular"/>
    <x v="11"/>
    <n v="5"/>
  </r>
  <r>
    <s v="Skin Wound"/>
    <x v="11"/>
    <n v="3"/>
  </r>
  <r>
    <s v="Blood Creatinine Decreased"/>
    <x v="3"/>
    <n v="7"/>
  </r>
  <r>
    <s v="Glomerular Filtration Rate Abnormal"/>
    <x v="3"/>
    <n v="4"/>
  </r>
  <r>
    <s v="Frequent Bowel Movements"/>
    <x v="8"/>
    <n v="5"/>
  </r>
  <r>
    <s v="Retinal Detachment"/>
    <x v="0"/>
    <n v="3"/>
  </r>
  <r>
    <s v="Heat Exhaustion"/>
    <x v="10"/>
    <n v="3"/>
  </r>
  <r>
    <s v="Blood Bilirubin Increased"/>
    <x v="12"/>
    <n v="39"/>
  </r>
  <r>
    <s v="Ileus"/>
    <x v="8"/>
    <n v="5"/>
  </r>
  <r>
    <s v="Volvulus"/>
    <x v="8"/>
    <n v="3"/>
  </r>
  <r>
    <s v="Ileus Paralytic"/>
    <x v="8"/>
    <n v="3"/>
  </r>
  <r>
    <s v="Small Intestinal Obstruction"/>
    <x v="8"/>
    <n v="5"/>
  </r>
  <r>
    <s v="Tibia Fracture"/>
    <x v="6"/>
    <n v="3"/>
  </r>
  <r>
    <s v="Fracture Displacement"/>
    <x v="6"/>
    <n v="4"/>
  </r>
  <r>
    <s v="Infusion Related Reaction"/>
    <x v="10"/>
    <n v="5"/>
  </r>
  <r>
    <s v="Atypical Pneumonia"/>
    <x v="9"/>
    <n v="2"/>
  </r>
  <r>
    <s v="Autoimmune Hepatitis"/>
    <x v="12"/>
    <n v="4"/>
  </r>
  <r>
    <s v="Polyuria"/>
    <x v="3"/>
    <n v="12"/>
  </r>
  <r>
    <s v="Breast Pain"/>
    <x v="20"/>
    <n v="17"/>
  </r>
  <r>
    <s v="Urge Incontinence"/>
    <x v="3"/>
    <n v="2"/>
  </r>
  <r>
    <s v="Atrophic Vulvovaginitis"/>
    <x v="20"/>
    <n v="2"/>
  </r>
  <r>
    <s v="Stress Urinary Incontinence"/>
    <x v="3"/>
    <n v="3"/>
  </r>
  <r>
    <s v="Hypertrichosis"/>
    <x v="11"/>
    <n v="2"/>
  </r>
  <r>
    <s v="Hypervolaemia"/>
    <x v="4"/>
    <n v="10"/>
  </r>
  <r>
    <s v="Full Blood Count Decreased"/>
    <x v="1"/>
    <n v="31"/>
  </r>
  <r>
    <s v="Product Use Issue"/>
    <x v="10"/>
    <n v="9"/>
  </r>
  <r>
    <s v="Tumour Ulceration"/>
    <x v="19"/>
    <n v="1"/>
  </r>
  <r>
    <s v="Hepatotoxicity"/>
    <x v="12"/>
    <n v="19"/>
  </r>
  <r>
    <s v="Cardio-Respiratory Arrest"/>
    <x v="4"/>
    <n v="3"/>
  </r>
  <r>
    <s v="Rhinovirus Infection"/>
    <x v="9"/>
    <n v="1"/>
  </r>
  <r>
    <s v="Nasal Congestion"/>
    <x v="9"/>
    <n v="24"/>
  </r>
  <r>
    <s v="Microcytic Anaemia"/>
    <x v="1"/>
    <n v="1"/>
  </r>
  <r>
    <s v="Tooth Disorder"/>
    <x v="13"/>
    <n v="5"/>
  </r>
  <r>
    <s v="Urticaria"/>
    <x v="11"/>
    <n v="21"/>
  </r>
  <r>
    <s v="Skin Irritation"/>
    <x v="11"/>
    <n v="2"/>
  </r>
  <r>
    <s v="Neuralgia"/>
    <x v="2"/>
    <n v="9"/>
  </r>
  <r>
    <s v="Oral Mucosal Exfoliation"/>
    <x v="13"/>
    <n v="2"/>
  </r>
  <r>
    <s v="Sinusitis"/>
    <x v="9"/>
    <n v="31"/>
  </r>
  <r>
    <s v="Therapeutic Response Unexpected"/>
    <x v="10"/>
    <n v="6"/>
  </r>
  <r>
    <s v="Pre-Existing Condition Improved"/>
    <x v="10"/>
    <n v="6"/>
  </r>
  <r>
    <s v="Fear"/>
    <x v="18"/>
    <n v="3"/>
  </r>
  <r>
    <s v="Muscle Strain"/>
    <x v="6"/>
    <n v="3"/>
  </r>
  <r>
    <s v="Emotional Disorder"/>
    <x v="18"/>
    <n v="7"/>
  </r>
  <r>
    <s v="Lung Disorder"/>
    <x v="9"/>
    <n v="16"/>
  </r>
  <r>
    <s v="Immune System Disorder"/>
    <x v="5"/>
    <n v="10"/>
  </r>
  <r>
    <s v="Tumour Marker Increased"/>
    <x v="19"/>
    <n v="22"/>
  </r>
  <r>
    <s v="Road Traffic Accident"/>
    <x v="10"/>
    <n v="7"/>
  </r>
  <r>
    <s v="Pulmonary Oedema"/>
    <x v="9"/>
    <n v="26"/>
  </r>
  <r>
    <s v="Immunodeficiency"/>
    <x v="5"/>
    <n v="4"/>
  </r>
  <r>
    <s v="Discomfort"/>
    <x v="10"/>
    <n v="28"/>
  </r>
  <r>
    <s v="Polyp"/>
    <x v="9"/>
    <n v="1"/>
  </r>
  <r>
    <s v="Joint Noise"/>
    <x v="6"/>
    <n v="8"/>
  </r>
  <r>
    <s v="Tendon Rupture"/>
    <x v="6"/>
    <n v="3"/>
  </r>
  <r>
    <s v="Ulcer"/>
    <x v="8"/>
    <n v="3"/>
  </r>
  <r>
    <s v="Keratouveitis"/>
    <x v="0"/>
    <n v="2"/>
  </r>
  <r>
    <s v="Herpes Ophthalmic"/>
    <x v="11"/>
    <n v="2"/>
  </r>
  <r>
    <s v="Iridocyclitis"/>
    <x v="0"/>
    <n v="2"/>
  </r>
  <r>
    <s v="Open Angle Glaucoma"/>
    <x v="0"/>
    <n v="2"/>
  </r>
  <r>
    <s v="Localised Infection"/>
    <x v="10"/>
    <n v="2"/>
  </r>
  <r>
    <s v="Loss Of Personal Independence In Daily Activities"/>
    <x v="10"/>
    <n v="33"/>
  </r>
  <r>
    <s v="Cerebrovascular Accident"/>
    <x v="2"/>
    <n v="37"/>
  </r>
  <r>
    <s v="Anaemia Folate Deficiency"/>
    <x v="1"/>
    <n v="3"/>
  </r>
  <r>
    <s v="Intentional Product Misuse"/>
    <x v="10"/>
    <n v="7"/>
  </r>
  <r>
    <s v="Agranulocytosis"/>
    <x v="1"/>
    <n v="6"/>
  </r>
  <r>
    <s v="Chromaturia"/>
    <x v="3"/>
    <n v="17"/>
  </r>
  <r>
    <s v="Upper Respiratory Tract Infection"/>
    <x v="9"/>
    <n v="20"/>
  </r>
  <r>
    <s v="Acute Respiratory Distress Syndrome"/>
    <x v="9"/>
    <n v="21"/>
  </r>
  <r>
    <s v="Decreased Activity"/>
    <x v="6"/>
    <n v="3"/>
  </r>
  <r>
    <s v="Paranasal Sinus Hypersecretion"/>
    <x v="9"/>
    <n v="1"/>
  </r>
  <r>
    <s v="Blood Potassium Increased"/>
    <x v="7"/>
    <n v="9"/>
  </r>
  <r>
    <s v="Ventricular Extrasystoles"/>
    <x v="4"/>
    <n v="4"/>
  </r>
  <r>
    <s v="Sinus Disorder"/>
    <x v="9"/>
    <n v="25"/>
  </r>
  <r>
    <s v="Metastases To Lymph Nodes"/>
    <x v="19"/>
    <n v="21"/>
  </r>
  <r>
    <s v="Calcinosis"/>
    <x v="6"/>
    <n v="2"/>
  </r>
  <r>
    <s v="Carbohydrate Antigen 125 Increased"/>
    <x v="20"/>
    <n v="8"/>
  </r>
  <r>
    <s v="Metastases To Peritoneum"/>
    <x v="19"/>
    <n v="3"/>
  </r>
  <r>
    <s v="Left Ventricular Hypertrophy"/>
    <x v="4"/>
    <n v="5"/>
  </r>
  <r>
    <s v="Herpes Zoster"/>
    <x v="11"/>
    <n v="17"/>
  </r>
  <r>
    <s v="Lower Respiratory Tract Infection"/>
    <x v="9"/>
    <n v="5"/>
  </r>
  <r>
    <s v="Obesity"/>
    <x v="17"/>
    <n v="1"/>
  </r>
  <r>
    <s v="Cardiac Discomfort"/>
    <x v="4"/>
    <n v="1"/>
  </r>
  <r>
    <s v="Dermatitis Allergic"/>
    <x v="11"/>
    <n v="5"/>
  </r>
  <r>
    <s v="Asthma"/>
    <x v="9"/>
    <n v="28"/>
  </r>
  <r>
    <s v="Hypophagia"/>
    <x v="14"/>
    <n v="8"/>
  </r>
  <r>
    <s v="Rash Maculo-Papular"/>
    <x v="11"/>
    <n v="9"/>
  </r>
  <r>
    <s v="Adenocarcinoma Pancreas"/>
    <x v="8"/>
    <n v="3"/>
  </r>
  <r>
    <s v="Pulmonary Toxicity"/>
    <x v="9"/>
    <n v="1"/>
  </r>
  <r>
    <s v="Cardiomyopathy"/>
    <x v="4"/>
    <n v="5"/>
  </r>
  <r>
    <s v="Peripheral Artery Occlusion"/>
    <x v="4"/>
    <n v="2"/>
  </r>
  <r>
    <s v="Therapeutic Product Effect Incomplete"/>
    <x v="10"/>
    <n v="23"/>
  </r>
  <r>
    <s v="Breast Conserving Surgery"/>
    <x v="22"/>
    <n v="20"/>
  </r>
  <r>
    <s v="Respiratory Disorder"/>
    <x v="9"/>
    <n v="25"/>
  </r>
  <r>
    <s v="Productive Cough"/>
    <x v="9"/>
    <n v="30"/>
  </r>
  <r>
    <s v="Obstruction"/>
    <x v="10"/>
    <n v="23"/>
  </r>
  <r>
    <s v="Eosinophilia"/>
    <x v="1"/>
    <n v="29"/>
  </r>
  <r>
    <s v="Wheezing"/>
    <x v="9"/>
    <n v="30"/>
  </r>
  <r>
    <s v="Sleep Disorder Due To A General Medical Condition"/>
    <x v="2"/>
    <n v="23"/>
  </r>
  <r>
    <s v="Urosepsis"/>
    <x v="3"/>
    <n v="13"/>
  </r>
  <r>
    <s v="Renal Vein Thrombosis"/>
    <x v="4"/>
    <n v="2"/>
  </r>
  <r>
    <s v="Hydronephrosis"/>
    <x v="3"/>
    <n v="14"/>
  </r>
  <r>
    <s v="N-Terminal Prohormone Brain Natriuretic Peptide Increased"/>
    <x v="4"/>
    <n v="1"/>
  </r>
  <r>
    <s v="Blood Phosphorus Decreased"/>
    <x v="7"/>
    <n v="11"/>
  </r>
  <r>
    <s v="General Physical Condition Abnormal"/>
    <x v="10"/>
    <n v="18"/>
  </r>
  <r>
    <s v="Crepitations"/>
    <x v="9"/>
    <n v="3"/>
  </r>
  <r>
    <s v="Oxygen Saturation Decreased"/>
    <x v="9"/>
    <n v="14"/>
  </r>
  <r>
    <s v="Blood Sodium Decreased"/>
    <x v="7"/>
    <n v="16"/>
  </r>
  <r>
    <s v="Ocular Hyperaemia"/>
    <x v="0"/>
    <n v="3"/>
  </r>
  <r>
    <s v="Palmar-Plantar Erythrodysaesthesia Syndrome"/>
    <x v="11"/>
    <n v="11"/>
  </r>
  <r>
    <s v="Respiratory Distress"/>
    <x v="9"/>
    <n v="15"/>
  </r>
  <r>
    <s v="Osteopenia"/>
    <x v="6"/>
    <n v="11"/>
  </r>
  <r>
    <s v="Pelvic Fracture"/>
    <x v="6"/>
    <n v="4"/>
  </r>
  <r>
    <s v="Abdominal Hernia"/>
    <x v="8"/>
    <n v="2"/>
  </r>
  <r>
    <s v="Meningioma"/>
    <x v="2"/>
    <n v="4"/>
  </r>
  <r>
    <s v="Language Disorder"/>
    <x v="2"/>
    <n v="2"/>
  </r>
  <r>
    <s v="Sensory Loss"/>
    <x v="2"/>
    <n v="4"/>
  </r>
  <r>
    <s v="Toxic Neuropathy"/>
    <x v="2"/>
    <n v="3"/>
  </r>
  <r>
    <s v="Coordination Abnormal"/>
    <x v="2"/>
    <n v="6"/>
  </r>
  <r>
    <s v="Social Problem"/>
    <x v="18"/>
    <n v="1"/>
  </r>
  <r>
    <s v="Cardiovascular Insufficiency"/>
    <x v="4"/>
    <n v="5"/>
  </r>
  <r>
    <s v="Spinal Deformity"/>
    <x v="6"/>
    <n v="4"/>
  </r>
  <r>
    <s v="Intentional Overdose"/>
    <x v="10"/>
    <n v="3"/>
  </r>
  <r>
    <s v="Choking"/>
    <x v="9"/>
    <n v="7"/>
  </r>
  <r>
    <s v="Breath Holding"/>
    <x v="9"/>
    <n v="1"/>
  </r>
  <r>
    <s v="Dilated Cardiomyopathy"/>
    <x v="4"/>
    <n v="10"/>
  </r>
  <r>
    <s v="Hepatocellular Injury"/>
    <x v="12"/>
    <n v="8"/>
  </r>
  <r>
    <s v="Thoracic Vertebral Fracture"/>
    <x v="6"/>
    <n v="18"/>
  </r>
  <r>
    <s v="Product Administration Interrupted"/>
    <x v="10"/>
    <n v="1"/>
  </r>
  <r>
    <s v="Abdominal Pain Upper"/>
    <x v="8"/>
    <n v="71"/>
  </r>
  <r>
    <s v="Pneumonia Aspiration"/>
    <x v="9"/>
    <n v="4"/>
  </r>
  <r>
    <s v="Large Intestine Perforation"/>
    <x v="8"/>
    <n v="2"/>
  </r>
  <r>
    <s v="Reversible Cerebral Vasoconstriction Syndrome"/>
    <x v="2"/>
    <n v="5"/>
  </r>
  <r>
    <s v="Cerebral Haematoma"/>
    <x v="2"/>
    <n v="7"/>
  </r>
  <r>
    <s v="Ulcerative Keratitis"/>
    <x v="0"/>
    <n v="1"/>
  </r>
  <r>
    <s v="Eye Infection"/>
    <x v="0"/>
    <n v="1"/>
  </r>
  <r>
    <s v="Diabetes Mellitus Inadequate Control"/>
    <x v="7"/>
    <n v="3"/>
  </r>
  <r>
    <s v="Covid-19 Pneumonia"/>
    <x v="9"/>
    <n v="1"/>
  </r>
  <r>
    <s v="Hyperkalaemia"/>
    <x v="7"/>
    <n v="15"/>
  </r>
  <r>
    <s v="Metastases To Liver"/>
    <x v="19"/>
    <n v="65"/>
  </r>
  <r>
    <s v="Hepatic Echinococciasis"/>
    <x v="12"/>
    <n v="9"/>
  </r>
  <r>
    <s v="Transaminases Increased"/>
    <x v="12"/>
    <n v="22"/>
  </r>
  <r>
    <s v="Sars-Cov-2 Test Positive"/>
    <x v="23"/>
    <n v="3"/>
  </r>
  <r>
    <s v="Atrial Flutter"/>
    <x v="4"/>
    <n v="4"/>
  </r>
  <r>
    <s v="Respiratory Failure"/>
    <x v="9"/>
    <n v="21"/>
  </r>
  <r>
    <s v="Product Selection Error"/>
    <x v="10"/>
    <n v="1"/>
  </r>
  <r>
    <s v="Reading Disorder"/>
    <x v="2"/>
    <n v="2"/>
  </r>
  <r>
    <s v="Vitamin B12 Increased"/>
    <x v="1"/>
    <n v="1"/>
  </r>
  <r>
    <s v="Brain Fog"/>
    <x v="2"/>
    <n v="16"/>
  </r>
  <r>
    <s v="Monocyte Count Decreased"/>
    <x v="1"/>
    <n v="10"/>
  </r>
  <r>
    <s v="Menopausal Symptoms"/>
    <x v="7"/>
    <n v="2"/>
  </r>
  <r>
    <s v="Fear Of Injection"/>
    <x v="18"/>
    <n v="1"/>
  </r>
  <r>
    <s v="Poor Quality Sleep"/>
    <x v="2"/>
    <n v="6"/>
  </r>
  <r>
    <s v="Spinal Disorder"/>
    <x v="6"/>
    <n v="1"/>
  </r>
  <r>
    <s v="Blood Iron Decreased"/>
    <x v="1"/>
    <n v="1"/>
  </r>
  <r>
    <s v="Food Interaction"/>
    <x v="10"/>
    <n v="2"/>
  </r>
  <r>
    <s v="Oral Disorder"/>
    <x v="13"/>
    <n v="4"/>
  </r>
  <r>
    <s v="Diplopia"/>
    <x v="0"/>
    <n v="9"/>
  </r>
  <r>
    <s v="Quality Of Life Decreased"/>
    <x v="10"/>
    <n v="3"/>
  </r>
  <r>
    <s v="Pathological Fracture"/>
    <x v="6"/>
    <n v="11"/>
  </r>
  <r>
    <s v="Blister"/>
    <x v="11"/>
    <n v="10"/>
  </r>
  <r>
    <s v="Pharyngeal Swelling"/>
    <x v="9"/>
    <n v="2"/>
  </r>
  <r>
    <s v="Mouth Swelling"/>
    <x v="13"/>
    <n v="7"/>
  </r>
  <r>
    <s v="Glossodynia"/>
    <x v="13"/>
    <n v="5"/>
  </r>
  <r>
    <s v="Swelling Face"/>
    <x v="11"/>
    <n v="4"/>
  </r>
  <r>
    <s v="Swelling"/>
    <x v="10"/>
    <n v="19"/>
  </r>
  <r>
    <s v="Ear Swelling"/>
    <x v="24"/>
    <n v="2"/>
  </r>
  <r>
    <s v="Abscess"/>
    <x v="10"/>
    <n v="5"/>
  </r>
  <r>
    <s v="Toe Operation"/>
    <x v="6"/>
    <n v="1"/>
  </r>
  <r>
    <s v="Product Dose Omission In Error"/>
    <x v="10"/>
    <n v="1"/>
  </r>
  <r>
    <s v="Tooth Abscess"/>
    <x v="13"/>
    <n v="2"/>
  </r>
  <r>
    <s v="Peripheral Artery Thrombosis"/>
    <x v="4"/>
    <n v="3"/>
  </r>
  <r>
    <s v="New Daily Persistent Headache"/>
    <x v="2"/>
    <n v="1"/>
  </r>
  <r>
    <s v="Urinary Tract Pain"/>
    <x v="3"/>
    <n v="1"/>
  </r>
  <r>
    <s v="Blood Urine"/>
    <x v="3"/>
    <n v="1"/>
  </r>
  <r>
    <s v="Tendon Disorder"/>
    <x v="6"/>
    <n v="1"/>
  </r>
  <r>
    <s v="Myocardial Infarction"/>
    <x v="4"/>
    <n v="32"/>
  </r>
  <r>
    <s v="Stevens-Johnson Syndrome"/>
    <x v="11"/>
    <n v="7"/>
  </r>
  <r>
    <s v="Haemoptysis"/>
    <x v="9"/>
    <n v="11"/>
  </r>
  <r>
    <s v="Drug Intolerance"/>
    <x v="10"/>
    <n v="16"/>
  </r>
  <r>
    <s v="Chills"/>
    <x v="10"/>
    <n v="26"/>
  </r>
  <r>
    <s v="Neoplasm Recurrence"/>
    <x v="19"/>
    <n v="4"/>
  </r>
  <r>
    <s v="Panic Attack"/>
    <x v="18"/>
    <n v="3"/>
  </r>
  <r>
    <s v="Ear Pain"/>
    <x v="24"/>
    <n v="4"/>
  </r>
  <r>
    <s v="Fluid Retention"/>
    <x v="4"/>
    <n v="23"/>
  </r>
  <r>
    <s v="Viral Infection"/>
    <x v="23"/>
    <n v="18"/>
  </r>
  <r>
    <s v="Blood Uric Acid Abnormal"/>
    <x v="17"/>
    <n v="1"/>
  </r>
  <r>
    <s v="Rash Pruritic"/>
    <x v="11"/>
    <n v="8"/>
  </r>
  <r>
    <s v="Movement Disorder"/>
    <x v="2"/>
    <n v="10"/>
  </r>
  <r>
    <s v="Hypersomnia"/>
    <x v="2"/>
    <n v="4"/>
  </r>
  <r>
    <s v="Spinal Compression Fracture"/>
    <x v="6"/>
    <n v="3"/>
  </r>
  <r>
    <s v="Venous Thrombosis Limb"/>
    <x v="4"/>
    <n v="10"/>
  </r>
  <r>
    <s v="Corneal Erosion"/>
    <x v="0"/>
    <n v="1"/>
  </r>
  <r>
    <s v="Tinea Pedis"/>
    <x v="11"/>
    <n v="1"/>
  </r>
  <r>
    <s v="Dyshidrotic Eczema"/>
    <x v="11"/>
    <n v="1"/>
  </r>
  <r>
    <s v="White Blood Cell Count Abnormal"/>
    <x v="1"/>
    <n v="4"/>
  </r>
  <r>
    <s v="Cellulitis"/>
    <x v="11"/>
    <n v="14"/>
  </r>
  <r>
    <s v="Diverticulitis"/>
    <x v="8"/>
    <n v="29"/>
  </r>
  <r>
    <s v="Lymphopenia"/>
    <x v="1"/>
    <n v="35"/>
  </r>
  <r>
    <s v="Intervertebral Disc Protrusion"/>
    <x v="6"/>
    <n v="21"/>
  </r>
  <r>
    <s v="Radiculopathy"/>
    <x v="2"/>
    <n v="12"/>
  </r>
  <r>
    <s v="Eczema"/>
    <x v="11"/>
    <n v="7"/>
  </r>
  <r>
    <s v="Skin Disorder"/>
    <x v="11"/>
    <n v="7"/>
  </r>
  <r>
    <s v="Hepatic Steatosis"/>
    <x v="12"/>
    <n v="8"/>
  </r>
  <r>
    <s v="Cachexia"/>
    <x v="17"/>
    <n v="2"/>
  </r>
  <r>
    <s v="Urine Output Decreased"/>
    <x v="3"/>
    <n v="3"/>
  </r>
  <r>
    <s v="Inflammatory Marker Increased"/>
    <x v="5"/>
    <n v="1"/>
  </r>
  <r>
    <s v="Rhonchi"/>
    <x v="9"/>
    <n v="8"/>
  </r>
  <r>
    <s v="Anuria"/>
    <x v="3"/>
    <n v="1"/>
  </r>
  <r>
    <s v="Prerenal Failure"/>
    <x v="25"/>
    <n v="8"/>
  </r>
  <r>
    <s v="Hypercapnia"/>
    <x v="9"/>
    <n v="2"/>
  </r>
  <r>
    <s v="Rales"/>
    <x v="9"/>
    <n v="4"/>
  </r>
  <r>
    <s v="Orthopnoea"/>
    <x v="9"/>
    <n v="4"/>
  </r>
  <r>
    <s v="Drug Ineffective"/>
    <x v="10"/>
    <n v="44"/>
  </r>
  <r>
    <s v="Febrile Bone Marrow Aplasia"/>
    <x v="1"/>
    <n v="6"/>
  </r>
  <r>
    <s v="Gastroenteritis Radiation"/>
    <x v="8"/>
    <n v="10"/>
  </r>
  <r>
    <s v="Tumour Marker Abnormal"/>
    <x v="19"/>
    <n v="1"/>
  </r>
  <r>
    <s v="Ear Discomfort"/>
    <x v="24"/>
    <n v="1"/>
  </r>
  <r>
    <s v="Gingival Swelling"/>
    <x v="13"/>
    <n v="1"/>
  </r>
  <r>
    <s v="Sensory Disturbance"/>
    <x v="2"/>
    <n v="2"/>
  </r>
  <r>
    <s v="Tenderness"/>
    <x v="10"/>
    <n v="2"/>
  </r>
  <r>
    <s v="Spondylitis"/>
    <x v="6"/>
    <n v="1"/>
  </r>
  <r>
    <s v="Paraesthesia"/>
    <x v="2"/>
    <n v="52"/>
  </r>
  <r>
    <s v="Metabolic Encephalopathy"/>
    <x v="2"/>
    <n v="3"/>
  </r>
  <r>
    <s v="Glycosylated Haemoglobin Increased"/>
    <x v="17"/>
    <n v="6"/>
  </r>
  <r>
    <s v="Psoriasis"/>
    <x v="11"/>
    <n v="12"/>
  </r>
  <r>
    <s v="Lung Infiltration"/>
    <x v="9"/>
    <n v="10"/>
  </r>
  <r>
    <s v="Embolism Arterial"/>
    <x v="4"/>
    <n v="3"/>
  </r>
  <r>
    <s v="Lung Opacity"/>
    <x v="9"/>
    <n v="6"/>
  </r>
  <r>
    <s v="Toothache"/>
    <x v="13"/>
    <n v="9"/>
  </r>
  <r>
    <s v="Peri-Implantitis"/>
    <x v="13"/>
    <n v="1"/>
  </r>
  <r>
    <s v="Onychomadesis"/>
    <x v="11"/>
    <n v="3"/>
  </r>
  <r>
    <s v="Paronychia"/>
    <x v="11"/>
    <n v="4"/>
  </r>
  <r>
    <s v="Septic Shock"/>
    <x v="10"/>
    <n v="13"/>
  </r>
  <r>
    <s v="Faecaloma"/>
    <x v="8"/>
    <n v="3"/>
  </r>
  <r>
    <s v="Intestinal Ischaemia"/>
    <x v="8"/>
    <n v="4"/>
  </r>
  <r>
    <s v="Hepatobiliary Disease"/>
    <x v="12"/>
    <n v="3"/>
  </r>
  <r>
    <s v="Drug-Induced Liver Injury"/>
    <x v="12"/>
    <n v="23"/>
  </r>
  <r>
    <s v="Mastitis Fungal"/>
    <x v="20"/>
    <n v="2"/>
  </r>
  <r>
    <s v="No Adverse Event"/>
    <x v="10"/>
    <n v="2"/>
  </r>
  <r>
    <s v="Sputum Increased"/>
    <x v="9"/>
    <n v="1"/>
  </r>
  <r>
    <s v="Osteitis"/>
    <x v="6"/>
    <n v="4"/>
  </r>
  <r>
    <s v="Splenic Infarction"/>
    <x v="26"/>
    <n v="7"/>
  </r>
  <r>
    <s v="Splenic Artery Thrombosis"/>
    <x v="4"/>
    <n v="1"/>
  </r>
  <r>
    <s v="Tooth Infection"/>
    <x v="13"/>
    <n v="7"/>
  </r>
  <r>
    <s v="Liver Function Test Abnormal"/>
    <x v="12"/>
    <n v="12"/>
  </r>
  <r>
    <s v="Intervertebral Disc Displacement"/>
    <x v="6"/>
    <n v="1"/>
  </r>
  <r>
    <s v="Pharyngeal Disorder"/>
    <x v="9"/>
    <n v="1"/>
  </r>
  <r>
    <s v="Sinus Pain"/>
    <x v="9"/>
    <n v="1"/>
  </r>
  <r>
    <s v="Blood Pressure Inadequately Controlled"/>
    <x v="4"/>
    <n v="2"/>
  </r>
  <r>
    <s v="Cerebral Haemorrhage"/>
    <x v="2"/>
    <n v="17"/>
  </r>
  <r>
    <s v="Myasthenia Gravis"/>
    <x v="2"/>
    <n v="2"/>
  </r>
  <r>
    <s v="Hypochloraemia"/>
    <x v="17"/>
    <n v="1"/>
  </r>
  <r>
    <s v="Tachyarrhythmia"/>
    <x v="4"/>
    <n v="6"/>
  </r>
  <r>
    <s v="Pleural Infection"/>
    <x v="9"/>
    <n v="1"/>
  </r>
  <r>
    <s v="Procedural Pain"/>
    <x v="10"/>
    <n v="2"/>
  </r>
  <r>
    <s v="Jaundice Cholestatic"/>
    <x v="12"/>
    <n v="1"/>
  </r>
  <r>
    <s v="Vaginal Infection"/>
    <x v="20"/>
    <n v="3"/>
  </r>
  <r>
    <s v="Pleuritic Pain"/>
    <x v="9"/>
    <n v="8"/>
  </r>
  <r>
    <s v="Skin Toxicity"/>
    <x v="11"/>
    <n v="2"/>
  </r>
  <r>
    <s v="Mucosal Infection"/>
    <x v="10"/>
    <n v="1"/>
  </r>
  <r>
    <s v="Therapy Cessation"/>
    <x v="10"/>
    <n v="1"/>
  </r>
  <r>
    <s v="Musculoskeletal Chest Pain"/>
    <x v="6"/>
    <n v="10"/>
  </r>
  <r>
    <s v="Pelvic Pain"/>
    <x v="20"/>
    <n v="4"/>
  </r>
  <r>
    <s v="Eructation"/>
    <x v="8"/>
    <n v="6"/>
  </r>
  <r>
    <s v="Spinal Pain"/>
    <x v="6"/>
    <n v="8"/>
  </r>
  <r>
    <s v="Progesterone Receptor Assay Positive"/>
    <x v="20"/>
    <n v="1"/>
  </r>
  <r>
    <s v="Oestrogen Receptor Assay Positive"/>
    <x v="20"/>
    <n v="2"/>
  </r>
  <r>
    <s v="Metastases To Spine"/>
    <x v="19"/>
    <n v="14"/>
  </r>
  <r>
    <s v="Atrioventricular Block Second Degree"/>
    <x v="4"/>
    <n v="3"/>
  </r>
  <r>
    <s v="Middle Insomnia"/>
    <x v="2"/>
    <n v="9"/>
  </r>
  <r>
    <s v="Cardiovascular Disorder"/>
    <x v="4"/>
    <n v="13"/>
  </r>
  <r>
    <s v="Immune Thrombocytopenia"/>
    <x v="1"/>
    <n v="10"/>
  </r>
  <r>
    <s v="Therapy Interrupted"/>
    <x v="10"/>
    <n v="2"/>
  </r>
  <r>
    <s v="Rectal Neoplasm"/>
    <x v="8"/>
    <n v="1"/>
  </r>
  <r>
    <s v="Ventricular Fibrillation"/>
    <x v="4"/>
    <n v="4"/>
  </r>
  <r>
    <s v="Oesophagitis Ulcerative"/>
    <x v="8"/>
    <n v="2"/>
  </r>
  <r>
    <s v="Gastrointestinal Angiodysplasia"/>
    <x v="8"/>
    <n v="5"/>
  </r>
  <r>
    <s v="Escherichia Bacteraemia"/>
    <x v="23"/>
    <n v="1"/>
  </r>
  <r>
    <s v="Scratch"/>
    <x v="11"/>
    <n v="2"/>
  </r>
  <r>
    <s v="Haemolytic Anaemia"/>
    <x v="1"/>
    <n v="7"/>
  </r>
  <r>
    <s v="Hyperaesthesia"/>
    <x v="2"/>
    <n v="6"/>
  </r>
  <r>
    <s v="Vaccination Failure"/>
    <x v="5"/>
    <n v="3"/>
  </r>
  <r>
    <s v="Inappropriate Schedule Of Product Administration"/>
    <x v="10"/>
    <n v="11"/>
  </r>
  <r>
    <s v="Photophobia"/>
    <x v="0"/>
    <n v="5"/>
  </r>
  <r>
    <s v="Embolism"/>
    <x v="4"/>
    <n v="5"/>
  </r>
  <r>
    <s v="Renal Tubular Necrosis"/>
    <x v="25"/>
    <n v="5"/>
  </r>
  <r>
    <s v="Tubulointerstitial Nephritis"/>
    <x v="25"/>
    <n v="6"/>
  </r>
  <r>
    <s v="Disease Recurrence"/>
    <x v="10"/>
    <n v="5"/>
  </r>
  <r>
    <s v="Retinal Fibrosis"/>
    <x v="0"/>
    <n v="1"/>
  </r>
  <r>
    <s v="Macular Degeneration"/>
    <x v="0"/>
    <n v="5"/>
  </r>
  <r>
    <s v="Epiretinal Membrane"/>
    <x v="0"/>
    <n v="1"/>
  </r>
  <r>
    <s v="Lens Disorder"/>
    <x v="0"/>
    <n v="1"/>
  </r>
  <r>
    <s v="Macular Oedema"/>
    <x v="0"/>
    <n v="1"/>
  </r>
  <r>
    <s v="Vitreoretinal Traction Syndrome"/>
    <x v="0"/>
    <n v="1"/>
  </r>
  <r>
    <s v="Macular Hole"/>
    <x v="0"/>
    <n v="10"/>
  </r>
  <r>
    <s v="Astigmatism"/>
    <x v="0"/>
    <n v="1"/>
  </r>
  <r>
    <s v="Mucosal Disorder"/>
    <x v="10"/>
    <n v="14"/>
  </r>
  <r>
    <s v="Flank Pain"/>
    <x v="3"/>
    <n v="4"/>
  </r>
  <r>
    <s v="Oesophageal Candidiasis"/>
    <x v="8"/>
    <n v="13"/>
  </r>
  <r>
    <s v="Faeces Pale"/>
    <x v="8"/>
    <n v="1"/>
  </r>
  <r>
    <s v="Systemic Candida"/>
    <x v="23"/>
    <n v="2"/>
  </r>
  <r>
    <s v="Humerus Fracture"/>
    <x v="6"/>
    <n v="7"/>
  </r>
  <r>
    <s v="Pancreatitis Chronic"/>
    <x v="8"/>
    <n v="1"/>
  </r>
  <r>
    <s v="Chronic Gastritis"/>
    <x v="8"/>
    <n v="1"/>
  </r>
  <r>
    <s v="Nasal Inflammation"/>
    <x v="9"/>
    <n v="2"/>
  </r>
  <r>
    <s v="Impaired Gastric Emptying"/>
    <x v="8"/>
    <n v="2"/>
  </r>
  <r>
    <s v="Ill-Defined Disorder"/>
    <x v="10"/>
    <n v="15"/>
  </r>
  <r>
    <s v="Near Death Experience"/>
    <x v="18"/>
    <n v="2"/>
  </r>
  <r>
    <s v="Oesophageal Disorder"/>
    <x v="8"/>
    <n v="2"/>
  </r>
  <r>
    <s v="Procedural Complication"/>
    <x v="10"/>
    <n v="1"/>
  </r>
  <r>
    <s v="Complication Associated With Device"/>
    <x v="10"/>
    <n v="1"/>
  </r>
  <r>
    <s v="Gastrooesophageal Reflux Disease"/>
    <x v="8"/>
    <n v="17"/>
  </r>
  <r>
    <s v="Paralysis"/>
    <x v="2"/>
    <n v="3"/>
  </r>
  <r>
    <s v="Drug Resistance"/>
    <x v="10"/>
    <n v="4"/>
  </r>
  <r>
    <s v="Dysgeusia"/>
    <x v="2"/>
    <n v="11"/>
  </r>
  <r>
    <s v="Vertebral Foraminal Stenosis"/>
    <x v="6"/>
    <n v="2"/>
  </r>
  <r>
    <s v="Nervousness"/>
    <x v="2"/>
    <n v="8"/>
  </r>
  <r>
    <s v="Feeding Disorder"/>
    <x v="14"/>
    <n v="10"/>
  </r>
  <r>
    <s v="Neoplasm"/>
    <x v="19"/>
    <n v="10"/>
  </r>
  <r>
    <s v="Spinal Cord Oedema"/>
    <x v="2"/>
    <n v="2"/>
  </r>
  <r>
    <s v="Pharyngeal Ulceration"/>
    <x v="9"/>
    <n v="2"/>
  </r>
  <r>
    <s v="Toxicity To Various Agents"/>
    <x v="10"/>
    <n v="8"/>
  </r>
  <r>
    <s v="Fanconi Syndrome"/>
    <x v="25"/>
    <n v="1"/>
  </r>
  <r>
    <s v="Spinal Fracture"/>
    <x v="6"/>
    <n v="6"/>
  </r>
  <r>
    <s v="Hypophosphataemic Osteomalacia"/>
    <x v="7"/>
    <n v="3"/>
  </r>
  <r>
    <s v="Papilloedema"/>
    <x v="2"/>
    <n v="8"/>
  </r>
  <r>
    <s v="Age-Related Macular Degeneration"/>
    <x v="0"/>
    <n v="7"/>
  </r>
  <r>
    <s v="Urinary Bladder Haemorrhage"/>
    <x v="3"/>
    <n v="1"/>
  </r>
  <r>
    <s v="Bone Fissure"/>
    <x v="6"/>
    <n v="1"/>
  </r>
  <r>
    <s v="Drug Interaction"/>
    <x v="10"/>
    <n v="15"/>
  </r>
  <r>
    <s v="Serotonin Syndrome"/>
    <x v="2"/>
    <n v="1"/>
  </r>
  <r>
    <s v="Fanconi Syndrome Acquired"/>
    <x v="25"/>
    <n v="1"/>
  </r>
  <r>
    <s v="Cell Death"/>
    <x v="10"/>
    <n v="2"/>
  </r>
  <r>
    <s v="Rash Papular"/>
    <x v="11"/>
    <n v="6"/>
  </r>
  <r>
    <s v="Surgery"/>
    <x v="10"/>
    <n v="7"/>
  </r>
  <r>
    <s v="Palmar Erythema"/>
    <x v="11"/>
    <n v="2"/>
  </r>
  <r>
    <s v="Skin Fissures"/>
    <x v="11"/>
    <n v="5"/>
  </r>
  <r>
    <s v="Abdominal Pain Lower"/>
    <x v="8"/>
    <n v="11"/>
  </r>
  <r>
    <s v="Dysarthria"/>
    <x v="2"/>
    <n v="15"/>
  </r>
  <r>
    <s v="Myelopathy"/>
    <x v="2"/>
    <n v="2"/>
  </r>
  <r>
    <s v="Hormone Receptor Positive Her2 Negative Breast Cancer"/>
    <x v="20"/>
    <n v="3"/>
  </r>
  <r>
    <s v="Radiation Injury"/>
    <x v="10"/>
    <n v="4"/>
  </r>
  <r>
    <s v="Anisocytosis"/>
    <x v="1"/>
    <n v="8"/>
  </r>
  <r>
    <s v="Hypoxia"/>
    <x v="9"/>
    <n v="12"/>
  </r>
  <r>
    <s v="Oral Candidiasis"/>
    <x v="13"/>
    <n v="11"/>
  </r>
  <r>
    <s v="Metastases To Nervous System"/>
    <x v="19"/>
    <n v="3"/>
  </r>
  <r>
    <s v="Pneumonia Bacterial"/>
    <x v="9"/>
    <n v="5"/>
  </r>
  <r>
    <s v="Oral Fungal Infection"/>
    <x v="13"/>
    <n v="4"/>
  </r>
  <r>
    <s v="Bundle Branch Block Right"/>
    <x v="4"/>
    <n v="8"/>
  </r>
  <r>
    <s v="Poikilocytosis"/>
    <x v="1"/>
    <n v="8"/>
  </r>
  <r>
    <s v="Normocytic Anaemia"/>
    <x v="1"/>
    <n v="4"/>
  </r>
  <r>
    <s v="Intestinal Perforation"/>
    <x v="8"/>
    <n v="1"/>
  </r>
  <r>
    <s v="Suicide Attempt"/>
    <x v="18"/>
    <n v="3"/>
  </r>
  <r>
    <s v="Breast Cancer Female"/>
    <x v="20"/>
    <n v="10"/>
  </r>
  <r>
    <s v="Bradycardia"/>
    <x v="4"/>
    <n v="10"/>
  </r>
  <r>
    <s v="Myopia"/>
    <x v="0"/>
    <n v="4"/>
  </r>
  <r>
    <s v="Incorrect Product Administration Duration"/>
    <x v="10"/>
    <n v="1"/>
  </r>
  <r>
    <s v="Brachial Plexus Injury"/>
    <x v="2"/>
    <n v="1"/>
  </r>
  <r>
    <s v="Nerve Injury"/>
    <x v="2"/>
    <n v="6"/>
  </r>
  <r>
    <s v="Bladder Cancer"/>
    <x v="3"/>
    <n v="3"/>
  </r>
  <r>
    <s v="Haematuria"/>
    <x v="3"/>
    <n v="9"/>
  </r>
  <r>
    <s v="Compression Fracture"/>
    <x v="6"/>
    <n v="3"/>
  </r>
  <r>
    <s v="Thrombophlebitis"/>
    <x v="4"/>
    <n v="5"/>
  </r>
  <r>
    <s v="Walking Disability"/>
    <x v="6"/>
    <n v="1"/>
  </r>
  <r>
    <s v="Product Dispensing Issue"/>
    <x v="10"/>
    <n v="1"/>
  </r>
  <r>
    <s v="Cerebral Artery Embolism"/>
    <x v="4"/>
    <n v="3"/>
  </r>
  <r>
    <s v="Cerebral Microangiopathy"/>
    <x v="2"/>
    <n v="4"/>
  </r>
  <r>
    <s v="Basal Ganglia Infarction"/>
    <x v="2"/>
    <n v="5"/>
  </r>
  <r>
    <s v="Anhedonia"/>
    <x v="18"/>
    <n v="3"/>
  </r>
  <r>
    <s v="Cervix Carcinoma"/>
    <x v="20"/>
    <n v="1"/>
  </r>
  <r>
    <s v="Kidney Fibrosis"/>
    <x v="25"/>
    <n v="1"/>
  </r>
  <r>
    <s v="Sinus Congestion"/>
    <x v="9"/>
    <n v="2"/>
  </r>
  <r>
    <s v="Breast Cancer Metastatic"/>
    <x v="19"/>
    <n v="55"/>
  </r>
  <r>
    <s v="Bile Duct Stenosis"/>
    <x v="12"/>
    <n v="8"/>
  </r>
  <r>
    <s v="Gastrointestinal Haemorrhage"/>
    <x v="8"/>
    <n v="11"/>
  </r>
  <r>
    <s v="Mastitis"/>
    <x v="20"/>
    <n v="2"/>
  </r>
  <r>
    <s v="Fungal Infection"/>
    <x v="23"/>
    <n v="11"/>
  </r>
  <r>
    <s v="Eye Irritation"/>
    <x v="0"/>
    <n v="4"/>
  </r>
  <r>
    <s v="Product Odour Abnormal"/>
    <x v="10"/>
    <n v="2"/>
  </r>
  <r>
    <s v="Diverticulum Intestinal"/>
    <x v="8"/>
    <n v="3"/>
  </r>
  <r>
    <s v="Hiatus Hernia"/>
    <x v="8"/>
    <n v="7"/>
  </r>
  <r>
    <s v="Cyst"/>
    <x v="10"/>
    <n v="3"/>
  </r>
  <r>
    <s v="Infected Cyst"/>
    <x v="10"/>
    <n v="4"/>
  </r>
  <r>
    <s v="Haematemesis"/>
    <x v="8"/>
    <n v="11"/>
  </r>
  <r>
    <s v="Joint Effusion"/>
    <x v="6"/>
    <n v="2"/>
  </r>
  <r>
    <s v="Lipoma"/>
    <x v="11"/>
    <n v="1"/>
  </r>
  <r>
    <s v="Product Use Complaint"/>
    <x v="10"/>
    <n v="3"/>
  </r>
  <r>
    <s v="Eye Pain"/>
    <x v="0"/>
    <n v="3"/>
  </r>
  <r>
    <s v="Fibrin D Dimer Increased"/>
    <x v="1"/>
    <n v="8"/>
  </r>
  <r>
    <s v="Blood Urea Increased"/>
    <x v="25"/>
    <n v="19"/>
  </r>
  <r>
    <s v="Ventricular Tachycardia"/>
    <x v="4"/>
    <n v="4"/>
  </r>
  <r>
    <s v="Vasculitis"/>
    <x v="5"/>
    <n v="3"/>
  </r>
  <r>
    <s v="Scar"/>
    <x v="11"/>
    <n v="9"/>
  </r>
  <r>
    <s v="Oesophageal Ulcer"/>
    <x v="8"/>
    <n v="1"/>
  </r>
  <r>
    <s v="Skin Discolouration"/>
    <x v="11"/>
    <n v="15"/>
  </r>
  <r>
    <s v="Mouth Ulceration"/>
    <x v="13"/>
    <n v="6"/>
  </r>
  <r>
    <s v="Wound"/>
    <x v="11"/>
    <n v="5"/>
  </r>
  <r>
    <s v="Pulmonary Infarction"/>
    <x v="9"/>
    <n v="1"/>
  </r>
  <r>
    <s v="Metastases To Pleura"/>
    <x v="19"/>
    <n v="3"/>
  </r>
  <r>
    <s v="Metastases To Breast"/>
    <x v="19"/>
    <n v="3"/>
  </r>
  <r>
    <s v="Dermatitis"/>
    <x v="11"/>
    <n v="4"/>
  </r>
  <r>
    <s v="Injury"/>
    <x v="10"/>
    <n v="7"/>
  </r>
  <r>
    <s v="Exostosis"/>
    <x v="6"/>
    <n v="3"/>
  </r>
  <r>
    <s v="Sciatica"/>
    <x v="2"/>
    <n v="8"/>
  </r>
  <r>
    <s v="Spinal Stenosis"/>
    <x v="6"/>
    <n v="3"/>
  </r>
  <r>
    <s v="Intervertebral Disc Degeneration"/>
    <x v="6"/>
    <n v="6"/>
  </r>
  <r>
    <s v="Anal Incontinence"/>
    <x v="8"/>
    <n v="4"/>
  </r>
  <r>
    <s v="Subileus"/>
    <x v="8"/>
    <n v="3"/>
  </r>
  <r>
    <s v="Large Intestinal Ulcer"/>
    <x v="8"/>
    <n v="1"/>
  </r>
  <r>
    <s v="Lymphoma"/>
    <x v="1"/>
    <n v="5"/>
  </r>
  <r>
    <s v="Genital Discomfort"/>
    <x v="20"/>
    <n v="2"/>
  </r>
  <r>
    <s v="Pollakiuria"/>
    <x v="3"/>
    <n v="14"/>
  </r>
  <r>
    <s v="Non-Cardiac Chest Pain"/>
    <x v="4"/>
    <n v="3"/>
  </r>
  <r>
    <s v="Glycosylated Haemoglobin Abnormal"/>
    <x v="17"/>
    <n v="1"/>
  </r>
  <r>
    <s v="Oropharyngeal Pain"/>
    <x v="13"/>
    <n v="18"/>
  </r>
  <r>
    <s v="Optic Neuritis"/>
    <x v="2"/>
    <n v="2"/>
  </r>
  <r>
    <s v="Asphyxia"/>
    <x v="9"/>
    <n v="4"/>
  </r>
  <r>
    <s v="Metastases To Heart"/>
    <x v="19"/>
    <n v="3"/>
  </r>
  <r>
    <s v="White Blood Cell Count Increased"/>
    <x v="1"/>
    <n v="12"/>
  </r>
  <r>
    <s v="Arteriosclerosis"/>
    <x v="4"/>
    <n v="7"/>
  </r>
  <r>
    <s v="Pericardial Effusion"/>
    <x v="4"/>
    <n v="18"/>
  </r>
  <r>
    <s v="Metastases To Skin"/>
    <x v="19"/>
    <n v="7"/>
  </r>
  <r>
    <s v="Hydrothorax"/>
    <x v="9"/>
    <n v="3"/>
  </r>
  <r>
    <s v="Wrong Technique In Product Usage Process"/>
    <x v="10"/>
    <n v="1"/>
  </r>
  <r>
    <s v="Tooth Fracture"/>
    <x v="13"/>
    <n v="3"/>
  </r>
  <r>
    <s v="Pleural Fibrosis"/>
    <x v="9"/>
    <n v="1"/>
  </r>
  <r>
    <s v="Cerebral Venous Thrombosis"/>
    <x v="4"/>
    <n v="11"/>
  </r>
  <r>
    <s v="Seizure"/>
    <x v="2"/>
    <n v="5"/>
  </r>
  <r>
    <s v="Vulvovaginal Mycotic Infection"/>
    <x v="20"/>
    <n v="6"/>
  </r>
  <r>
    <s v="Pneumonitis Chemical"/>
    <x v="9"/>
    <n v="3"/>
  </r>
  <r>
    <s v="Mucosal Pain"/>
    <x v="10"/>
    <n v="3"/>
  </r>
  <r>
    <s v="Dental Discomfort"/>
    <x v="13"/>
    <n v="5"/>
  </r>
  <r>
    <s v="Gastrointestinal Pain"/>
    <x v="8"/>
    <n v="5"/>
  </r>
  <r>
    <s v="Defaecation Urgency"/>
    <x v="8"/>
    <n v="4"/>
  </r>
  <r>
    <s v="Musculoskeletal Discomfort"/>
    <x v="6"/>
    <n v="10"/>
  </r>
  <r>
    <s v="Nervous System Disorder"/>
    <x v="2"/>
    <n v="10"/>
  </r>
  <r>
    <s v="Atrioventricular Block First Degree"/>
    <x v="4"/>
    <n v="5"/>
  </r>
  <r>
    <s v="Mitral Valve Incompetence"/>
    <x v="4"/>
    <n v="8"/>
  </r>
  <r>
    <s v="Supraventricular Tachyarrhythmia"/>
    <x v="4"/>
    <n v="4"/>
  </r>
  <r>
    <s v="International Normalised Ratio Decreased"/>
    <x v="1"/>
    <n v="4"/>
  </r>
  <r>
    <s v="Diastolic Dysfunction"/>
    <x v="4"/>
    <n v="5"/>
  </r>
  <r>
    <s v="Hypertensive Crisis"/>
    <x v="4"/>
    <n v="10"/>
  </r>
  <r>
    <s v="Tricuspid Valve Incompetence"/>
    <x v="4"/>
    <n v="14"/>
  </r>
  <r>
    <s v="Rotavirus Infection"/>
    <x v="23"/>
    <n v="4"/>
  </r>
  <r>
    <s v="Sinus Arrhythmia"/>
    <x v="4"/>
    <n v="4"/>
  </r>
  <r>
    <s v="Cardiac Valve Sclerosis"/>
    <x v="4"/>
    <n v="4"/>
  </r>
  <r>
    <s v="Metastases To Lung"/>
    <x v="19"/>
    <n v="27"/>
  </r>
  <r>
    <s v="Melaena"/>
    <x v="8"/>
    <n v="2"/>
  </r>
  <r>
    <s v="Uterine Leiomyoma"/>
    <x v="20"/>
    <n v="6"/>
  </r>
  <r>
    <s v="Invasive Ductal Breast Carcinoma"/>
    <x v="20"/>
    <n v="6"/>
  </r>
  <r>
    <s v="Multiple Organ Dysfunction Syndrome"/>
    <x v="10"/>
    <n v="9"/>
  </r>
  <r>
    <s v="Eyelids Pruritus"/>
    <x v="0"/>
    <n v="2"/>
  </r>
  <r>
    <s v="Throat Tightness"/>
    <x v="9"/>
    <n v="6"/>
  </r>
  <r>
    <s v="Lip Pain"/>
    <x v="13"/>
    <n v="1"/>
  </r>
  <r>
    <s v="Skin Atrophy"/>
    <x v="11"/>
    <n v="3"/>
  </r>
  <r>
    <s v="Goitre"/>
    <x v="7"/>
    <n v="1"/>
  </r>
  <r>
    <s v="Soft Tissue Mass"/>
    <x v="10"/>
    <n v="2"/>
  </r>
  <r>
    <s v="Emphysema"/>
    <x v="9"/>
    <n v="3"/>
  </r>
  <r>
    <s v="Aortic Aneurysm"/>
    <x v="4"/>
    <n v="2"/>
  </r>
  <r>
    <s v="Vena Cava Thrombosis"/>
    <x v="4"/>
    <n v="1"/>
  </r>
  <r>
    <s v="Weight Fluctuation"/>
    <x v="17"/>
    <n v="6"/>
  </r>
  <r>
    <s v="Gallbladder Operation"/>
    <x v="8"/>
    <n v="3"/>
  </r>
  <r>
    <s v="Urine Odour Abnormal"/>
    <x v="3"/>
    <n v="3"/>
  </r>
  <r>
    <s v="Neuroendocrine Carcinoma"/>
    <x v="19"/>
    <n v="1"/>
  </r>
  <r>
    <s v="Blood Test Abnormal"/>
    <x v="10"/>
    <n v="5"/>
  </r>
  <r>
    <s v="Escherichia Infection"/>
    <x v="23"/>
    <n v="3"/>
  </r>
  <r>
    <s v="Osteoporosis"/>
    <x v="6"/>
    <n v="30"/>
  </r>
  <r>
    <s v="Perfume Sensitivity"/>
    <x v="10"/>
    <n v="1"/>
  </r>
  <r>
    <s v="Intentional Product Use Issue"/>
    <x v="10"/>
    <n v="1"/>
  </r>
  <r>
    <s v="Anosmia"/>
    <x v="2"/>
    <n v="6"/>
  </r>
  <r>
    <s v="Granulocytopenia"/>
    <x v="1"/>
    <n v="2"/>
  </r>
  <r>
    <s v="Skin Reaction"/>
    <x v="11"/>
    <n v="1"/>
  </r>
  <r>
    <s v="Metastases To Chest Wall"/>
    <x v="19"/>
    <n v="2"/>
  </r>
  <r>
    <s v="Rhinalgia"/>
    <x v="24"/>
    <n v="2"/>
  </r>
  <r>
    <s v="Ankle Fracture"/>
    <x v="6"/>
    <n v="8"/>
  </r>
  <r>
    <s v="Fasciotomy"/>
    <x v="22"/>
    <n v="1"/>
  </r>
  <r>
    <s v="Therapy Non-Responder"/>
    <x v="10"/>
    <n v="7"/>
  </r>
  <r>
    <s v="Oesophageal Stenosis"/>
    <x v="8"/>
    <n v="1"/>
  </r>
  <r>
    <s v="Intestinal Haemorrhage"/>
    <x v="8"/>
    <n v="12"/>
  </r>
  <r>
    <s v="Paraesthesia Oral"/>
    <x v="2"/>
    <n v="1"/>
  </r>
  <r>
    <s v="Nail Disorder"/>
    <x v="11"/>
    <n v="22"/>
  </r>
  <r>
    <s v="Tension"/>
    <x v="18"/>
    <n v="19"/>
  </r>
  <r>
    <s v="Product Prescribing Error"/>
    <x v="10"/>
    <n v="16"/>
  </r>
  <r>
    <s v="Listless"/>
    <x v="2"/>
    <n v="14"/>
  </r>
  <r>
    <s v="Lower Gastrointestinal Haemorrhage"/>
    <x v="8"/>
    <n v="2"/>
  </r>
  <r>
    <s v="Superior Vena Cava Syndrome"/>
    <x v="4"/>
    <n v="2"/>
  </r>
  <r>
    <s v="Blood Triglycerides Increased"/>
    <x v="17"/>
    <n v="4"/>
  </r>
  <r>
    <s v="Calcium Deficiency"/>
    <x v="7"/>
    <n v="2"/>
  </r>
  <r>
    <s v="Irritable Bowel Syndrome"/>
    <x v="8"/>
    <n v="3"/>
  </r>
  <r>
    <s v="Bone Disorder"/>
    <x v="6"/>
    <n v="16"/>
  </r>
  <r>
    <s v="Subarachnoid Haemorrhage"/>
    <x v="2"/>
    <n v="12"/>
  </r>
  <r>
    <s v="Decubitus Ulcer"/>
    <x v="11"/>
    <n v="2"/>
  </r>
  <r>
    <s v="Intentional Self-Injury"/>
    <x v="18"/>
    <n v="1"/>
  </r>
  <r>
    <s v="Acute Myocardial Infarction"/>
    <x v="4"/>
    <n v="9"/>
  </r>
  <r>
    <s v="Skin Haemorrhage"/>
    <x v="11"/>
    <n v="9"/>
  </r>
  <r>
    <s v="Oral Mucosal Erythema"/>
    <x v="13"/>
    <n v="5"/>
  </r>
  <r>
    <s v="Gout"/>
    <x v="6"/>
    <n v="4"/>
  </r>
  <r>
    <s v="Skin Abrasion"/>
    <x v="11"/>
    <n v="7"/>
  </r>
  <r>
    <s v="Dyspnoea At Rest"/>
    <x v="9"/>
    <n v="3"/>
  </r>
  <r>
    <s v="Nail Toxicity"/>
    <x v="11"/>
    <n v="11"/>
  </r>
  <r>
    <s v="Pain Of Skin"/>
    <x v="11"/>
    <n v="6"/>
  </r>
  <r>
    <s v="Injection Site Hypersensitivity"/>
    <x v="11"/>
    <n v="1"/>
  </r>
  <r>
    <s v="Rotator Cuff Syndrome"/>
    <x v="6"/>
    <n v="4"/>
  </r>
  <r>
    <s v="Hip Fracture"/>
    <x v="6"/>
    <n v="10"/>
  </r>
  <r>
    <s v="Adenomyosis"/>
    <x v="20"/>
    <n v="2"/>
  </r>
  <r>
    <s v="Hormone Receptor Positive Breast Cancer"/>
    <x v="20"/>
    <n v="2"/>
  </r>
  <r>
    <s v="Organ Failure"/>
    <x v="10"/>
    <n v="6"/>
  </r>
  <r>
    <s v="Breast Cancer Recurrent"/>
    <x v="19"/>
    <n v="22"/>
  </r>
  <r>
    <s v="Discouragement"/>
    <x v="18"/>
    <n v="2"/>
  </r>
  <r>
    <s v="Dyslalia"/>
    <x v="2"/>
    <n v="2"/>
  </r>
  <r>
    <s v="Cerebral Artery Stenosis"/>
    <x v="4"/>
    <n v="1"/>
  </r>
  <r>
    <s v="Invasive Lobular Breast Carcinoma"/>
    <x v="20"/>
    <n v="1"/>
  </r>
  <r>
    <s v="Trigeminal Nerve Disorder"/>
    <x v="2"/>
    <n v="1"/>
  </r>
  <r>
    <s v="Trigeminal Neuralgia"/>
    <x v="2"/>
    <n v="2"/>
  </r>
  <r>
    <s v="Sitting Disability"/>
    <x v="6"/>
    <n v="1"/>
  </r>
  <r>
    <s v="Rheumatoid Arthritis"/>
    <x v="6"/>
    <n v="5"/>
  </r>
  <r>
    <s v="Nodule"/>
    <x v="11"/>
    <n v="6"/>
  </r>
  <r>
    <s v="Electrolyte Imbalance"/>
    <x v="17"/>
    <n v="4"/>
  </r>
  <r>
    <s v="Peripheral Sensorimotor Neuropathy"/>
    <x v="2"/>
    <n v="6"/>
  </r>
  <r>
    <s v="Hyperbilirubinaemia"/>
    <x v="12"/>
    <n v="2"/>
  </r>
  <r>
    <s v="Osteomyelitis"/>
    <x v="6"/>
    <n v="8"/>
  </r>
  <r>
    <s v="Pseudarthrosis"/>
    <x v="6"/>
    <n v="1"/>
  </r>
  <r>
    <s v="Atypical Femur Fracture"/>
    <x v="6"/>
    <n v="1"/>
  </r>
  <r>
    <s v="Paraneoplastic Arthritis"/>
    <x v="6"/>
    <n v="2"/>
  </r>
  <r>
    <s v="Photosensitivity Reaction"/>
    <x v="11"/>
    <n v="5"/>
  </r>
  <r>
    <s v="Drug Eruption"/>
    <x v="11"/>
    <n v="2"/>
  </r>
  <r>
    <s v="Acne"/>
    <x v="11"/>
    <n v="1"/>
  </r>
  <r>
    <s v="Angioedema"/>
    <x v="11"/>
    <n v="3"/>
  </r>
  <r>
    <s v="Metastases To Stomach"/>
    <x v="19"/>
    <n v="3"/>
  </r>
  <r>
    <s v="Electrocardiogram T Wave Inversion"/>
    <x v="4"/>
    <n v="1"/>
  </r>
  <r>
    <s v="Pulmonary Hypertension"/>
    <x v="4"/>
    <n v="10"/>
  </r>
  <r>
    <s v="Right Atrial Dilatation"/>
    <x v="4"/>
    <n v="5"/>
  </r>
  <r>
    <s v="Skin Laceration"/>
    <x v="11"/>
    <n v="11"/>
  </r>
  <r>
    <s v="Wrist Fracture"/>
    <x v="6"/>
    <n v="8"/>
  </r>
  <r>
    <s v="Hospitalisation"/>
    <x v="10"/>
    <n v="2"/>
  </r>
  <r>
    <s v="Adverse Drug Reaction"/>
    <x v="10"/>
    <n v="7"/>
  </r>
  <r>
    <s v="Pulmonary Congestion"/>
    <x v="9"/>
    <n v="4"/>
  </r>
  <r>
    <s v="Pulmonary Arterial Hypertension"/>
    <x v="4"/>
    <n v="5"/>
  </r>
  <r>
    <s v="Formication"/>
    <x v="2"/>
    <n v="1"/>
  </r>
  <r>
    <s v="Faeces Soft"/>
    <x v="8"/>
    <n v="1"/>
  </r>
  <r>
    <s v="Limb Injury"/>
    <x v="6"/>
    <n v="3"/>
  </r>
  <r>
    <s v="Upper Limb Fracture"/>
    <x v="6"/>
    <n v="8"/>
  </r>
  <r>
    <s v="Dysgraphia"/>
    <x v="2"/>
    <n v="4"/>
  </r>
  <r>
    <s v="Myositis"/>
    <x v="6"/>
    <n v="8"/>
  </r>
  <r>
    <s v="Invasive Breast Carcinoma"/>
    <x v="20"/>
    <n v="1"/>
  </r>
  <r>
    <s v="Gamma-Glutamyltransferase"/>
    <x v="12"/>
    <n v="1"/>
  </r>
  <r>
    <s v="Mixed Liver Injury"/>
    <x v="12"/>
    <n v="5"/>
  </r>
  <r>
    <s v="Pneumonia Chlamydial"/>
    <x v="9"/>
    <n v="3"/>
  </r>
  <r>
    <s v="Metabolic Alkalosis"/>
    <x v="17"/>
    <n v="4"/>
  </r>
  <r>
    <s v="Hepatic Enzyme Abnormal"/>
    <x v="12"/>
    <n v="1"/>
  </r>
  <r>
    <s v="Corneal Disorder"/>
    <x v="0"/>
    <n v="2"/>
  </r>
  <r>
    <s v="Erythema Of Eyelid"/>
    <x v="0"/>
    <n v="1"/>
  </r>
  <r>
    <s v="Dry Throat"/>
    <x v="9"/>
    <n v="3"/>
  </r>
  <r>
    <s v="Oral Discomfort"/>
    <x v="13"/>
    <n v="12"/>
  </r>
  <r>
    <s v="Jaw Disorder"/>
    <x v="6"/>
    <n v="9"/>
  </r>
  <r>
    <s v="Deafness"/>
    <x v="2"/>
    <n v="9"/>
  </r>
  <r>
    <s v="Madarosis"/>
    <x v="11"/>
    <n v="2"/>
  </r>
  <r>
    <s v="Gingival Recession"/>
    <x v="13"/>
    <n v="2"/>
  </r>
  <r>
    <s v="Aggression"/>
    <x v="18"/>
    <n v="2"/>
  </r>
  <r>
    <s v="International Normalised Ratio Abnormal"/>
    <x v="1"/>
    <n v="1"/>
  </r>
  <r>
    <s v="Elliptocytosis"/>
    <x v="1"/>
    <n v="4"/>
  </r>
  <r>
    <s v="Blood Urea Abnormal"/>
    <x v="25"/>
    <n v="2"/>
  </r>
  <r>
    <s v="Eyelid Margin Crusting"/>
    <x v="0"/>
    <n v="1"/>
  </r>
  <r>
    <s v="Eye Swelling"/>
    <x v="0"/>
    <n v="3"/>
  </r>
  <r>
    <s v="Polychromasia"/>
    <x v="1"/>
    <n v="1"/>
  </r>
  <r>
    <s v="Keratitis"/>
    <x v="0"/>
    <n v="1"/>
  </r>
  <r>
    <s v="Aversion"/>
    <x v="18"/>
    <n v="1"/>
  </r>
  <r>
    <s v="Blood Sodium Increased"/>
    <x v="7"/>
    <n v="1"/>
  </r>
  <r>
    <s v="Oral Herpes"/>
    <x v="11"/>
    <n v="11"/>
  </r>
  <r>
    <s v="High Density Lipoprotein Abnormal"/>
    <x v="17"/>
    <n v="1"/>
  </r>
  <r>
    <s v="Ligament Sprain"/>
    <x v="6"/>
    <n v="3"/>
  </r>
  <r>
    <s v="Gingival Erythema"/>
    <x v="13"/>
    <n v="1"/>
  </r>
  <r>
    <s v="Blood Cholesterol Abnormal"/>
    <x v="17"/>
    <n v="1"/>
  </r>
  <r>
    <s v="Tension Headache"/>
    <x v="2"/>
    <n v="3"/>
  </r>
  <r>
    <s v="Petit Mal Epilepsy"/>
    <x v="2"/>
    <n v="1"/>
  </r>
  <r>
    <s v="Morton's Neuralgia"/>
    <x v="2"/>
    <n v="1"/>
  </r>
  <r>
    <s v="Agitation"/>
    <x v="18"/>
    <n v="5"/>
  </r>
  <r>
    <s v="Red Blood Cell Sedimentation Rate Increased"/>
    <x v="1"/>
    <n v="7"/>
  </r>
  <r>
    <s v="Catheter Site Pain"/>
    <x v="10"/>
    <n v="2"/>
  </r>
  <r>
    <s v="Nasal Injury"/>
    <x v="24"/>
    <n v="1"/>
  </r>
  <r>
    <s v="Blood Potassium Abnormal"/>
    <x v="7"/>
    <n v="1"/>
  </r>
  <r>
    <s v="Noninfective Gingivitis"/>
    <x v="13"/>
    <n v="2"/>
  </r>
  <r>
    <s v="Foot Fracture"/>
    <x v="6"/>
    <n v="4"/>
  </r>
  <r>
    <s v="Fat Tissue Increased"/>
    <x v="17"/>
    <n v="1"/>
  </r>
  <r>
    <s v="Herpes Virus Infection"/>
    <x v="23"/>
    <n v="1"/>
  </r>
  <r>
    <s v="Nasal Ulcer"/>
    <x v="24"/>
    <n v="2"/>
  </r>
  <r>
    <s v="Pulmonary Pain"/>
    <x v="9"/>
    <n v="3"/>
  </r>
  <r>
    <s v="Migraine"/>
    <x v="2"/>
    <n v="2"/>
  </r>
  <r>
    <s v="Emotional Distress"/>
    <x v="18"/>
    <n v="6"/>
  </r>
  <r>
    <s v="Scab"/>
    <x v="11"/>
    <n v="1"/>
  </r>
  <r>
    <s v="C-Reactive Protein Abnormal"/>
    <x v="5"/>
    <n v="2"/>
  </r>
  <r>
    <s v="Electric Shock Sensation"/>
    <x v="2"/>
    <n v="2"/>
  </r>
  <r>
    <s v="Rouleaux Formation"/>
    <x v="1"/>
    <n v="3"/>
  </r>
  <r>
    <s v="Limb Deformity"/>
    <x v="6"/>
    <n v="1"/>
  </r>
  <r>
    <s v="Abnormal Behaviour"/>
    <x v="18"/>
    <n v="1"/>
  </r>
  <r>
    <s v="Loss Of Consciousness"/>
    <x v="2"/>
    <n v="21"/>
  </r>
  <r>
    <s v="Thyroid Mass"/>
    <x v="7"/>
    <n v="4"/>
  </r>
  <r>
    <s v="Yawning"/>
    <x v="2"/>
    <n v="1"/>
  </r>
  <r>
    <s v="Hypoglycaemia"/>
    <x v="7"/>
    <n v="5"/>
  </r>
  <r>
    <s v="Gingival Disorder"/>
    <x v="13"/>
    <n v="2"/>
  </r>
  <r>
    <s v="Viral Diarrhoea"/>
    <x v="8"/>
    <n v="1"/>
  </r>
  <r>
    <s v="Drug Hypersensitivity"/>
    <x v="10"/>
    <n v="7"/>
  </r>
  <r>
    <s v="Face Oedema"/>
    <x v="11"/>
    <n v="7"/>
  </r>
  <r>
    <s v="Alcoholic Liver Disease"/>
    <x v="12"/>
    <n v="2"/>
  </r>
  <r>
    <s v="Anaphylactic Shock"/>
    <x v="5"/>
    <n v="2"/>
  </r>
  <r>
    <s v="Neoplasm Malignant"/>
    <x v="19"/>
    <n v="38"/>
  </r>
  <r>
    <s v="Skin Hyperpigmentation"/>
    <x v="11"/>
    <n v="3"/>
  </r>
  <r>
    <s v="Abscess Intestinal"/>
    <x v="8"/>
    <n v="1"/>
  </r>
  <r>
    <s v="Temporomandibular Pain And Dysfunction Syndrome"/>
    <x v="6"/>
    <n v="2"/>
  </r>
  <r>
    <s v="Bronchiectasis"/>
    <x v="9"/>
    <n v="1"/>
  </r>
  <r>
    <s v="Device Related Infection"/>
    <x v="10"/>
    <n v="3"/>
  </r>
  <r>
    <s v="Fistula"/>
    <x v="10"/>
    <n v="2"/>
  </r>
  <r>
    <s v="Bacteraemia"/>
    <x v="23"/>
    <n v="1"/>
  </r>
  <r>
    <s v="Vitamin B12 Deficiency"/>
    <x v="1"/>
    <n v="9"/>
  </r>
  <r>
    <s v="Vertigo Positional"/>
    <x v="2"/>
    <n v="5"/>
  </r>
  <r>
    <s v="Carotid Artery Aneurysm"/>
    <x v="4"/>
    <n v="5"/>
  </r>
  <r>
    <s v="Hyperpyrexia"/>
    <x v="7"/>
    <n v="3"/>
  </r>
  <r>
    <s v="Injection Site Inflammation"/>
    <x v="11"/>
    <n v="2"/>
  </r>
  <r>
    <s v="Injection Site Erythema"/>
    <x v="11"/>
    <n v="3"/>
  </r>
  <r>
    <s v="Injection Site Pain"/>
    <x v="11"/>
    <n v="4"/>
  </r>
  <r>
    <s v="Injection Site Warmth"/>
    <x v="11"/>
    <n v="2"/>
  </r>
  <r>
    <s v="Cutaneous Lupus Erythematosus"/>
    <x v="11"/>
    <n v="14"/>
  </r>
  <r>
    <s v="Ocular Discomfort"/>
    <x v="0"/>
    <n v="1"/>
  </r>
  <r>
    <s v="Retinal Artery Occlusion"/>
    <x v="0"/>
    <n v="3"/>
  </r>
  <r>
    <s v="Overweight"/>
    <x v="17"/>
    <n v="6"/>
  </r>
  <r>
    <s v="Infarction"/>
    <x v="4"/>
    <n v="3"/>
  </r>
  <r>
    <s v="Retroperitoneal Abscess"/>
    <x v="8"/>
    <n v="1"/>
  </r>
  <r>
    <s v="Small Cell Lung Cancer"/>
    <x v="9"/>
    <n v="1"/>
  </r>
  <r>
    <s v="Apathy"/>
    <x v="18"/>
    <n v="10"/>
  </r>
  <r>
    <s v="Urine Abnormality"/>
    <x v="3"/>
    <n v="3"/>
  </r>
  <r>
    <s v="Feeling Hot"/>
    <x v="10"/>
    <n v="11"/>
  </r>
  <r>
    <s v="Lip Dry"/>
    <x v="13"/>
    <n v="3"/>
  </r>
  <r>
    <s v="Pallor"/>
    <x v="11"/>
    <n v="4"/>
  </r>
  <r>
    <s v="Muscle Injury"/>
    <x v="6"/>
    <n v="3"/>
  </r>
  <r>
    <s v="Mood Swings"/>
    <x v="18"/>
    <n v="7"/>
  </r>
  <r>
    <s v="Mass"/>
    <x v="10"/>
    <n v="6"/>
  </r>
  <r>
    <s v="Gingival Bleeding"/>
    <x v="13"/>
    <n v="7"/>
  </r>
  <r>
    <s v="Pubic Pain"/>
    <x v="20"/>
    <n v="2"/>
  </r>
  <r>
    <s v="Device Failure"/>
    <x v="10"/>
    <n v="2"/>
  </r>
  <r>
    <s v="Skin Wrinkling"/>
    <x v="11"/>
    <n v="2"/>
  </r>
  <r>
    <s v="Catarrh"/>
    <x v="9"/>
    <n v="2"/>
  </r>
  <r>
    <s v="Lip Injury"/>
    <x v="13"/>
    <n v="2"/>
  </r>
  <r>
    <s v="Blood Cholesterol Increased"/>
    <x v="17"/>
    <n v="12"/>
  </r>
  <r>
    <s v="Troponin I Increased"/>
    <x v="4"/>
    <n v="2"/>
  </r>
  <r>
    <s v="Myoglobin Blood Increased"/>
    <x v="6"/>
    <n v="2"/>
  </r>
  <r>
    <s v="Brain Natriuretic Peptide Increased"/>
    <x v="4"/>
    <n v="2"/>
  </r>
  <r>
    <s v="Vulvovaginal Inflammation"/>
    <x v="20"/>
    <n v="6"/>
  </r>
  <r>
    <s v="Left Ventricular Dysfunction"/>
    <x v="4"/>
    <n v="26"/>
  </r>
  <r>
    <s v="Breast Discharge"/>
    <x v="20"/>
    <n v="1"/>
  </r>
  <r>
    <s v="Lymphocytic Leukaemia"/>
    <x v="1"/>
    <n v="1"/>
  </r>
  <r>
    <s v="Immunosuppression"/>
    <x v="5"/>
    <n v="2"/>
  </r>
  <r>
    <s v="Treatment Failure"/>
    <x v="10"/>
    <n v="3"/>
  </r>
  <r>
    <s v="Therapy Change"/>
    <x v="10"/>
    <n v="1"/>
  </r>
  <r>
    <s v="Bacterial Infection"/>
    <x v="23"/>
    <n v="5"/>
  </r>
  <r>
    <s v="Lung Cyst"/>
    <x v="9"/>
    <n v="1"/>
  </r>
  <r>
    <s v="Negative Thoughts"/>
    <x v="18"/>
    <n v="1"/>
  </r>
  <r>
    <s v="Weight Loss Poor"/>
    <x v="17"/>
    <n v="1"/>
  </r>
  <r>
    <s v="Fibromyalgia"/>
    <x v="6"/>
    <n v="15"/>
  </r>
  <r>
    <s v="Product Substitution Issue"/>
    <x v="10"/>
    <n v="30"/>
  </r>
  <r>
    <s v="Investigation Abnormal"/>
    <x v="10"/>
    <n v="1"/>
  </r>
  <r>
    <s v="Fibrosis"/>
    <x v="10"/>
    <n v="2"/>
  </r>
  <r>
    <s v="Laryngitis"/>
    <x v="9"/>
    <n v="4"/>
  </r>
  <r>
    <s v="Haemorrhage"/>
    <x v="10"/>
    <n v="9"/>
  </r>
  <r>
    <s v="Vitreous Detachment"/>
    <x v="0"/>
    <n v="11"/>
  </r>
  <r>
    <s v="Therapy Partial Responder"/>
    <x v="10"/>
    <n v="4"/>
  </r>
  <r>
    <s v="Phrenic Nerve Paralysis"/>
    <x v="2"/>
    <n v="1"/>
  </r>
  <r>
    <s v="Metastases To Central Nervous System"/>
    <x v="19"/>
    <n v="8"/>
  </r>
  <r>
    <s v="Blood Albumin Increased"/>
    <x v="17"/>
    <n v="6"/>
  </r>
  <r>
    <s v="Herpes Simplex"/>
    <x v="11"/>
    <n v="1"/>
  </r>
  <r>
    <s v="Oral Infection"/>
    <x v="13"/>
    <n v="2"/>
  </r>
  <r>
    <s v="Diaphragmatic Paralysis"/>
    <x v="2"/>
    <n v="1"/>
  </r>
  <r>
    <s v="Tachypnoea"/>
    <x v="9"/>
    <n v="4"/>
  </r>
  <r>
    <s v="Oxygen Consumption Increased"/>
    <x v="9"/>
    <n v="1"/>
  </r>
  <r>
    <s v="Colon Cancer"/>
    <x v="8"/>
    <n v="8"/>
  </r>
  <r>
    <s v="Vaginal Haemorrhage"/>
    <x v="20"/>
    <n v="19"/>
  </r>
  <r>
    <s v="Cardiac Disorder"/>
    <x v="4"/>
    <n v="14"/>
  </r>
  <r>
    <s v="Blood Disorder"/>
    <x v="1"/>
    <n v="4"/>
  </r>
  <r>
    <s v="Vaginal Discharge"/>
    <x v="20"/>
    <n v="3"/>
  </r>
  <r>
    <s v="Injection Site Haemorrhage"/>
    <x v="11"/>
    <n v="1"/>
  </r>
  <r>
    <s v="Injection Site Pruritus"/>
    <x v="11"/>
    <n v="1"/>
  </r>
  <r>
    <s v="Poor Quality Product Administered"/>
    <x v="10"/>
    <n v="2"/>
  </r>
  <r>
    <s v="Product Packaging Issue"/>
    <x v="10"/>
    <n v="1"/>
  </r>
  <r>
    <s v="Blood Bilirubin Abnormal"/>
    <x v="12"/>
    <n v="1"/>
  </r>
  <r>
    <s v="Haematocrit Abnormal"/>
    <x v="1"/>
    <n v="1"/>
  </r>
  <r>
    <s v="Central Obesity"/>
    <x v="17"/>
    <n v="1"/>
  </r>
  <r>
    <s v="Metastases To Thorax"/>
    <x v="19"/>
    <n v="1"/>
  </r>
  <r>
    <s v="Red Cell Distribution Width Abnormal"/>
    <x v="1"/>
    <n v="1"/>
  </r>
  <r>
    <s v="Red Blood Cell Count Abnormal"/>
    <x v="1"/>
    <n v="3"/>
  </r>
  <r>
    <s v="Blood Creatinine Abnormal"/>
    <x v="25"/>
    <n v="2"/>
  </r>
  <r>
    <s v="Lipomatosis"/>
    <x v="11"/>
    <n v="1"/>
  </r>
  <r>
    <s v="Mean Platelet Volume Abnormal"/>
    <x v="1"/>
    <n v="1"/>
  </r>
  <r>
    <s v="Nerve Compression"/>
    <x v="2"/>
    <n v="2"/>
  </r>
  <r>
    <s v="Gastric Haemorrhage"/>
    <x v="8"/>
    <n v="5"/>
  </r>
  <r>
    <s v="Circulatory Collapse"/>
    <x v="4"/>
    <n v="3"/>
  </r>
  <r>
    <s v="Perioral Dermatitis"/>
    <x v="11"/>
    <n v="1"/>
  </r>
  <r>
    <s v="Cheilitis"/>
    <x v="13"/>
    <n v="1"/>
  </r>
  <r>
    <s v="Metastases To Kidney"/>
    <x v="19"/>
    <n v="2"/>
  </r>
  <r>
    <s v="Lower Limb Fracture"/>
    <x v="6"/>
    <n v="8"/>
  </r>
  <r>
    <s v="Peroneal Nerve Palsy"/>
    <x v="2"/>
    <n v="5"/>
  </r>
  <r>
    <s v="Tendonitis"/>
    <x v="6"/>
    <n v="11"/>
  </r>
  <r>
    <s v="Food Craving"/>
    <x v="18"/>
    <n v="2"/>
  </r>
  <r>
    <s v="Ear Infection"/>
    <x v="24"/>
    <n v="1"/>
  </r>
  <r>
    <s v="Blood Pressure Abnormal"/>
    <x v="4"/>
    <n v="2"/>
  </r>
  <r>
    <s v="Bladder Discomfort"/>
    <x v="3"/>
    <n v="1"/>
  </r>
  <r>
    <s v="Haemorrhoids"/>
    <x v="8"/>
    <n v="6"/>
  </r>
  <r>
    <s v="Diverticulum"/>
    <x v="8"/>
    <n v="4"/>
  </r>
  <r>
    <s v="Abnormal Faeces"/>
    <x v="8"/>
    <n v="2"/>
  </r>
  <r>
    <s v="Glaucoma"/>
    <x v="0"/>
    <n v="3"/>
  </r>
  <r>
    <s v="International Normalised Ratio Increased"/>
    <x v="1"/>
    <n v="7"/>
  </r>
  <r>
    <s v="Acidosis"/>
    <x v="17"/>
    <n v="4"/>
  </r>
  <r>
    <s v="Rectal Haemorrhage"/>
    <x v="8"/>
    <n v="7"/>
  </r>
  <r>
    <s v="Autoimmune Disorder"/>
    <x v="5"/>
    <n v="1"/>
  </r>
  <r>
    <s v="Jugular Vein Thrombosis"/>
    <x v="4"/>
    <n v="12"/>
  </r>
  <r>
    <s v="Antiphospholipid Antibodies Positive"/>
    <x v="5"/>
    <n v="1"/>
  </r>
  <r>
    <s v="Sudden Cardiac Death"/>
    <x v="4"/>
    <n v="1"/>
  </r>
  <r>
    <s v="Pulmonary Fibrosis"/>
    <x v="9"/>
    <n v="5"/>
  </r>
  <r>
    <s v="Gastric Ulcer"/>
    <x v="8"/>
    <n v="8"/>
  </r>
  <r>
    <s v="Metastases To Adrenals"/>
    <x v="19"/>
    <n v="4"/>
  </r>
  <r>
    <s v="Failure To Thrive"/>
    <x v="10"/>
    <n v="2"/>
  </r>
  <r>
    <s v="Generalised Oedema"/>
    <x v="4"/>
    <n v="3"/>
  </r>
  <r>
    <s v="Acute Leukaemia"/>
    <x v="1"/>
    <n v="3"/>
  </r>
  <r>
    <s v="Myelodysplastic Syndrome"/>
    <x v="1"/>
    <n v="4"/>
  </r>
  <r>
    <s v="Haematotoxicity"/>
    <x v="1"/>
    <n v="2"/>
  </r>
  <r>
    <s v="Tumour Marker Decreased"/>
    <x v="19"/>
    <n v="3"/>
  </r>
  <r>
    <s v="Accidental Overdose"/>
    <x v="10"/>
    <n v="3"/>
  </r>
  <r>
    <s v="Cardiac Failure Congestive"/>
    <x v="4"/>
    <n v="10"/>
  </r>
  <r>
    <s v="Feeling Cold"/>
    <x v="10"/>
    <n v="8"/>
  </r>
  <r>
    <s v="Autoimmune Haemolytic Anaemia"/>
    <x v="1"/>
    <n v="7"/>
  </r>
  <r>
    <s v="Vaginal Prolapse"/>
    <x v="20"/>
    <n v="2"/>
  </r>
  <r>
    <s v="Pyoderma Gangrenosum"/>
    <x v="11"/>
    <n v="1"/>
  </r>
  <r>
    <s v="Soft Tissue Infection"/>
    <x v="11"/>
    <n v="4"/>
  </r>
  <r>
    <s v="Tumour Pain"/>
    <x v="19"/>
    <n v="3"/>
  </r>
  <r>
    <s v="Aortic Valve Stenosis"/>
    <x v="4"/>
    <n v="1"/>
  </r>
  <r>
    <s v="Hepatitis B"/>
    <x v="23"/>
    <n v="1"/>
  </r>
  <r>
    <s v="Hepatitis B Reactivation"/>
    <x v="23"/>
    <n v="1"/>
  </r>
  <r>
    <s v="Hypokinesia"/>
    <x v="2"/>
    <n v="3"/>
  </r>
  <r>
    <s v="Seasonal Allergy"/>
    <x v="5"/>
    <n v="3"/>
  </r>
  <r>
    <s v="Blood Pressure Fluctuation"/>
    <x v="4"/>
    <n v="2"/>
  </r>
  <r>
    <s v="Enterococcus Test Positive"/>
    <x v="23"/>
    <n v="4"/>
  </r>
  <r>
    <s v="Acute Pulmonary Oedema"/>
    <x v="9"/>
    <n v="2"/>
  </r>
  <r>
    <s v="Duodenal Perforation"/>
    <x v="8"/>
    <n v="1"/>
  </r>
  <r>
    <s v="Serum Ferritin Increased"/>
    <x v="17"/>
    <n v="2"/>
  </r>
  <r>
    <s v="Acute Myeloid Leukaemia"/>
    <x v="1"/>
    <n v="8"/>
  </r>
  <r>
    <s v="Mononuclear Cell Count Increased"/>
    <x v="1"/>
    <n v="1"/>
  </r>
  <r>
    <s v="Toxic Skin Eruption"/>
    <x v="11"/>
    <n v="10"/>
  </r>
  <r>
    <s v="Electrocardiogram Pr Shortened"/>
    <x v="4"/>
    <n v="3"/>
  </r>
  <r>
    <s v="Excessive Granulation Tissue"/>
    <x v="11"/>
    <n v="3"/>
  </r>
  <r>
    <s v="Blood Uric Acid Increased"/>
    <x v="17"/>
    <n v="5"/>
  </r>
  <r>
    <s v="Electrocardiogram St-T Segment Abnormal"/>
    <x v="4"/>
    <n v="3"/>
  </r>
  <r>
    <s v="Rectal Lesion"/>
    <x v="8"/>
    <n v="3"/>
  </r>
  <r>
    <s v="Electrocardiogram Repolarisation Abnormality"/>
    <x v="4"/>
    <n v="4"/>
  </r>
  <r>
    <s v="Neutrophil Count Abnormal"/>
    <x v="1"/>
    <n v="5"/>
  </r>
  <r>
    <s v="Atrioventricular Conduction Time Shortened"/>
    <x v="4"/>
    <n v="3"/>
  </r>
  <r>
    <s v="Erythroblast Count"/>
    <x v="1"/>
    <n v="3"/>
  </r>
  <r>
    <s v="Metastases To Bladder"/>
    <x v="19"/>
    <n v="3"/>
  </r>
  <r>
    <s v="Blood Electrolytes Increased"/>
    <x v="17"/>
    <n v="3"/>
  </r>
  <r>
    <s v="Mean Cell Volume"/>
    <x v="1"/>
    <n v="1"/>
  </r>
  <r>
    <s v="Diabetic Ketoacidosis"/>
    <x v="17"/>
    <n v="4"/>
  </r>
  <r>
    <s v="Hyperglycaemic Hyperosmolar Nonketotic Syndrome"/>
    <x v="17"/>
    <n v="3"/>
  </r>
  <r>
    <s v="Increased Tendency To Bruise"/>
    <x v="1"/>
    <n v="1"/>
  </r>
  <r>
    <s v="Solar Lentigo"/>
    <x v="11"/>
    <n v="1"/>
  </r>
  <r>
    <s v="Extrasystoles"/>
    <x v="4"/>
    <n v="4"/>
  </r>
  <r>
    <s v="Cystitis Radiation"/>
    <x v="3"/>
    <n v="1"/>
  </r>
  <r>
    <s v="Bladder Pain"/>
    <x v="3"/>
    <n v="1"/>
  </r>
  <r>
    <s v="Dialysis"/>
    <x v="25"/>
    <n v="1"/>
  </r>
  <r>
    <s v="Impaired Driving Ability"/>
    <x v="2"/>
    <n v="1"/>
  </r>
  <r>
    <s v="Gastrointestinal Toxicity"/>
    <x v="8"/>
    <n v="1"/>
  </r>
  <r>
    <s v="Renal Injury"/>
    <x v="25"/>
    <n v="1"/>
  </r>
  <r>
    <s v="Multiple-Drug Resistance"/>
    <x v="10"/>
    <n v="1"/>
  </r>
  <r>
    <s v="Urinary Tract Obstruction"/>
    <x v="3"/>
    <n v="5"/>
  </r>
  <r>
    <s v="Breast Inflammation"/>
    <x v="20"/>
    <n v="2"/>
  </r>
  <r>
    <s v="Breast Discolouration"/>
    <x v="11"/>
    <n v="2"/>
  </r>
  <r>
    <s v="Rhinitis"/>
    <x v="9"/>
    <n v="3"/>
  </r>
  <r>
    <s v="Breast Disorder"/>
    <x v="20"/>
    <n v="3"/>
  </r>
  <r>
    <s v="Breast Enlargement"/>
    <x v="20"/>
    <n v="3"/>
  </r>
  <r>
    <s v="Regurgitation"/>
    <x v="8"/>
    <n v="2"/>
  </r>
  <r>
    <s v="Haemoglobin Increased"/>
    <x v="1"/>
    <n v="1"/>
  </r>
  <r>
    <s v="Macular Scar"/>
    <x v="0"/>
    <n v="4"/>
  </r>
  <r>
    <s v="Upper Gastrointestinal Haemorrhage"/>
    <x v="8"/>
    <n v="3"/>
  </r>
  <r>
    <s v="Vitrectomy"/>
    <x v="0"/>
    <n v="4"/>
  </r>
  <r>
    <s v="Ureteral Disorder"/>
    <x v="3"/>
    <n v="1"/>
  </r>
  <r>
    <s v="Meningitis Aseptic"/>
    <x v="2"/>
    <n v="1"/>
  </r>
  <r>
    <s v="Hepatic Mass"/>
    <x v="12"/>
    <n v="1"/>
  </r>
  <r>
    <s v="Faeces Discoloured"/>
    <x v="8"/>
    <n v="11"/>
  </r>
  <r>
    <s v="Cholangitis"/>
    <x v="12"/>
    <n v="1"/>
  </r>
  <r>
    <s v="Pancreatitis"/>
    <x v="8"/>
    <n v="7"/>
  </r>
  <r>
    <s v="Adrenocorticotropic Hormone Deficiency"/>
    <x v="7"/>
    <n v="1"/>
  </r>
  <r>
    <s v="Gallbladder Oedema"/>
    <x v="8"/>
    <n v="3"/>
  </r>
  <r>
    <s v="Respiratory Arrest"/>
    <x v="9"/>
    <n v="3"/>
  </r>
  <r>
    <s v="Intra-Abdominal Fluid Collection"/>
    <x v="8"/>
    <n v="2"/>
  </r>
  <r>
    <s v="Myosclerosis"/>
    <x v="6"/>
    <n v="3"/>
  </r>
  <r>
    <s v="Induration"/>
    <x v="11"/>
    <n v="4"/>
  </r>
  <r>
    <s v="Adverse Reaction"/>
    <x v="10"/>
    <n v="3"/>
  </r>
  <r>
    <s v="Muscle Twitching"/>
    <x v="2"/>
    <n v="5"/>
  </r>
  <r>
    <s v="Muscle Swelling"/>
    <x v="6"/>
    <n v="4"/>
  </r>
  <r>
    <s v="Gastric Antral Vascular Ectasia"/>
    <x v="8"/>
    <n v="2"/>
  </r>
  <r>
    <s v="Purpura"/>
    <x v="11"/>
    <n v="6"/>
  </r>
  <r>
    <s v="Paraneoplastic Syndrome"/>
    <x v="10"/>
    <n v="5"/>
  </r>
  <r>
    <s v="Spinal Cord Compression"/>
    <x v="2"/>
    <n v="1"/>
  </r>
  <r>
    <s v="Pyloric Stenosis"/>
    <x v="8"/>
    <n v="1"/>
  </r>
  <r>
    <s v="Onychoclasis"/>
    <x v="11"/>
    <n v="6"/>
  </r>
  <r>
    <s v="Product Packaging Difficult To Open"/>
    <x v="10"/>
    <n v="1"/>
  </r>
  <r>
    <s v="Breast Mass"/>
    <x v="20"/>
    <n v="8"/>
  </r>
  <r>
    <s v="Periarthritis"/>
    <x v="6"/>
    <n v="1"/>
  </r>
  <r>
    <s v="Intervertebral Discitis"/>
    <x v="6"/>
    <n v="2"/>
  </r>
  <r>
    <s v="Bone Marrow Oedema"/>
    <x v="1"/>
    <n v="2"/>
  </r>
  <r>
    <s v="Saliva Altered"/>
    <x v="13"/>
    <n v="1"/>
  </r>
  <r>
    <s v="Prescribed Overdose"/>
    <x v="10"/>
    <n v="1"/>
  </r>
  <r>
    <s v="Vein Discolouration"/>
    <x v="11"/>
    <n v="1"/>
  </r>
  <r>
    <s v="Post Procedural Infection"/>
    <x v="10"/>
    <n v="1"/>
  </r>
  <r>
    <s v="Skin Hypopigmentation"/>
    <x v="11"/>
    <n v="1"/>
  </r>
  <r>
    <s v="Vitiligo"/>
    <x v="11"/>
    <n v="1"/>
  </r>
  <r>
    <s v="Macule"/>
    <x v="11"/>
    <n v="1"/>
  </r>
  <r>
    <s v="Sensitivity To Weather Change"/>
    <x v="10"/>
    <n v="2"/>
  </r>
  <r>
    <s v="Anorectal Disorder"/>
    <x v="8"/>
    <n v="1"/>
  </r>
  <r>
    <s v="Uterine Disorder"/>
    <x v="20"/>
    <n v="1"/>
  </r>
  <r>
    <s v="Eye Haemorrhage"/>
    <x v="0"/>
    <n v="2"/>
  </r>
  <r>
    <s v="Retinal Vascular Occlusion"/>
    <x v="0"/>
    <n v="1"/>
  </r>
  <r>
    <s v="Fear Of Falling"/>
    <x v="18"/>
    <n v="1"/>
  </r>
  <r>
    <s v="Peripheral Coldness"/>
    <x v="4"/>
    <n v="2"/>
  </r>
  <r>
    <s v="Sexual Dysfunction"/>
    <x v="20"/>
    <n v="1"/>
  </r>
  <r>
    <s v="Oropharyngeal Discomfort"/>
    <x v="13"/>
    <n v="1"/>
  </r>
  <r>
    <s v="Hair Colour Changes"/>
    <x v="11"/>
    <n v="1"/>
  </r>
  <r>
    <s v="Procalcitonin Increased"/>
    <x v="5"/>
    <n v="2"/>
  </r>
  <r>
    <s v="Blood Creatine Phosphokinase Increased"/>
    <x v="6"/>
    <n v="8"/>
  </r>
  <r>
    <s v="Pneumonia Cytomegaloviral"/>
    <x v="9"/>
    <n v="1"/>
  </r>
  <r>
    <s v="Ejection Fraction Decreased"/>
    <x v="4"/>
    <n v="9"/>
  </r>
  <r>
    <s v="Hepatomegaly"/>
    <x v="12"/>
    <n v="10"/>
  </r>
  <r>
    <s v="Adjusted Calcium Increased"/>
    <x v="7"/>
    <n v="5"/>
  </r>
  <r>
    <s v="Prothrombin Time Prolonged"/>
    <x v="1"/>
    <n v="10"/>
  </r>
  <r>
    <s v="Blood Fibrinogen Increased"/>
    <x v="1"/>
    <n v="7"/>
  </r>
  <r>
    <s v="Blood Phosphorus Increased"/>
    <x v="7"/>
    <n v="5"/>
  </r>
  <r>
    <s v="Activated Partial Thromboplastin Time Prolonged"/>
    <x v="1"/>
    <n v="5"/>
  </r>
  <r>
    <s v="Neutropenic Sepsis"/>
    <x v="1"/>
    <n v="7"/>
  </r>
  <r>
    <s v="Vitamin B12 Decreased"/>
    <x v="1"/>
    <n v="3"/>
  </r>
  <r>
    <s v="Escherichia Sepsis"/>
    <x v="23"/>
    <n v="1"/>
  </r>
  <r>
    <s v="Skin Cancer"/>
    <x v="11"/>
    <n v="2"/>
  </r>
  <r>
    <s v="Differential White Blood Cell Count Abnormal"/>
    <x v="1"/>
    <n v="1"/>
  </r>
  <r>
    <s v="Neutrophil Percentage Decreased"/>
    <x v="1"/>
    <n v="1"/>
  </r>
  <r>
    <s v="Lymphocyte Percentage Increased"/>
    <x v="1"/>
    <n v="1"/>
  </r>
  <r>
    <s v="Antineutrophil Cytoplasmic Antibody Positive"/>
    <x v="5"/>
    <n v="1"/>
  </r>
  <r>
    <s v="Distractibility"/>
    <x v="2"/>
    <n v="1"/>
  </r>
  <r>
    <s v="Reaction To Excipient"/>
    <x v="10"/>
    <n v="2"/>
  </r>
  <r>
    <s v="Coeliac Disease"/>
    <x v="8"/>
    <n v="2"/>
  </r>
  <r>
    <s v="Oral Mucosal Blistering"/>
    <x v="13"/>
    <n v="4"/>
  </r>
  <r>
    <s v="Bradyphrenia"/>
    <x v="2"/>
    <n v="4"/>
  </r>
  <r>
    <s v="Phlebitis"/>
    <x v="4"/>
    <n v="9"/>
  </r>
  <r>
    <s v="Dermatomyositis"/>
    <x v="6"/>
    <n v="1"/>
  </r>
  <r>
    <s v="Subdural Haematoma"/>
    <x v="2"/>
    <n v="2"/>
  </r>
  <r>
    <s v="Fracture"/>
    <x v="6"/>
    <n v="3"/>
  </r>
  <r>
    <s v="Cancer Pain"/>
    <x v="19"/>
    <n v="3"/>
  </r>
  <r>
    <s v="Bladder Irritation"/>
    <x v="3"/>
    <n v="1"/>
  </r>
  <r>
    <s v="Polyglandular Autoimmune Syndrome Type Ii"/>
    <x v="5"/>
    <n v="3"/>
  </r>
  <r>
    <s v="Hypophysitis"/>
    <x v="7"/>
    <n v="3"/>
  </r>
  <r>
    <s v="Cutaneous Vasculitis"/>
    <x v="11"/>
    <n v="5"/>
  </r>
  <r>
    <s v="Hepatic Necrosis"/>
    <x v="12"/>
    <n v="2"/>
  </r>
  <r>
    <s v="Staphylococcal Bacteraemia"/>
    <x v="23"/>
    <n v="5"/>
  </r>
  <r>
    <s v="Vulvovaginal Candidiasis"/>
    <x v="20"/>
    <n v="4"/>
  </r>
  <r>
    <s v="Temperature Regulation Disorder"/>
    <x v="7"/>
    <n v="4"/>
  </r>
  <r>
    <s v="Vitamin D Deficiency"/>
    <x v="7"/>
    <n v="6"/>
  </r>
  <r>
    <s v="Erythema Multiforme"/>
    <x v="11"/>
    <n v="7"/>
  </r>
  <r>
    <s v="Psychomotor Disadaptation Syndrome"/>
    <x v="18"/>
    <n v="4"/>
  </r>
  <r>
    <s v="Spondylolisthesis"/>
    <x v="6"/>
    <n v="6"/>
  </r>
  <r>
    <s v="Toxic Epidermal Necrolysis"/>
    <x v="11"/>
    <n v="13"/>
  </r>
  <r>
    <s v="Superinfection"/>
    <x v="23"/>
    <n v="4"/>
  </r>
  <r>
    <s v="Primary Hypothyroidism"/>
    <x v="7"/>
    <n v="4"/>
  </r>
  <r>
    <s v="Nasal Dryness"/>
    <x v="9"/>
    <n v="2"/>
  </r>
  <r>
    <s v="Bronchopulmonary Aspergillosis"/>
    <x v="9"/>
    <n v="2"/>
  </r>
  <r>
    <s v="Carbohydrate Antigen 15-3 Increased"/>
    <x v="20"/>
    <n v="9"/>
  </r>
  <r>
    <s v="Pulmonary Cavitation"/>
    <x v="9"/>
    <n v="1"/>
  </r>
  <r>
    <s v="Computerised Tomogram Abnormal"/>
    <x v="10"/>
    <n v="2"/>
  </r>
  <r>
    <s v="Atypical Mycobacterial Infection"/>
    <x v="23"/>
    <n v="1"/>
  </r>
  <r>
    <s v="Lactic Acidosis"/>
    <x v="17"/>
    <n v="11"/>
  </r>
  <r>
    <s v="Cholecystitis Infective"/>
    <x v="8"/>
    <n v="2"/>
  </r>
  <r>
    <s v="Enterocolitis"/>
    <x v="8"/>
    <n v="4"/>
  </r>
  <r>
    <s v="Carbon Dioxide Decreased"/>
    <x v="9"/>
    <n v="1"/>
  </r>
  <r>
    <s v="Blood Bilirubin Decreased"/>
    <x v="12"/>
    <n v="1"/>
  </r>
  <r>
    <s v="Peritonitis"/>
    <x v="8"/>
    <n v="8"/>
  </r>
  <r>
    <s v="Depersonalisation/Derealisation Disorder"/>
    <x v="18"/>
    <n v="1"/>
  </r>
  <r>
    <s v="Tendon Pain"/>
    <x v="6"/>
    <n v="1"/>
  </r>
  <r>
    <s v="Chapped Lips"/>
    <x v="13"/>
    <n v="6"/>
  </r>
  <r>
    <s v="Prescribed Underdose"/>
    <x v="10"/>
    <n v="9"/>
  </r>
  <r>
    <s v="Endometrial Adenocarcinoma"/>
    <x v="20"/>
    <n v="1"/>
  </r>
  <r>
    <s v="Paranoia"/>
    <x v="18"/>
    <n v="4"/>
  </r>
  <r>
    <s v="Female Reproductive Tract Disorder"/>
    <x v="20"/>
    <n v="1"/>
  </r>
  <r>
    <s v="Affect Lability"/>
    <x v="18"/>
    <n v="2"/>
  </r>
  <r>
    <s v="Sneezing"/>
    <x v="9"/>
    <n v="8"/>
  </r>
  <r>
    <s v="Stenosis"/>
    <x v="10"/>
    <n v="1"/>
  </r>
  <r>
    <s v="Irritability"/>
    <x v="18"/>
    <n v="13"/>
  </r>
  <r>
    <s v="Thyrotoxic Crisis"/>
    <x v="7"/>
    <n v="1"/>
  </r>
  <r>
    <s v="Pharyngitis Streptococcal"/>
    <x v="9"/>
    <n v="1"/>
  </r>
  <r>
    <s v="Thirst"/>
    <x v="17"/>
    <n v="8"/>
  </r>
  <r>
    <s v="Hernia"/>
    <x v="10"/>
    <n v="3"/>
  </r>
  <r>
    <s v="Ketoacidosis"/>
    <x v="17"/>
    <n v="1"/>
  </r>
  <r>
    <s v="Bladder Disorder"/>
    <x v="3"/>
    <n v="5"/>
  </r>
  <r>
    <s v="Uterine Infection"/>
    <x v="20"/>
    <n v="1"/>
  </r>
  <r>
    <s v="Lens Dislocation"/>
    <x v="0"/>
    <n v="2"/>
  </r>
  <r>
    <s v="Ventricular Flutter"/>
    <x v="4"/>
    <n v="1"/>
  </r>
  <r>
    <s v="Soft Tissue Necrosis"/>
    <x v="11"/>
    <n v="1"/>
  </r>
  <r>
    <s v="Tooth Development Disorder"/>
    <x v="13"/>
    <n v="4"/>
  </r>
  <r>
    <s v="Nasal Crusting"/>
    <x v="9"/>
    <n v="1"/>
  </r>
  <r>
    <s v="Hypercholesterolaemia"/>
    <x v="17"/>
    <n v="6"/>
  </r>
  <r>
    <s v="Blood Loss Anaemia"/>
    <x v="1"/>
    <n v="3"/>
  </r>
  <r>
    <s v="Red Blood Cell Transfusion"/>
    <x v="1"/>
    <n v="1"/>
  </r>
  <r>
    <s v="Hepatic Cirrhosis"/>
    <x v="12"/>
    <n v="2"/>
  </r>
  <r>
    <s v="Groin Pain"/>
    <x v="6"/>
    <n v="5"/>
  </r>
  <r>
    <s v="Glassy Eyes"/>
    <x v="0"/>
    <n v="1"/>
  </r>
  <r>
    <s v="Upper-Airway Cough Syndrome"/>
    <x v="9"/>
    <n v="1"/>
  </r>
  <r>
    <s v="Quadriplegia"/>
    <x v="2"/>
    <n v="1"/>
  </r>
  <r>
    <s v="Post Procedural Inflammation"/>
    <x v="10"/>
    <n v="1"/>
  </r>
  <r>
    <s v="Frustration Tolerance Decreased"/>
    <x v="18"/>
    <n v="1"/>
  </r>
  <r>
    <s v="Nephrostomy"/>
    <x v="3"/>
    <n v="1"/>
  </r>
  <r>
    <s v="Impaired Work Ability"/>
    <x v="10"/>
    <n v="4"/>
  </r>
  <r>
    <s v="Vascular Rupture"/>
    <x v="4"/>
    <n v="1"/>
  </r>
  <r>
    <s v="Retinal Vascular Disorder"/>
    <x v="0"/>
    <n v="2"/>
  </r>
  <r>
    <s v="Pelvic Venous Thrombosis"/>
    <x v="4"/>
    <n v="3"/>
  </r>
  <r>
    <s v="Miliaria"/>
    <x v="11"/>
    <n v="3"/>
  </r>
  <r>
    <s v="Thermal Burn"/>
    <x v="11"/>
    <n v="3"/>
  </r>
  <r>
    <s v="Micturition Urgency"/>
    <x v="3"/>
    <n v="10"/>
  </r>
  <r>
    <s v="Urine Ketone Body Present"/>
    <x v="3"/>
    <n v="3"/>
  </r>
  <r>
    <s v="Vasculitic Rash"/>
    <x v="11"/>
    <n v="5"/>
  </r>
  <r>
    <s v="Sjogren's Syndrome"/>
    <x v="5"/>
    <n v="5"/>
  </r>
  <r>
    <s v="Coma"/>
    <x v="2"/>
    <n v="7"/>
  </r>
  <r>
    <s v="Blood Immunoglobulin G Increased"/>
    <x v="5"/>
    <n v="1"/>
  </r>
  <r>
    <s v="High Density Lipoprotein Decreased"/>
    <x v="17"/>
    <n v="2"/>
  </r>
  <r>
    <s v="Scoliosis"/>
    <x v="6"/>
    <n v="1"/>
  </r>
  <r>
    <s v="Lordosis"/>
    <x v="6"/>
    <n v="1"/>
  </r>
  <r>
    <s v="Osteochondrosis"/>
    <x v="6"/>
    <n v="3"/>
  </r>
  <r>
    <s v="Suffocation Feeling"/>
    <x v="9"/>
    <n v="1"/>
  </r>
  <r>
    <s v="Blood Immunoglobulin A Increased"/>
    <x v="5"/>
    <n v="1"/>
  </r>
  <r>
    <s v="Low Density Lipoprotein Increased"/>
    <x v="17"/>
    <n v="5"/>
  </r>
  <r>
    <s v="Spinal Osteoarthritis"/>
    <x v="6"/>
    <n v="8"/>
  </r>
  <r>
    <s v="Scar Pain"/>
    <x v="11"/>
    <n v="2"/>
  </r>
  <r>
    <s v="Foreign Body Sensation In Eyes"/>
    <x v="0"/>
    <n v="1"/>
  </r>
  <r>
    <s v="Hyperuricaemia"/>
    <x v="17"/>
    <n v="3"/>
  </r>
  <r>
    <s v="Fractured Sacrum"/>
    <x v="6"/>
    <n v="3"/>
  </r>
  <r>
    <s v="Abdominal Tenderness"/>
    <x v="8"/>
    <n v="2"/>
  </r>
  <r>
    <s v="Squamous Cell Carcinoma Of The Hypopharynx"/>
    <x v="9"/>
    <n v="1"/>
  </r>
  <r>
    <s v="Bacterial Test Positive"/>
    <x v="23"/>
    <n v="1"/>
  </r>
  <r>
    <s v="Brain Neoplasm"/>
    <x v="2"/>
    <n v="1"/>
  </r>
  <r>
    <s v="Migraine With Aura"/>
    <x v="2"/>
    <n v="4"/>
  </r>
  <r>
    <s v="Hair Growth Rate Abnormal"/>
    <x v="27"/>
    <n v="1"/>
  </r>
  <r>
    <s v="Cor Pulmonale Acute"/>
    <x v="28"/>
    <n v="10"/>
  </r>
  <r>
    <s v="Cardiorenal Syndrome"/>
    <x v="29"/>
    <n v="9"/>
  </r>
  <r>
    <s v="Implant Site Pain"/>
    <x v="6"/>
    <n v="2"/>
  </r>
  <r>
    <s v="Gastroduodenal Ulcer"/>
    <x v="8"/>
    <n v="6"/>
  </r>
  <r>
    <s v="Disorientation"/>
    <x v="2"/>
    <n v="5"/>
  </r>
  <r>
    <s v="Skin Necrosis"/>
    <x v="27"/>
    <n v="3"/>
  </r>
  <r>
    <s v="Activated Partial Thromboplastin Time Shortened"/>
    <x v="30"/>
    <n v="1"/>
  </r>
  <r>
    <s v="Blood Urea Decreased"/>
    <x v="25"/>
    <n v="6"/>
  </r>
  <r>
    <s v="Red Blood Cells Urine Positive"/>
    <x v="25"/>
    <n v="2"/>
  </r>
  <r>
    <s v="Presyncope"/>
    <x v="4"/>
    <n v="7"/>
  </r>
  <r>
    <s v="Pulmonary Thrombosis"/>
    <x v="9"/>
    <n v="5"/>
  </r>
  <r>
    <s v="Joint Range Of Motion Decreased"/>
    <x v="6"/>
    <n v="6"/>
  </r>
  <r>
    <s v="Small Intestinal Haemorrhage"/>
    <x v="8"/>
    <n v="2"/>
  </r>
  <r>
    <s v="Blood Magnesium Increased"/>
    <x v="30"/>
    <n v="1"/>
  </r>
  <r>
    <s v="Pulmonary Haemorrhage"/>
    <x v="9"/>
    <n v="2"/>
  </r>
  <r>
    <s v="Tooth Extraction"/>
    <x v="13"/>
    <n v="9"/>
  </r>
  <r>
    <s v="Hospice Care"/>
    <x v="31"/>
    <n v="1"/>
  </r>
  <r>
    <s v="Adverse Event"/>
    <x v="31"/>
    <n v="1"/>
  </r>
  <r>
    <s v="Dysmenorrhoea"/>
    <x v="20"/>
    <n v="1"/>
  </r>
  <r>
    <s v="Intermenstrual Bleeding"/>
    <x v="20"/>
    <n v="4"/>
  </r>
  <r>
    <s v="Gastrointestinal Sounds Abnormal"/>
    <x v="8"/>
    <n v="2"/>
  </r>
  <r>
    <s v="Thinking Abnormal"/>
    <x v="2"/>
    <n v="4"/>
  </r>
  <r>
    <s v="Hilar Lymphadenopathy"/>
    <x v="16"/>
    <n v="2"/>
  </r>
  <r>
    <s v="Haemorrhoidal Haemorrhage"/>
    <x v="8"/>
    <n v="2"/>
  </r>
  <r>
    <s v="Carbohydrate Antigen 27.29 Increased"/>
    <x v="31"/>
    <n v="4"/>
  </r>
  <r>
    <s v="Aortic Valve Thickening"/>
    <x v="4"/>
    <n v="2"/>
  </r>
  <r>
    <s v="Lymphadenopathy Mediastinal"/>
    <x v="16"/>
    <n v="4"/>
  </r>
  <r>
    <s v="Metastases To Meninges"/>
    <x v="32"/>
    <n v="3"/>
  </r>
  <r>
    <s v="Mitral Valve Thickening"/>
    <x v="4"/>
    <n v="2"/>
  </r>
  <r>
    <s v="Mean Cell Haemoglobin Concentration Increased"/>
    <x v="30"/>
    <n v="3"/>
  </r>
  <r>
    <s v="Radiation Associated Pain"/>
    <x v="31"/>
    <n v="2"/>
  </r>
  <r>
    <s v="Lymphocyte Count Increased"/>
    <x v="5"/>
    <n v="4"/>
  </r>
  <r>
    <s v="Aortic Valve Sclerosis"/>
    <x v="4"/>
    <n v="3"/>
  </r>
  <r>
    <s v="Mitral Valve Calcification"/>
    <x v="4"/>
    <n v="4"/>
  </r>
  <r>
    <s v="Urobilinogen Urine Increased"/>
    <x v="33"/>
    <n v="2"/>
  </r>
  <r>
    <s v="Mean Cell Haemoglobin Decreased"/>
    <x v="30"/>
    <n v="2"/>
  </r>
  <r>
    <s v="Platelet Count Increased"/>
    <x v="30"/>
    <n v="5"/>
  </r>
  <r>
    <s v="Non-High-Density Lipoprotein Cholesterol Increased"/>
    <x v="30"/>
    <n v="2"/>
  </r>
  <r>
    <s v="Blood Chloride Decreased"/>
    <x v="30"/>
    <n v="7"/>
  </r>
  <r>
    <s v="Metaplastic Breast Carcinoma"/>
    <x v="34"/>
    <n v="1"/>
  </r>
  <r>
    <s v="Strangulated Hernia"/>
    <x v="8"/>
    <n v="1"/>
  </r>
  <r>
    <s v="Non-Small Cell Lung Cancer"/>
    <x v="9"/>
    <n v="2"/>
  </r>
  <r>
    <s v="Effusion"/>
    <x v="31"/>
    <n v="1"/>
  </r>
  <r>
    <s v="Wound Infection"/>
    <x v="27"/>
    <n v="1"/>
  </r>
  <r>
    <s v="Dengue Fever"/>
    <x v="6"/>
    <n v="1"/>
  </r>
  <r>
    <s v="Increased Appetite"/>
    <x v="31"/>
    <n v="2"/>
  </r>
  <r>
    <s v="Squamous Cell Carcinoma Of Lung"/>
    <x v="9"/>
    <n v="1"/>
  </r>
  <r>
    <s v="Metastatic Neoplasm"/>
    <x v="31"/>
    <n v="1"/>
  </r>
  <r>
    <s v="Breast Cancer Stage Iv"/>
    <x v="34"/>
    <n v="8"/>
  </r>
  <r>
    <s v="Diabetic Metabolic Decompensation"/>
    <x v="7"/>
    <n v="1"/>
  </r>
  <r>
    <s v="Fungal Foot Infection"/>
    <x v="27"/>
    <n v="1"/>
  </r>
  <r>
    <s v="Cold Sweat"/>
    <x v="27"/>
    <n v="2"/>
  </r>
  <r>
    <s v="Deformity"/>
    <x v="6"/>
    <n v="1"/>
  </r>
  <r>
    <s v="Disability"/>
    <x v="31"/>
    <n v="1"/>
  </r>
  <r>
    <s v="Rheumatoid Factor Positive"/>
    <x v="5"/>
    <n v="1"/>
  </r>
  <r>
    <s v="Rheumatoid Factor Increased"/>
    <x v="5"/>
    <n v="1"/>
  </r>
  <r>
    <s v="Ischaemic Cerebral Infarction"/>
    <x v="2"/>
    <n v="1"/>
  </r>
  <r>
    <s v="Obstructive Airways Disorder"/>
    <x v="9"/>
    <n v="1"/>
  </r>
  <r>
    <s v="Eye Movement Disorder"/>
    <x v="2"/>
    <n v="1"/>
  </r>
  <r>
    <s v="Hair Disorder"/>
    <x v="27"/>
    <n v="2"/>
  </r>
  <r>
    <s v="Clostridium Difficile Infection"/>
    <x v="8"/>
    <n v="4"/>
  </r>
  <r>
    <s v="Pigmentation Disorder"/>
    <x v="27"/>
    <n v="2"/>
  </r>
  <r>
    <s v="Myelitis"/>
    <x v="2"/>
    <n v="1"/>
  </r>
  <r>
    <s v="Nail Growth Abnormal"/>
    <x v="27"/>
    <n v="7"/>
  </r>
  <r>
    <s v="Cochlea Implant"/>
    <x v="35"/>
    <n v="1"/>
  </r>
  <r>
    <s v="Food Aversion"/>
    <x v="8"/>
    <n v="1"/>
  </r>
  <r>
    <s v="Deafness Bilateral"/>
    <x v="35"/>
    <n v="2"/>
  </r>
  <r>
    <s v="Tachyphrenia"/>
    <x v="2"/>
    <n v="1"/>
  </r>
  <r>
    <s v="Synovial Cyst"/>
    <x v="6"/>
    <n v="1"/>
  </r>
  <r>
    <s v="Limb Mass"/>
    <x v="6"/>
    <n v="1"/>
  </r>
  <r>
    <s v="Post Herpetic Neuralgia"/>
    <x v="2"/>
    <n v="1"/>
  </r>
  <r>
    <s v="Urethral Haemorrhage"/>
    <x v="3"/>
    <n v="1"/>
  </r>
  <r>
    <s v="Rib Fracture"/>
    <x v="6"/>
    <n v="6"/>
  </r>
  <r>
    <s v="Oesophageal Varices Haemorrhage"/>
    <x v="8"/>
    <n v="1"/>
  </r>
  <r>
    <s v="Acute Lymphocytic Leukaemia"/>
    <x v="1"/>
    <n v="1"/>
  </r>
  <r>
    <s v="Cardiac Valve Disease"/>
    <x v="4"/>
    <n v="2"/>
  </r>
  <r>
    <s v="Hyperlipidaemia"/>
    <x v="17"/>
    <n v="3"/>
  </r>
  <r>
    <s v="Aortic Valve Incompetence"/>
    <x v="4"/>
    <n v="5"/>
  </r>
  <r>
    <s v="Cardiac Murmur"/>
    <x v="4"/>
    <n v="1"/>
  </r>
  <r>
    <s v="Supraventricular Extrasystoles"/>
    <x v="4"/>
    <n v="3"/>
  </r>
  <r>
    <s v="Cardiothoracic Ratio Increased"/>
    <x v="4"/>
    <n v="1"/>
  </r>
  <r>
    <s v="Pulmonary Arterial Pressure Increased"/>
    <x v="4"/>
    <n v="1"/>
  </r>
  <r>
    <s v="Cardiomegaly"/>
    <x v="4"/>
    <n v="4"/>
  </r>
  <r>
    <s v="Vascular Calcification"/>
    <x v="4"/>
    <n v="1"/>
  </r>
  <r>
    <s v="Dysaesthesia"/>
    <x v="2"/>
    <n v="15"/>
  </r>
  <r>
    <s v="Mastectomy"/>
    <x v="34"/>
    <n v="12"/>
  </r>
  <r>
    <s v="Coronary Artery Disease"/>
    <x v="4"/>
    <n v="4"/>
  </r>
  <r>
    <s v="Jc Virus Infection"/>
    <x v="2"/>
    <n v="3"/>
  </r>
  <r>
    <s v="Progressive Multifocal Leukoencephalopathy"/>
    <x v="2"/>
    <n v="6"/>
  </r>
  <r>
    <s v="Bronchospasm"/>
    <x v="9"/>
    <n v="2"/>
  </r>
  <r>
    <s v="Product Administration Error"/>
    <x v="31"/>
    <n v="1"/>
  </r>
  <r>
    <s v="Product Storage Error"/>
    <x v="31"/>
    <n v="3"/>
  </r>
  <r>
    <s v="Musculoskeletal Disorder"/>
    <x v="6"/>
    <n v="3"/>
  </r>
  <r>
    <s v="Transient Ischaemic Attack"/>
    <x v="2"/>
    <n v="17"/>
  </r>
  <r>
    <s v="Hepatic Neoplasm"/>
    <x v="33"/>
    <n v="1"/>
  </r>
  <r>
    <s v="Neurological Symptom"/>
    <x v="2"/>
    <n v="4"/>
  </r>
  <r>
    <s v="Metabolic Function Test Abnormal"/>
    <x v="17"/>
    <n v="1"/>
  </r>
  <r>
    <s v="Positron Emission Tomogram Abnormal"/>
    <x v="2"/>
    <n v="1"/>
  </r>
  <r>
    <s v="Malignant Pleural Effusion"/>
    <x v="9"/>
    <n v="7"/>
  </r>
  <r>
    <s v="Empyema"/>
    <x v="9"/>
    <n v="1"/>
  </r>
  <r>
    <s v="Pneumonia Influenzal"/>
    <x v="9"/>
    <n v="1"/>
  </r>
  <r>
    <s v="Staphylococcal Infection"/>
    <x v="27"/>
    <n v="5"/>
  </r>
  <r>
    <s v="Product Residue Present"/>
    <x v="31"/>
    <n v="1"/>
  </r>
  <r>
    <s v="Abscess Jaw"/>
    <x v="13"/>
    <n v="3"/>
  </r>
  <r>
    <s v="Parosmia"/>
    <x v="2"/>
    <n v="1"/>
  </r>
  <r>
    <s v="Oropharyngeal Spasm"/>
    <x v="2"/>
    <n v="1"/>
  </r>
  <r>
    <s v="Sensitive Skin"/>
    <x v="27"/>
    <n v="1"/>
  </r>
  <r>
    <s v="Opportunistic Infection"/>
    <x v="5"/>
    <n v="1"/>
  </r>
  <r>
    <s v="Treatment Noncompliance"/>
    <x v="31"/>
    <n v="12"/>
  </r>
  <r>
    <s v="Hyperparathyroidism"/>
    <x v="7"/>
    <n v="4"/>
  </r>
  <r>
    <s v="Hunger"/>
    <x v="17"/>
    <n v="4"/>
  </r>
  <r>
    <s v="Uterine Spasm"/>
    <x v="20"/>
    <n v="1"/>
  </r>
  <r>
    <s v="Eye Pruritus"/>
    <x v="36"/>
    <n v="3"/>
  </r>
  <r>
    <s v="Mania"/>
    <x v="18"/>
    <n v="1"/>
  </r>
  <r>
    <s v="Idiopathic Pulmonary Fibrosis"/>
    <x v="9"/>
    <n v="1"/>
  </r>
  <r>
    <s v="Folliculitis"/>
    <x v="27"/>
    <n v="5"/>
  </r>
  <r>
    <s v="Bone Marrow Oedema Syndrome"/>
    <x v="1"/>
    <n v="4"/>
  </r>
  <r>
    <s v="Stress Fracture"/>
    <x v="6"/>
    <n v="4"/>
  </r>
  <r>
    <s v="Erythema Nodosum"/>
    <x v="27"/>
    <n v="4"/>
  </r>
  <r>
    <s v="Back Disorder"/>
    <x v="6"/>
    <n v="2"/>
  </r>
  <r>
    <s v="Sequestrectomy"/>
    <x v="6"/>
    <n v="2"/>
  </r>
  <r>
    <s v="Abscess Oral"/>
    <x v="13"/>
    <n v="1"/>
  </r>
  <r>
    <s v="Creutzfeldt-Jakob Disease"/>
    <x v="2"/>
    <n v="2"/>
  </r>
  <r>
    <s v="Fine Motor Skill Dysfunction"/>
    <x v="2"/>
    <n v="1"/>
  </r>
  <r>
    <s v="Granulocyte Count Decreased"/>
    <x v="1"/>
    <n v="6"/>
  </r>
  <r>
    <s v="Vaginal Operation"/>
    <x v="20"/>
    <n v="1"/>
  </r>
  <r>
    <s v="Tuberculosis"/>
    <x v="9"/>
    <n v="1"/>
  </r>
  <r>
    <s v="Helicobacter Gastritis"/>
    <x v="8"/>
    <n v="1"/>
  </r>
  <r>
    <s v="Enterovesical Fistula"/>
    <x v="37"/>
    <n v="1"/>
  </r>
  <r>
    <s v="Respiratory Symptom"/>
    <x v="9"/>
    <n v="1"/>
  </r>
  <r>
    <s v="Weight Gain Poor"/>
    <x v="17"/>
    <n v="1"/>
  </r>
  <r>
    <s v="Uterine Malposition"/>
    <x v="20"/>
    <n v="2"/>
  </r>
  <r>
    <s v="Retroperitoneal Lymphadenopathy"/>
    <x v="16"/>
    <n v="2"/>
  </r>
  <r>
    <s v="Retroperitoneal Neoplasm"/>
    <x v="8"/>
    <n v="2"/>
  </r>
  <r>
    <s v="Bronchial Obstruction"/>
    <x v="9"/>
    <n v="2"/>
  </r>
  <r>
    <s v="Adrenal Adenoma"/>
    <x v="7"/>
    <n v="2"/>
  </r>
  <r>
    <s v="Vasodilatation"/>
    <x v="4"/>
    <n v="2"/>
  </r>
  <r>
    <s v="Breast Cancer Stage I"/>
    <x v="34"/>
    <n v="1"/>
  </r>
  <r>
    <s v="Blood Oestrogen Increased"/>
    <x v="7"/>
    <n v="1"/>
  </r>
  <r>
    <s v="Periodontitis"/>
    <x v="13"/>
    <n v="2"/>
  </r>
  <r>
    <s v="Bartter's Syndrome"/>
    <x v="25"/>
    <n v="1"/>
  </r>
  <r>
    <s v="Appendicitis"/>
    <x v="8"/>
    <n v="1"/>
  </r>
  <r>
    <s v="Hepatitis E Antibody Positive"/>
    <x v="33"/>
    <n v="1"/>
  </r>
  <r>
    <s v="Blood Creatine Increased"/>
    <x v="25"/>
    <n v="3"/>
  </r>
  <r>
    <s v="Cells In Urine"/>
    <x v="3"/>
    <n v="1"/>
  </r>
  <r>
    <s v="Sacralisation"/>
    <x v="6"/>
    <n v="2"/>
  </r>
  <r>
    <s v="Hyperreflexia"/>
    <x v="2"/>
    <n v="2"/>
  </r>
  <r>
    <s v="Ataxia"/>
    <x v="2"/>
    <n v="2"/>
  </r>
  <r>
    <s v="Wernicke's Encephalopathy"/>
    <x v="2"/>
    <n v="2"/>
  </r>
  <r>
    <s v="Tumour Thrombosis"/>
    <x v="4"/>
    <n v="1"/>
  </r>
  <r>
    <s v="Cholecystitis Acute"/>
    <x v="8"/>
    <n v="2"/>
  </r>
  <r>
    <s v="Liver Tenderness"/>
    <x v="33"/>
    <n v="1"/>
  </r>
  <r>
    <s v="Psychomotor Hyperactivity"/>
    <x v="2"/>
    <n v="1"/>
  </r>
  <r>
    <s v="Hepatitis Acute"/>
    <x v="33"/>
    <n v="1"/>
  </r>
  <r>
    <s v="Encephalitis"/>
    <x v="2"/>
    <n v="2"/>
  </r>
  <r>
    <s v="Alanine Aminotransferase"/>
    <x v="33"/>
    <n v="1"/>
  </r>
  <r>
    <s v="Hair Growth Abnormal"/>
    <x v="27"/>
    <n v="4"/>
  </r>
  <r>
    <s v="Genito-Pelvic Pain/Penetration Disorder"/>
    <x v="20"/>
    <n v="1"/>
  </r>
  <r>
    <s v="Hallucination"/>
    <x v="18"/>
    <n v="10"/>
  </r>
  <r>
    <s v="Psychotic Disorder"/>
    <x v="18"/>
    <n v="2"/>
  </r>
  <r>
    <s v="Optic Nerve Disorder"/>
    <x v="36"/>
    <n v="1"/>
  </r>
  <r>
    <s v="Vulvovaginal Pain"/>
    <x v="20"/>
    <n v="1"/>
  </r>
  <r>
    <s v="Radius Fracture"/>
    <x v="6"/>
    <n v="10"/>
  </r>
  <r>
    <s v="Visual Field Defect"/>
    <x v="36"/>
    <n v="2"/>
  </r>
  <r>
    <s v="Peripheral Arterial Occlusive Disease"/>
    <x v="4"/>
    <n v="3"/>
  </r>
  <r>
    <s v="Peripheral Artery Stenosis"/>
    <x v="4"/>
    <n v="3"/>
  </r>
  <r>
    <s v="Abscess Limb"/>
    <x v="27"/>
    <n v="1"/>
  </r>
  <r>
    <s v="Adenocarcinoma"/>
    <x v="31"/>
    <n v="3"/>
  </r>
  <r>
    <s v="Blood Bicarbonate Increased"/>
    <x v="17"/>
    <n v="1"/>
  </r>
  <r>
    <s v="Traumatic Lung Injury"/>
    <x v="9"/>
    <n v="1"/>
  </r>
  <r>
    <s v="Anion Gap Decreased"/>
    <x v="17"/>
    <n v="1"/>
  </r>
  <r>
    <s v="Klebsiella Bacteraemia"/>
    <x v="30"/>
    <n v="1"/>
  </r>
  <r>
    <s v="Ecchymosis"/>
    <x v="27"/>
    <n v="1"/>
  </r>
  <r>
    <s v="Enterococcal Infection"/>
    <x v="27"/>
    <n v="1"/>
  </r>
  <r>
    <s v="Peptostreptococcus Infection"/>
    <x v="27"/>
    <n v="1"/>
  </r>
  <r>
    <s v="Alcohol Interaction"/>
    <x v="31"/>
    <n v="8"/>
  </r>
  <r>
    <s v="Breast Haemorrhage"/>
    <x v="34"/>
    <n v="1"/>
  </r>
  <r>
    <s v="Soft Tissue Disorder"/>
    <x v="6"/>
    <n v="2"/>
  </r>
  <r>
    <s v="Skin Ulcer"/>
    <x v="27"/>
    <n v="4"/>
  </r>
  <r>
    <s v="Respiratory Rate Increased"/>
    <x v="9"/>
    <n v="3"/>
  </r>
  <r>
    <s v="Varicella"/>
    <x v="27"/>
    <n v="2"/>
  </r>
  <r>
    <s v="Thalamic Infarction"/>
    <x v="2"/>
    <n v="1"/>
  </r>
  <r>
    <s v="Cholecystitis"/>
    <x v="8"/>
    <n v="2"/>
  </r>
  <r>
    <s v="Breath Sounds Abnormal"/>
    <x v="9"/>
    <n v="3"/>
  </r>
  <r>
    <s v="Odynophagia"/>
    <x v="8"/>
    <n v="1"/>
  </r>
  <r>
    <s v="Platelet Distribution Width Increased"/>
    <x v="30"/>
    <n v="1"/>
  </r>
  <r>
    <s v="Haematocrit Increased"/>
    <x v="30"/>
    <n v="2"/>
  </r>
  <r>
    <s v="Scapula Fracture"/>
    <x v="6"/>
    <n v="3"/>
  </r>
  <r>
    <s v="Essential Hypertension"/>
    <x v="4"/>
    <n v="3"/>
  </r>
  <r>
    <s v="Catheterisation Cardiac"/>
    <x v="4"/>
    <n v="3"/>
  </r>
  <r>
    <s v="Peripheral Venous Disease"/>
    <x v="4"/>
    <n v="3"/>
  </r>
  <r>
    <s v="Electrocardiogram T Wave Abnormal"/>
    <x v="4"/>
    <n v="1"/>
  </r>
  <r>
    <s v="Nail Discolouration"/>
    <x v="27"/>
    <n v="1"/>
  </r>
  <r>
    <s v="Lymphangiosis Carcinomatosa"/>
    <x v="16"/>
    <n v="2"/>
  </r>
  <r>
    <s v="Bone Marrow Failure"/>
    <x v="1"/>
    <n v="3"/>
  </r>
  <r>
    <s v="Nail Ridging"/>
    <x v="27"/>
    <n v="1"/>
  </r>
  <r>
    <s v="Impaired Quality Of Life"/>
    <x v="31"/>
    <n v="1"/>
  </r>
  <r>
    <s v="Feeling Of Body Temperature Change"/>
    <x v="2"/>
    <n v="2"/>
  </r>
  <r>
    <s v="Clumsiness"/>
    <x v="2"/>
    <n v="2"/>
  </r>
  <r>
    <s v="Renal Hamartoma"/>
    <x v="25"/>
    <n v="3"/>
  </r>
  <r>
    <s v="Tumour Haemorrhage"/>
    <x v="31"/>
    <n v="3"/>
  </r>
  <r>
    <s v="Dermatitis Acneiform"/>
    <x v="27"/>
    <n v="1"/>
  </r>
  <r>
    <s v="Body Temperature Increased"/>
    <x v="2"/>
    <n v="8"/>
  </r>
  <r>
    <s v="Infective Exacerbation Of Chronic Obstructive Airways Disease"/>
    <x v="9"/>
    <n v="1"/>
  </r>
  <r>
    <s v="Arteriosclerosis Coronary Artery"/>
    <x v="4"/>
    <n v="3"/>
  </r>
  <r>
    <s v="Carotid Artery Thrombosis"/>
    <x v="4"/>
    <n v="1"/>
  </r>
  <r>
    <s v="Haemorrhage Intracranial"/>
    <x v="2"/>
    <n v="2"/>
  </r>
  <r>
    <s v="Flushing"/>
    <x v="27"/>
    <n v="4"/>
  </r>
  <r>
    <s v="Basal Cell Carcinoma"/>
    <x v="27"/>
    <n v="3"/>
  </r>
  <r>
    <s v="Thyroid Cancer"/>
    <x v="7"/>
    <n v="3"/>
  </r>
  <r>
    <s v="Lumbar Spinal Stenosis"/>
    <x v="2"/>
    <n v="4"/>
  </r>
  <r>
    <s v="Diabetic Neuropathy"/>
    <x v="2"/>
    <n v="2"/>
  </r>
  <r>
    <s v="Gastrointestinal Necrosis"/>
    <x v="8"/>
    <n v="1"/>
  </r>
  <r>
    <s v="Hernia Repair"/>
    <x v="22"/>
    <n v="1"/>
  </r>
  <r>
    <s v="Blood Magnesium Abnormal"/>
    <x v="17"/>
    <n v="1"/>
  </r>
  <r>
    <s v="Parathyroid Disorder"/>
    <x v="7"/>
    <n v="1"/>
  </r>
  <r>
    <s v="Unresponsive To Stimuli"/>
    <x v="2"/>
    <n v="2"/>
  </r>
  <r>
    <s v="Hypergammaglobulinaemia"/>
    <x v="5"/>
    <n v="1"/>
  </r>
  <r>
    <s v="Depressive Symptom"/>
    <x v="18"/>
    <n v="1"/>
  </r>
  <r>
    <s v="Hyperproteinaemia"/>
    <x v="17"/>
    <n v="1"/>
  </r>
  <r>
    <s v="Tumour Flare"/>
    <x v="31"/>
    <n v="1"/>
  </r>
  <r>
    <s v="Cataract Operation"/>
    <x v="36"/>
    <n v="8"/>
  </r>
  <r>
    <s v="Blood Oestrogen Decreased"/>
    <x v="7"/>
    <n v="1"/>
  </r>
  <r>
    <s v="Hemianopia Homonymous"/>
    <x v="2"/>
    <n v="3"/>
  </r>
  <r>
    <s v="Hypocapnia"/>
    <x v="9"/>
    <n v="1"/>
  </r>
  <r>
    <s v="Encephalomalacia"/>
    <x v="2"/>
    <n v="1"/>
  </r>
  <r>
    <s v="Abnormal Loss Of Weight"/>
    <x v="17"/>
    <n v="2"/>
  </r>
  <r>
    <s v="Pleural Disorder"/>
    <x v="9"/>
    <n v="1"/>
  </r>
  <r>
    <s v="Metastases To The Mediastinum"/>
    <x v="16"/>
    <n v="2"/>
  </r>
  <r>
    <s v="Horner's Syndrome"/>
    <x v="2"/>
    <n v="1"/>
  </r>
  <r>
    <s v="Superficial Injury Of Eye"/>
    <x v="36"/>
    <n v="1"/>
  </r>
  <r>
    <s v="Eye Oedema"/>
    <x v="36"/>
    <n v="2"/>
  </r>
  <r>
    <s v="Plantar Fasciitis"/>
    <x v="6"/>
    <n v="1"/>
  </r>
  <r>
    <s v="Ovarian Adenoma"/>
    <x v="20"/>
    <n v="1"/>
  </r>
  <r>
    <s v="Appendix Disorder"/>
    <x v="8"/>
    <n v="1"/>
  </r>
  <r>
    <s v="Cerebral Arteriosclerosis"/>
    <x v="2"/>
    <n v="2"/>
  </r>
  <r>
    <s v="Retinal Haemorrhage"/>
    <x v="36"/>
    <n v="8"/>
  </r>
  <r>
    <s v="Chemotherapy"/>
    <x v="31"/>
    <n v="1"/>
  </r>
  <r>
    <s v="Left Ventricular Failure"/>
    <x v="4"/>
    <n v="3"/>
  </r>
  <r>
    <s v="Suspected Counterfeit Product"/>
    <x v="31"/>
    <n v="1"/>
  </r>
  <r>
    <s v="Finger Deformity"/>
    <x v="6"/>
    <n v="2"/>
  </r>
  <r>
    <s v="Retching"/>
    <x v="8"/>
    <n v="2"/>
  </r>
  <r>
    <s v="Heart Rate Abnormal"/>
    <x v="4"/>
    <n v="1"/>
  </r>
  <r>
    <s v="Breast Tenderness"/>
    <x v="34"/>
    <n v="3"/>
  </r>
  <r>
    <s v="Adjustment Disorder With Depressed Mood"/>
    <x v="18"/>
    <n v="1"/>
  </r>
  <r>
    <s v="Endometrial Thickening"/>
    <x v="20"/>
    <n v="1"/>
  </r>
  <r>
    <s v="Endometrial Atrophy"/>
    <x v="20"/>
    <n v="2"/>
  </r>
  <r>
    <s v="Endometrial Disorder"/>
    <x v="20"/>
    <n v="5"/>
  </r>
  <r>
    <s v="Blood Bicarbonate Decreased"/>
    <x v="17"/>
    <n v="1"/>
  </r>
  <r>
    <s v="Colitis Ischaemic"/>
    <x v="8"/>
    <n v="2"/>
  </r>
  <r>
    <s v="Intestinal Infarction"/>
    <x v="8"/>
    <n v="1"/>
  </r>
  <r>
    <s v="Facial Pain"/>
    <x v="2"/>
    <n v="1"/>
  </r>
  <r>
    <s v="Tongue Ulceration"/>
    <x v="13"/>
    <n v="1"/>
  </r>
  <r>
    <s v="Blood Glucose Decreased"/>
    <x v="17"/>
    <n v="3"/>
  </r>
  <r>
    <s v="Kidney Infection"/>
    <x v="25"/>
    <n v="1"/>
  </r>
  <r>
    <s v="Urine Analysis Abnormal"/>
    <x v="25"/>
    <n v="1"/>
  </r>
  <r>
    <s v="Skin Turgor Decreased"/>
    <x v="27"/>
    <n v="1"/>
  </r>
  <r>
    <s v="Recurrent Cancer"/>
    <x v="31"/>
    <n v="5"/>
  </r>
  <r>
    <s v="Sudden Hearing Loss"/>
    <x v="35"/>
    <n v="1"/>
  </r>
  <r>
    <s v="Poor Peripheral Circulation"/>
    <x v="4"/>
    <n v="1"/>
  </r>
  <r>
    <s v="Stent Placement"/>
    <x v="4"/>
    <n v="4"/>
  </r>
  <r>
    <s v="Functional Gastrointestinal Disorder"/>
    <x v="8"/>
    <n v="1"/>
  </r>
  <r>
    <s v="Muscle Tightness"/>
    <x v="6"/>
    <n v="2"/>
  </r>
  <r>
    <s v="Adrenal Disorder"/>
    <x v="7"/>
    <n v="1"/>
  </r>
  <r>
    <s v="Gastrointestinal Motility Disorder"/>
    <x v="8"/>
    <n v="1"/>
  </r>
  <r>
    <s v="Expired Product Administered"/>
    <x v="31"/>
    <n v="1"/>
  </r>
  <r>
    <s v="Abnormal Weight Gain"/>
    <x v="17"/>
    <n v="6"/>
  </r>
  <r>
    <s v="Supraventricular Tachycardia"/>
    <x v="4"/>
    <n v="2"/>
  </r>
  <r>
    <s v="Infection Susceptibility Increased"/>
    <x v="5"/>
    <n v="2"/>
  </r>
  <r>
    <s v="Central Nervous System Haemorrhage"/>
    <x v="2"/>
    <n v="1"/>
  </r>
  <r>
    <s v="Axillary Mass"/>
    <x v="16"/>
    <n v="2"/>
  </r>
  <r>
    <s v="Gastritis Bacterial"/>
    <x v="8"/>
    <n v="1"/>
  </r>
  <r>
    <s v="Dyskinesia"/>
    <x v="2"/>
    <n v="2"/>
  </r>
  <r>
    <s v="Culture Urine Positive"/>
    <x v="3"/>
    <n v="1"/>
  </r>
  <r>
    <s v="Arterial Thrombosis"/>
    <x v="4"/>
    <n v="1"/>
  </r>
  <r>
    <s v="Arrhythmia Supraventricular"/>
    <x v="4"/>
    <n v="1"/>
  </r>
  <r>
    <s v="Lip Blister"/>
    <x v="27"/>
    <n v="2"/>
  </r>
  <r>
    <s v="Trismus"/>
    <x v="6"/>
    <n v="1"/>
  </r>
  <r>
    <s v="Joint Stabilisation"/>
    <x v="6"/>
    <n v="1"/>
  </r>
  <r>
    <s v="Neck Mass"/>
    <x v="16"/>
    <n v="2"/>
  </r>
  <r>
    <s v="Cystocele"/>
    <x v="20"/>
    <n v="2"/>
  </r>
  <r>
    <s v="Respiratory Rate Decreased"/>
    <x v="9"/>
    <n v="1"/>
  </r>
  <r>
    <s v="Skin Mass"/>
    <x v="27"/>
    <n v="1"/>
  </r>
  <r>
    <s v="Rosai-Dorfman Syndrome"/>
    <x v="1"/>
    <n v="1"/>
  </r>
  <r>
    <s v="Skin Texture Abnormal"/>
    <x v="27"/>
    <n v="2"/>
  </r>
  <r>
    <s v="Hepatic Lesion"/>
    <x v="33"/>
    <n v="6"/>
  </r>
  <r>
    <s v="Trichorrhexis"/>
    <x v="27"/>
    <n v="3"/>
  </r>
  <r>
    <s v="Boredom"/>
    <x v="18"/>
    <n v="2"/>
  </r>
  <r>
    <s v="Lung Neoplasm"/>
    <x v="9"/>
    <n v="4"/>
  </r>
  <r>
    <s v="Mean Cell Haemoglobin Concentration Decreased"/>
    <x v="30"/>
    <n v="1"/>
  </r>
  <r>
    <s v="Calcium Ionised Decreased"/>
    <x v="17"/>
    <n v="1"/>
  </r>
  <r>
    <s v="Pelvic Discomfort"/>
    <x v="20"/>
    <n v="1"/>
  </r>
  <r>
    <s v="Lichen Sclerosus"/>
    <x v="27"/>
    <n v="5"/>
  </r>
  <r>
    <s v="Anaphylactic Reaction"/>
    <x v="5"/>
    <n v="1"/>
  </r>
  <r>
    <s v="Large Intestine Polyp"/>
    <x v="8"/>
    <n v="2"/>
  </r>
  <r>
    <s v="Bruxism"/>
    <x v="2"/>
    <n v="1"/>
  </r>
  <r>
    <s v="Bone Marrow Disorder"/>
    <x v="1"/>
    <n v="1"/>
  </r>
  <r>
    <s v="Myelocytosis"/>
    <x v="1"/>
    <n v="1"/>
  </r>
  <r>
    <s v="Swollen Tongue"/>
    <x v="13"/>
    <n v="2"/>
  </r>
  <r>
    <s v="Hydroureter"/>
    <x v="3"/>
    <n v="1"/>
  </r>
  <r>
    <s v="Breast Necrosis"/>
    <x v="34"/>
    <n v="1"/>
  </r>
  <r>
    <s v="Lung Neoplasm Malignant"/>
    <x v="9"/>
    <n v="2"/>
  </r>
  <r>
    <s v="Malignant Neoplasm Of Pleura"/>
    <x v="9"/>
    <n v="3"/>
  </r>
  <r>
    <s v="Deafness Neurosensory"/>
    <x v="35"/>
    <n v="1"/>
  </r>
  <r>
    <s v="Chondropathy"/>
    <x v="6"/>
    <n v="1"/>
  </r>
  <r>
    <s v="Carotid Artery Occlusion"/>
    <x v="4"/>
    <n v="2"/>
  </r>
  <r>
    <s v="Body Temperature Decreased"/>
    <x v="2"/>
    <n v="2"/>
  </r>
  <r>
    <s v="Eye Discharge"/>
    <x v="36"/>
    <n v="2"/>
  </r>
  <r>
    <s v="Bipolar Disorder"/>
    <x v="18"/>
    <n v="2"/>
  </r>
  <r>
    <s v="Gastric Ph Increased"/>
    <x v="8"/>
    <n v="1"/>
  </r>
  <r>
    <s v="Amoebiasis"/>
    <x v="8"/>
    <n v="1"/>
  </r>
  <r>
    <s v="Hypermetabolism"/>
    <x v="17"/>
    <n v="1"/>
  </r>
  <r>
    <s v="Blood Pressure Diastolic Decreased"/>
    <x v="4"/>
    <n v="1"/>
  </r>
  <r>
    <s v="Anaemia Of Chronic Disease"/>
    <x v="1"/>
    <n v="1"/>
  </r>
  <r>
    <s v="Rebound Effect"/>
    <x v="31"/>
    <n v="1"/>
  </r>
  <r>
    <s v="Lumbar Vertebral Fracture"/>
    <x v="6"/>
    <n v="4"/>
  </r>
  <r>
    <s v="Skin Odour Abnormal"/>
    <x v="27"/>
    <n v="3"/>
  </r>
  <r>
    <s v="Angina Unstable"/>
    <x v="4"/>
    <n v="2"/>
  </r>
  <r>
    <s v="Colitis Ulcerative"/>
    <x v="8"/>
    <n v="2"/>
  </r>
  <r>
    <s v="Orthostatic Hypotension"/>
    <x v="4"/>
    <n v="3"/>
  </r>
  <r>
    <s v="Hirsutism"/>
    <x v="7"/>
    <n v="1"/>
  </r>
  <r>
    <s v="Starvation"/>
    <x v="17"/>
    <n v="1"/>
  </r>
  <r>
    <s v="Deficiency Anaemia"/>
    <x v="1"/>
    <n v="1"/>
  </r>
  <r>
    <s v="Metastases To Bone Marrow"/>
    <x v="1"/>
    <n v="2"/>
  </r>
  <r>
    <s v="Cerebral Thrombosis"/>
    <x v="2"/>
    <n v="2"/>
  </r>
  <r>
    <s v="Colorectal Adenoma"/>
    <x v="8"/>
    <n v="1"/>
  </r>
  <r>
    <s v="Alveolitis"/>
    <x v="9"/>
    <n v="2"/>
  </r>
  <r>
    <s v="Mental Status Changes"/>
    <x v="2"/>
    <n v="4"/>
  </r>
  <r>
    <s v="Clostridium Difficile Colitis"/>
    <x v="8"/>
    <n v="2"/>
  </r>
  <r>
    <s v="Breast Haematoma"/>
    <x v="34"/>
    <n v="1"/>
  </r>
  <r>
    <s v="Dry Age-Related Macular Degeneration"/>
    <x v="36"/>
    <n v="1"/>
  </r>
  <r>
    <s v="Proctitis Ulcerative"/>
    <x v="8"/>
    <n v="1"/>
  </r>
  <r>
    <s v="Cardiac Ablation"/>
    <x v="4"/>
    <n v="1"/>
  </r>
  <r>
    <s v="Metastatic Uterine Cancer"/>
    <x v="20"/>
    <n v="1"/>
  </r>
  <r>
    <s v="Pain In Jaw"/>
    <x v="13"/>
    <n v="9"/>
  </r>
  <r>
    <s v="Gingival Ulceration"/>
    <x v="13"/>
    <n v="2"/>
  </r>
  <r>
    <s v="Duodenal Ulcer Perforation"/>
    <x v="8"/>
    <n v="1"/>
  </r>
  <r>
    <s v="Tracheobronchitis"/>
    <x v="9"/>
    <n v="1"/>
  </r>
  <r>
    <s v="Bilirubin Conjugated Increased"/>
    <x v="33"/>
    <n v="1"/>
  </r>
  <r>
    <s v="Joint Ankylosis"/>
    <x v="6"/>
    <n v="1"/>
  </r>
  <r>
    <s v="Rectal Discharge"/>
    <x v="8"/>
    <n v="1"/>
  </r>
  <r>
    <s v="Urinary Tract Discomfort"/>
    <x v="3"/>
    <n v="1"/>
  </r>
  <r>
    <s v="Foot Deformity"/>
    <x v="6"/>
    <n v="1"/>
  </r>
  <r>
    <s v="Blindness Unilateral"/>
    <x v="36"/>
    <n v="2"/>
  </r>
  <r>
    <s v="Acute Interstitial Pneumonitis"/>
    <x v="9"/>
    <n v="5"/>
  </r>
  <r>
    <s v="Intracranial Aneurysm"/>
    <x v="2"/>
    <n v="3"/>
  </r>
  <r>
    <s v="Snoring"/>
    <x v="9"/>
    <n v="1"/>
  </r>
  <r>
    <s v="Aneurysm"/>
    <x v="4"/>
    <n v="1"/>
  </r>
  <r>
    <s v="Micrococcus Infection"/>
    <x v="27"/>
    <n v="1"/>
  </r>
  <r>
    <s v="Product Colour Issue"/>
    <x v="31"/>
    <n v="1"/>
  </r>
  <r>
    <s v="Drooling"/>
    <x v="2"/>
    <n v="2"/>
  </r>
  <r>
    <s v="Troponin Increased"/>
    <x v="4"/>
    <n v="2"/>
  </r>
  <r>
    <s v="Chronic Respiratory Failure"/>
    <x v="9"/>
    <n v="1"/>
  </r>
  <r>
    <s v="Cardiac Failure Chronic"/>
    <x v="4"/>
    <n v="2"/>
  </r>
  <r>
    <s v="Cerebellar Haemorrhage"/>
    <x v="2"/>
    <n v="1"/>
  </r>
  <r>
    <s v="Osteolysis"/>
    <x v="6"/>
    <n v="2"/>
  </r>
  <r>
    <s v="Cerebellar Infarction"/>
    <x v="2"/>
    <n v="1"/>
  </r>
  <r>
    <s v="Infectious Pleural Effusion"/>
    <x v="9"/>
    <n v="1"/>
  </r>
  <r>
    <s v="Physical Deconditioning"/>
    <x v="6"/>
    <n v="2"/>
  </r>
  <r>
    <s v="Hepatic Cancer"/>
    <x v="33"/>
    <n v="3"/>
  </r>
  <r>
    <s v="Breast Swelling"/>
    <x v="34"/>
    <n v="1"/>
  </r>
  <r>
    <s v="Rhinitis Allergic"/>
    <x v="9"/>
    <n v="1"/>
  </r>
  <r>
    <s v="Angiomyolipoma"/>
    <x v="25"/>
    <n v="2"/>
  </r>
  <r>
    <s v="Mean Platelet Volume Decreased"/>
    <x v="30"/>
    <n v="1"/>
  </r>
  <r>
    <s v="Ovarian Cancer"/>
    <x v="20"/>
    <n v="2"/>
  </r>
  <r>
    <s v="Personality Change"/>
    <x v="2"/>
    <n v="3"/>
  </r>
  <r>
    <s v="Viral Upper Respiratory Tract Infection"/>
    <x v="9"/>
    <n v="1"/>
  </r>
  <r>
    <s v="Salmonellosis"/>
    <x v="8"/>
    <n v="2"/>
  </r>
  <r>
    <s v="Cardiac Failure Acute"/>
    <x v="4"/>
    <n v="1"/>
  </r>
  <r>
    <s v="Vitamin B Complex Deficiency"/>
    <x v="17"/>
    <n v="2"/>
  </r>
  <r>
    <s v="Cell Marker Increased"/>
    <x v="31"/>
    <n v="1"/>
  </r>
  <r>
    <s v="Blood Beta-D-Glucan Decreased"/>
    <x v="5"/>
    <n v="1"/>
  </r>
  <r>
    <s v="Abdominal Compartment Syndrome"/>
    <x v="8"/>
    <n v="1"/>
  </r>
  <r>
    <s v="Immobilisation Syndrome"/>
    <x v="6"/>
    <n v="1"/>
  </r>
  <r>
    <s v="Bacillus Infection"/>
    <x v="27"/>
    <n v="2"/>
  </r>
  <r>
    <s v="Coagulation Factor Deficiency"/>
    <x v="30"/>
    <n v="1"/>
  </r>
  <r>
    <s v="Hypoventilation"/>
    <x v="9"/>
    <n v="2"/>
  </r>
  <r>
    <s v="Pleural Thickening"/>
    <x v="9"/>
    <n v="1"/>
  </r>
  <r>
    <s v="Pseudomonas Infection"/>
    <x v="27"/>
    <n v="1"/>
  </r>
  <r>
    <s v="Foaming At Mouth"/>
    <x v="2"/>
    <n v="1"/>
  </r>
  <r>
    <s v="Haematochezia"/>
    <x v="8"/>
    <n v="2"/>
  </r>
  <r>
    <s v="Depressed Level Of Consciousness"/>
    <x v="2"/>
    <n v="2"/>
  </r>
  <r>
    <s v="Gastrointestinal Viral Infection"/>
    <x v="8"/>
    <n v="1"/>
  </r>
  <r>
    <s v="Breast Neoplasm"/>
    <x v="34"/>
    <n v="1"/>
  </r>
  <r>
    <s v="Cardiovascular Function Test Abnormal"/>
    <x v="4"/>
    <n v="1"/>
  </r>
  <r>
    <s v="Measles"/>
    <x v="27"/>
    <n v="1"/>
  </r>
  <r>
    <s v="Coronary Artery Stenosis"/>
    <x v="4"/>
    <n v="6"/>
  </r>
  <r>
    <s v="Serum Sickness"/>
    <x v="5"/>
    <n v="1"/>
  </r>
  <r>
    <s v="Sudden Death"/>
    <x v="4"/>
    <n v="5"/>
  </r>
  <r>
    <s v="Proctalgia"/>
    <x v="8"/>
    <n v="1"/>
  </r>
  <r>
    <s v="Breast Cancer Stage Ii"/>
    <x v="34"/>
    <n v="1"/>
  </r>
  <r>
    <s v="Abdominal Mass"/>
    <x v="8"/>
    <n v="1"/>
  </r>
  <r>
    <s v="Hypoaesthesia Oral"/>
    <x v="2"/>
    <n v="2"/>
  </r>
  <r>
    <s v="Epigastric Discomfort"/>
    <x v="8"/>
    <n v="1"/>
  </r>
  <r>
    <s v="Joint Lock"/>
    <x v="6"/>
    <n v="6"/>
  </r>
  <r>
    <s v="Weight Bearing Difficulty"/>
    <x v="6"/>
    <n v="8"/>
  </r>
  <r>
    <s v="Neurological Decompensation"/>
    <x v="2"/>
    <n v="1"/>
  </r>
  <r>
    <s v="Nephropathy Toxic"/>
    <x v="25"/>
    <n v="2"/>
  </r>
  <r>
    <s v="Pelvic Mass"/>
    <x v="20"/>
    <n v="2"/>
  </r>
  <r>
    <s v="Vocal Cord Paralysis"/>
    <x v="2"/>
    <n v="1"/>
  </r>
  <r>
    <s v="Cardiac Tamponade"/>
    <x v="4"/>
    <n v="1"/>
  </r>
  <r>
    <s v="Nail Dystrophy"/>
    <x v="27"/>
    <n v="6"/>
  </r>
  <r>
    <s v="Retinal Disorder"/>
    <x v="36"/>
    <n v="5"/>
  </r>
  <r>
    <s v="Her2 Positive Breast Cancer"/>
    <x v="34"/>
    <n v="2"/>
  </r>
  <r>
    <s v="Clavicle Fracture"/>
    <x v="6"/>
    <n v="7"/>
  </r>
  <r>
    <s v="Orthostatic Intolerance"/>
    <x v="4"/>
    <n v="1"/>
  </r>
  <r>
    <s v="Petechiae"/>
    <x v="27"/>
    <n v="1"/>
  </r>
  <r>
    <s v="Progesterone Receptor Assay Negative"/>
    <x v="20"/>
    <n v="1"/>
  </r>
  <r>
    <s v="Enterobacter Infection"/>
    <x v="27"/>
    <n v="1"/>
  </r>
  <r>
    <s v="Rash Pustular"/>
    <x v="27"/>
    <n v="1"/>
  </r>
  <r>
    <s v="Depression Suicidal"/>
    <x v="18"/>
    <n v="8"/>
  </r>
  <r>
    <s v="Large Intestinal Obstruction"/>
    <x v="8"/>
    <n v="1"/>
  </r>
  <r>
    <s v="Vascular Injury"/>
    <x v="4"/>
    <n v="1"/>
  </r>
  <r>
    <s v="Muscle Mass"/>
    <x v="6"/>
    <n v="1"/>
  </r>
  <r>
    <s v="Biopsy Lung"/>
    <x v="9"/>
    <n v="1"/>
  </r>
  <r>
    <s v="Steatohepatitis"/>
    <x v="33"/>
    <n v="1"/>
  </r>
  <r>
    <s v="Concomitant Disease Progression"/>
    <x v="31"/>
    <n v="14"/>
  </r>
  <r>
    <s v="Peripheral Vascular Disorder"/>
    <x v="4"/>
    <n v="1"/>
  </r>
  <r>
    <s v="Malignant Ascites"/>
    <x v="8"/>
    <n v="2"/>
  </r>
  <r>
    <s v="Nystagmus"/>
    <x v="2"/>
    <n v="2"/>
  </r>
  <r>
    <s v="Dyslipidaemia"/>
    <x v="17"/>
    <n v="2"/>
  </r>
  <r>
    <s v="Anisocoria"/>
    <x v="2"/>
    <n v="1"/>
  </r>
  <r>
    <s v="Female Sexual Arousal Disorder"/>
    <x v="20"/>
    <n v="1"/>
  </r>
  <r>
    <s v="Xanthopsia"/>
    <x v="36"/>
    <n v="6"/>
  </r>
  <r>
    <s v="Vitreous Floaters"/>
    <x v="36"/>
    <n v="8"/>
  </r>
  <r>
    <s v="Lip Swelling"/>
    <x v="13"/>
    <n v="7"/>
  </r>
  <r>
    <s v="Retinal Injury"/>
    <x v="36"/>
    <n v="1"/>
  </r>
  <r>
    <s v="Muscle Contractions Involuntary"/>
    <x v="2"/>
    <n v="1"/>
  </r>
  <r>
    <s v="Breast Operation"/>
    <x v="22"/>
    <n v="2"/>
  </r>
  <r>
    <s v="Somnambulism"/>
    <x v="2"/>
    <n v="1"/>
  </r>
  <r>
    <s v="Serum Ferritin Decreased"/>
    <x v="17"/>
    <n v="1"/>
  </r>
  <r>
    <s v="Urinary Tract Disorder"/>
    <x v="3"/>
    <n v="1"/>
  </r>
  <r>
    <s v="Corneal Dystrophy"/>
    <x v="36"/>
    <n v="1"/>
  </r>
  <r>
    <s v="Diaphragmatic Spasm"/>
    <x v="9"/>
    <n v="1"/>
  </r>
  <r>
    <s v="Pustule"/>
    <x v="27"/>
    <n v="1"/>
  </r>
  <r>
    <s v="Papule"/>
    <x v="27"/>
    <n v="2"/>
  </r>
  <r>
    <s v="Exposed Bone In Jaw"/>
    <x v="13"/>
    <n v="1"/>
  </r>
  <r>
    <s v="Blood Thyroid Stimulating Hormone Decreased"/>
    <x v="7"/>
    <n v="1"/>
  </r>
  <r>
    <s v="Biliary Dilatation"/>
    <x v="33"/>
    <n v="2"/>
  </r>
  <r>
    <s v="Aortic Arteriosclerosis"/>
    <x v="4"/>
    <n v="2"/>
  </r>
  <r>
    <s v="Angina Pectoris"/>
    <x v="4"/>
    <n v="7"/>
  </r>
  <r>
    <s v="Pyelocaliectasis"/>
    <x v="25"/>
    <n v="1"/>
  </r>
  <r>
    <s v="Laryngeal Oedema"/>
    <x v="9"/>
    <n v="4"/>
  </r>
  <r>
    <s v="Retinal Tear"/>
    <x v="36"/>
    <n v="1"/>
  </r>
  <r>
    <s v="Colour Blindness"/>
    <x v="36"/>
    <n v="1"/>
  </r>
  <r>
    <s v="Retinal Oedema"/>
    <x v="36"/>
    <n v="2"/>
  </r>
  <r>
    <s v="Retinal Exudates"/>
    <x v="36"/>
    <n v="1"/>
  </r>
  <r>
    <s v="Hypertriglyceridaemia"/>
    <x v="17"/>
    <n v="1"/>
  </r>
  <r>
    <s v="Photopsia"/>
    <x v="36"/>
    <n v="1"/>
  </r>
  <r>
    <s v="Retinal Aneurysm"/>
    <x v="36"/>
    <n v="1"/>
  </r>
  <r>
    <s v="Visual Acuity Tests Abnormal"/>
    <x v="36"/>
    <n v="1"/>
  </r>
  <r>
    <s v="Micturition Disorder"/>
    <x v="3"/>
    <n v="1"/>
  </r>
  <r>
    <s v="Blood Testosterone Increased"/>
    <x v="7"/>
    <n v="1"/>
  </r>
  <r>
    <s v="Lower Urinary Tract Symptoms"/>
    <x v="3"/>
    <n v="1"/>
  </r>
  <r>
    <s v="Hypertonic Bladder"/>
    <x v="3"/>
    <n v="1"/>
  </r>
  <r>
    <s v="Primary Stabbing Headache"/>
    <x v="2"/>
    <n v="1"/>
  </r>
  <r>
    <s v="Haemolytic Uraemic Syndrome"/>
    <x v="25"/>
    <n v="1"/>
  </r>
  <r>
    <s v="Focal Nodular Hyperplasia"/>
    <x v="33"/>
    <n v="1"/>
  </r>
  <r>
    <s v="Vocal Cord Thickening"/>
    <x v="9"/>
    <n v="1"/>
  </r>
  <r>
    <s v="Anger"/>
    <x v="18"/>
    <n v="6"/>
  </r>
  <r>
    <s v="Metamorphopsia"/>
    <x v="36"/>
    <n v="1"/>
  </r>
  <r>
    <s v="Mesenteric Artery Embolism"/>
    <x v="4"/>
    <n v="1"/>
  </r>
  <r>
    <s v="Disseminated Intravascular Coagulation"/>
    <x v="30"/>
    <n v="2"/>
  </r>
  <r>
    <s v="Suture Rupture"/>
    <x v="22"/>
    <n v="1"/>
  </r>
  <r>
    <s v="Mesenteric Artery Thrombosis"/>
    <x v="4"/>
    <n v="1"/>
  </r>
  <r>
    <s v="Vaginal Mucosal Blistering"/>
    <x v="20"/>
    <n v="1"/>
  </r>
  <r>
    <s v="Sedation"/>
    <x v="2"/>
    <n v="1"/>
  </r>
  <r>
    <s v="Injection Site Reaction"/>
    <x v="27"/>
    <n v="1"/>
  </r>
  <r>
    <s v="Insulinoma"/>
    <x v="7"/>
    <n v="1"/>
  </r>
  <r>
    <s v="Bedridden"/>
    <x v="6"/>
    <n v="2"/>
  </r>
  <r>
    <s v="Skin Oedema"/>
    <x v="27"/>
    <n v="1"/>
  </r>
  <r>
    <s v="Nocturia"/>
    <x v="3"/>
    <n v="3"/>
  </r>
  <r>
    <s v="Colitis Microscopic"/>
    <x v="8"/>
    <n v="1"/>
  </r>
  <r>
    <s v="Libido Decreased"/>
    <x v="20"/>
    <n v="3"/>
  </r>
  <r>
    <s v="Hypomagnesaemia"/>
    <x v="17"/>
    <n v="2"/>
  </r>
  <r>
    <s v="Monoplegia"/>
    <x v="2"/>
    <n v="1"/>
  </r>
  <r>
    <s v="Myeloproliferative Neoplasm"/>
    <x v="1"/>
    <n v="1"/>
  </r>
  <r>
    <s v="Lung Consolidation"/>
    <x v="9"/>
    <n v="1"/>
  </r>
  <r>
    <s v="Cardiopulmonary Failure"/>
    <x v="38"/>
    <n v="1"/>
  </r>
  <r>
    <s v="Blood Cholinesterase Decreased"/>
    <x v="2"/>
    <n v="1"/>
  </r>
  <r>
    <s v="Brief Resolved Unexplained Event"/>
    <x v="31"/>
    <n v="1"/>
  </r>
  <r>
    <s v="Logorrhoea"/>
    <x v="2"/>
    <n v="1"/>
  </r>
  <r>
    <s v="Altered State Of Consciousness"/>
    <x v="2"/>
    <n v="1"/>
  </r>
  <r>
    <s v="Optic Ischaemic Neuropathy"/>
    <x v="2"/>
    <n v="2"/>
  </r>
  <r>
    <s v="Therapeutic Response Decreased"/>
    <x v="31"/>
    <n v="2"/>
  </r>
  <r>
    <s v="Pharyngeal Hypoaesthesia"/>
    <x v="2"/>
    <n v="1"/>
  </r>
  <r>
    <s v="Delayed Sleep Phase"/>
    <x v="2"/>
    <n v="1"/>
  </r>
  <r>
    <s v="Therapeutic Product Effect Increased"/>
    <x v="31"/>
    <n v="1"/>
  </r>
  <r>
    <s v="Intervertebral Disc Disorder"/>
    <x v="6"/>
    <n v="2"/>
  </r>
  <r>
    <s v="Metastases To Spleen"/>
    <x v="1"/>
    <n v="1"/>
  </r>
  <r>
    <s v="Blood Parathyroid Hormone Increased"/>
    <x v="7"/>
    <n v="2"/>
  </r>
  <r>
    <s v="Loss Of Control Of Legs"/>
    <x v="2"/>
    <n v="1"/>
  </r>
  <r>
    <s v="Retinal Vascular Thrombosis"/>
    <x v="36"/>
    <n v="2"/>
  </r>
  <r>
    <s v="Klebsiella Infection"/>
    <x v="9"/>
    <n v="1"/>
  </r>
  <r>
    <s v="Proteus Test Positive"/>
    <x v="3"/>
    <n v="1"/>
  </r>
  <r>
    <s v="Mucosal Haemorrhage"/>
    <x v="8"/>
    <n v="1"/>
  </r>
  <r>
    <s v="Staphylococcal Skin Infection"/>
    <x v="27"/>
    <n v="1"/>
  </r>
  <r>
    <s v="Restrictive Pulmonary Disease"/>
    <x v="9"/>
    <n v="1"/>
  </r>
  <r>
    <s v="Uterine Polyp"/>
    <x v="20"/>
    <n v="22"/>
  </r>
  <r>
    <s v="Hysteroscopy"/>
    <x v="20"/>
    <n v="12"/>
  </r>
  <r>
    <s v="Edentulous"/>
    <x v="13"/>
    <n v="1"/>
  </r>
  <r>
    <s v="Dental Caries"/>
    <x v="13"/>
    <n v="2"/>
  </r>
  <r>
    <s v="Congenital Cystic Kidney Disease"/>
    <x v="25"/>
    <n v="1"/>
  </r>
  <r>
    <s v="Hypothalamo-Pituitary Disorder"/>
    <x v="7"/>
    <n v="1"/>
  </r>
  <r>
    <s v="Eyelid Ptosis"/>
    <x v="36"/>
    <n v="3"/>
  </r>
  <r>
    <s v="Pituitary Tumour"/>
    <x v="7"/>
    <n v="1"/>
  </r>
  <r>
    <s v="Purulent Discharge"/>
    <x v="27"/>
    <n v="1"/>
  </r>
  <r>
    <s v="Iiird Nerve Paralysis"/>
    <x v="2"/>
    <n v="1"/>
  </r>
  <r>
    <s v="Delirium"/>
    <x v="2"/>
    <n v="1"/>
  </r>
  <r>
    <s v="Blood Prolactin Increased"/>
    <x v="7"/>
    <n v="1"/>
  </r>
  <r>
    <s v="Apnoea"/>
    <x v="9"/>
    <n v="1"/>
  </r>
  <r>
    <s v="Hepatosplenomegaly"/>
    <x v="39"/>
    <n v="1"/>
  </r>
  <r>
    <s v="Mastication Disorder"/>
    <x v="2"/>
    <n v="2"/>
  </r>
  <r>
    <s v="Blood Follicle Stimulating Hormone Decreased"/>
    <x v="7"/>
    <n v="1"/>
  </r>
  <r>
    <s v="Visual Acuity Reduced"/>
    <x v="36"/>
    <n v="10"/>
  </r>
  <r>
    <s v="Lung Adenocarcinoma"/>
    <x v="9"/>
    <n v="1"/>
  </r>
  <r>
    <s v="Amblyopia Strabismic"/>
    <x v="36"/>
    <n v="1"/>
  </r>
  <r>
    <s v="Optic Atrophy"/>
    <x v="36"/>
    <n v="1"/>
  </r>
  <r>
    <s v="Visual Evoked Potentials Abnormal"/>
    <x v="2"/>
    <n v="1"/>
  </r>
  <r>
    <s v="Arterial Disorder"/>
    <x v="4"/>
    <n v="2"/>
  </r>
  <r>
    <s v="Abdominal Abscess"/>
    <x v="8"/>
    <n v="1"/>
  </r>
  <r>
    <s v="Dermatitis Atopic"/>
    <x v="27"/>
    <n v="2"/>
  </r>
  <r>
    <s v="Intermittent Claudication"/>
    <x v="4"/>
    <n v="1"/>
  </r>
  <r>
    <s v="Paratracheal Lymphadenopathy"/>
    <x v="16"/>
    <n v="1"/>
  </r>
  <r>
    <s v="Metastases To Abdominal Cavity"/>
    <x v="8"/>
    <n v="1"/>
  </r>
  <r>
    <s v="Metastases To The Respiratory System"/>
    <x v="9"/>
    <n v="1"/>
  </r>
  <r>
    <s v="Localised Oedema"/>
    <x v="27"/>
    <n v="1"/>
  </r>
  <r>
    <s v="Pharyngeal Oedema"/>
    <x v="9"/>
    <n v="1"/>
  </r>
  <r>
    <s v="Electrocardiogram St Segment Depression"/>
    <x v="4"/>
    <n v="2"/>
  </r>
  <r>
    <s v="Gastric Cancer"/>
    <x v="8"/>
    <n v="1"/>
  </r>
  <r>
    <s v="Monoparesis"/>
    <x v="2"/>
    <n v="1"/>
  </r>
  <r>
    <s v="Parkinson's Disease"/>
    <x v="2"/>
    <n v="1"/>
  </r>
  <r>
    <s v="Bursitis"/>
    <x v="6"/>
    <n v="3"/>
  </r>
  <r>
    <s v="Peritoneal Carcinoma Metastatic"/>
    <x v="8"/>
    <n v="1"/>
  </r>
  <r>
    <s v="Metastatic Gastric Cancer"/>
    <x v="8"/>
    <n v="1"/>
  </r>
  <r>
    <s v="Ligament Disorder"/>
    <x v="6"/>
    <n v="1"/>
  </r>
  <r>
    <s v="Intra-Abdominal Haematoma"/>
    <x v="8"/>
    <n v="1"/>
  </r>
  <r>
    <s v="Meningioma Benign"/>
    <x v="2"/>
    <n v="1"/>
  </r>
  <r>
    <s v="Product Quality Issue"/>
    <x v="31"/>
    <n v="1"/>
  </r>
  <r>
    <s v="Erythropenia"/>
    <x v="1"/>
    <n v="1"/>
  </r>
  <r>
    <s v="Skin Depigmentation"/>
    <x v="27"/>
    <n v="1"/>
  </r>
  <r>
    <s v="Orthopox Virus Infection"/>
    <x v="27"/>
    <n v="1"/>
  </r>
  <r>
    <s v="Brain Death"/>
    <x v="2"/>
    <n v="2"/>
  </r>
  <r>
    <s v="Sinoatrial Block"/>
    <x v="4"/>
    <n v="2"/>
  </r>
  <r>
    <s v="Status Epilepticus"/>
    <x v="2"/>
    <n v="2"/>
  </r>
  <r>
    <s v="Tumour Lysis Syndrome"/>
    <x v="17"/>
    <n v="1"/>
  </r>
  <r>
    <s v="Walking Aid User"/>
    <x v="6"/>
    <n v="2"/>
  </r>
  <r>
    <s v="Biliary Tract Disorder"/>
    <x v="33"/>
    <n v="2"/>
  </r>
  <r>
    <s v="Iliac Artery Stenosis"/>
    <x v="4"/>
    <n v="1"/>
  </r>
  <r>
    <s v="Appendicitis Perforated"/>
    <x v="8"/>
    <n v="1"/>
  </r>
  <r>
    <s v="Thrombocytosis"/>
    <x v="1"/>
    <n v="2"/>
  </r>
  <r>
    <s v="Chest X-Ray Abnormal"/>
    <x v="9"/>
    <n v="1"/>
  </r>
  <r>
    <s v="Post Procedural Complication"/>
    <x v="31"/>
    <n v="2"/>
  </r>
  <r>
    <s v="Biopsy Chest Wall Abnormal"/>
    <x v="9"/>
    <n v="1"/>
  </r>
  <r>
    <s v="Extremity Necrosis"/>
    <x v="27"/>
    <n v="1"/>
  </r>
  <r>
    <s v="Polyarthritis"/>
    <x v="6"/>
    <n v="1"/>
  </r>
  <r>
    <s v="Carotid Artery Stenosis"/>
    <x v="4"/>
    <n v="2"/>
  </r>
  <r>
    <s v="Gangrene"/>
    <x v="27"/>
    <n v="1"/>
  </r>
  <r>
    <s v="Head Injury"/>
    <x v="2"/>
    <n v="1"/>
  </r>
  <r>
    <s v="Platelet Disorder"/>
    <x v="30"/>
    <n v="1"/>
  </r>
  <r>
    <s v="Hairy Cell Leukaemia"/>
    <x v="1"/>
    <n v="1"/>
  </r>
  <r>
    <s v="Metastases To Soft Tissue"/>
    <x v="6"/>
    <n v="1"/>
  </r>
  <r>
    <s v="Bone Marrow Tumour Cell Infiltration"/>
    <x v="1"/>
    <n v="1"/>
  </r>
  <r>
    <s v="Bone Densitometry"/>
    <x v="6"/>
    <n v="1"/>
  </r>
  <r>
    <s v="Erysipeloid"/>
    <x v="27"/>
    <n v="1"/>
  </r>
  <r>
    <s v="Appetite Disorder"/>
    <x v="17"/>
    <n v="3"/>
  </r>
  <r>
    <s v="Blepharitis"/>
    <x v="36"/>
    <n v="1"/>
  </r>
  <r>
    <s v="Uterine Cancer"/>
    <x v="20"/>
    <n v="2"/>
  </r>
  <r>
    <s v="Epstein-Barr Virus Infection"/>
    <x v="40"/>
    <n v="1"/>
  </r>
  <r>
    <s v="Helicobacter Test Positive"/>
    <x v="8"/>
    <n v="1"/>
  </r>
  <r>
    <s v="Hepatitis Toxic"/>
    <x v="33"/>
    <n v="1"/>
  </r>
  <r>
    <s v="Cytomegalovirus Test Positive"/>
    <x v="40"/>
    <n v="1"/>
  </r>
  <r>
    <s v="Epstein-Barr Virus Antibody Positive"/>
    <x v="40"/>
    <n v="1"/>
  </r>
  <r>
    <s v="Hepatitis A"/>
    <x v="33"/>
    <n v="1"/>
  </r>
  <r>
    <s v="Endoscopy Upper Gastrointestinal Tract Abnormal"/>
    <x v="8"/>
    <n v="1"/>
  </r>
  <r>
    <s v="Hepatitis A Antibody Positive"/>
    <x v="40"/>
    <n v="1"/>
  </r>
  <r>
    <s v="Cytomegalovirus Infection"/>
    <x v="40"/>
    <n v="1"/>
  </r>
  <r>
    <s v="Ultrasound Abdomen Abnormal"/>
    <x v="8"/>
    <n v="1"/>
  </r>
  <r>
    <s v="Tendon Injury"/>
    <x v="6"/>
    <n v="2"/>
  </r>
  <r>
    <s v="Burnout Syndrome"/>
    <x v="18"/>
    <n v="1"/>
  </r>
  <r>
    <s v="Albumin Globulin Ratio Decreased"/>
    <x v="17"/>
    <n v="1"/>
  </r>
  <r>
    <s v="Red Blood Cell Count Increased"/>
    <x v="1"/>
    <n v="1"/>
  </r>
  <r>
    <s v="Retinal Vein Thrombosis"/>
    <x v="36"/>
    <n v="1"/>
  </r>
  <r>
    <s v="Bile Duct Stone"/>
    <x v="33"/>
    <n v="1"/>
  </r>
  <r>
    <s v="Gastrointestinal Carcinoma"/>
    <x v="8"/>
    <n v="1"/>
  </r>
  <r>
    <s v="Abnormal Sensation In Eye"/>
    <x v="2"/>
    <n v="1"/>
  </r>
  <r>
    <s v="Fibroadenoma Of Breast"/>
    <x v="34"/>
    <n v="1"/>
  </r>
  <r>
    <s v="Bone Swelling"/>
    <x v="6"/>
    <n v="1"/>
  </r>
  <r>
    <s v="Traumatic Fracture"/>
    <x v="6"/>
    <n v="1"/>
  </r>
  <r>
    <s v="Jaw Operation"/>
    <x v="13"/>
    <n v="1"/>
  </r>
  <r>
    <s v="Stomatitis Necrotising"/>
    <x v="13"/>
    <n v="1"/>
  </r>
  <r>
    <s v="Jaw Fracture"/>
    <x v="6"/>
    <n v="1"/>
  </r>
  <r>
    <s v="Pyelonephritis Acute"/>
    <x v="25"/>
    <n v="1"/>
  </r>
  <r>
    <s v="Meningism"/>
    <x v="2"/>
    <n v="1"/>
  </r>
  <r>
    <s v="Marrow Hyperplasia"/>
    <x v="1"/>
    <n v="1"/>
  </r>
  <r>
    <s v="Hyperplasia"/>
    <x v="31"/>
    <n v="1"/>
  </r>
  <r>
    <s v="Demyelination"/>
    <x v="2"/>
    <n v="1"/>
  </r>
  <r>
    <s v="Catheter Placement"/>
    <x v="22"/>
    <n v="1"/>
  </r>
  <r>
    <s v="Skin Neoplasm Excision"/>
    <x v="27"/>
    <n v="1"/>
  </r>
  <r>
    <s v="Retinal Operation"/>
    <x v="36"/>
    <n v="1"/>
  </r>
  <r>
    <s v="Lymphadenectomy"/>
    <x v="22"/>
    <n v="3"/>
  </r>
  <r>
    <s v="Internal Fixation Of Fracture"/>
    <x v="6"/>
    <n v="13"/>
  </r>
  <r>
    <s v="Optic Neuropathy"/>
    <x v="2"/>
    <n v="1"/>
  </r>
  <r>
    <s v="Salpingo-Oophorectomy"/>
    <x v="20"/>
    <n v="1"/>
  </r>
  <r>
    <s v="Gastrointestinal Tube Insertion"/>
    <x v="8"/>
    <n v="1"/>
  </r>
  <r>
    <s v="Postoperative Wound Infection"/>
    <x v="27"/>
    <n v="1"/>
  </r>
  <r>
    <s v="Colporrhaphy"/>
    <x v="20"/>
    <n v="1"/>
  </r>
  <r>
    <s v="Mineral Deficiency"/>
    <x v="17"/>
    <n v="1"/>
  </r>
  <r>
    <s v="Terminal State"/>
    <x v="31"/>
    <n v="1"/>
  </r>
  <r>
    <s v="Peripheral Ischaemia"/>
    <x v="4"/>
    <n v="1"/>
  </r>
  <r>
    <s v="Aortic Thrombosis"/>
    <x v="4"/>
    <n v="1"/>
  </r>
  <r>
    <s v="Seroma"/>
    <x v="27"/>
    <n v="1"/>
  </r>
  <r>
    <s v="Incision Site Vesicles"/>
    <x v="27"/>
    <n v="1"/>
  </r>
  <r>
    <s v="Uterine Dilation And Curettage"/>
    <x v="20"/>
    <n v="9"/>
  </r>
  <r>
    <s v="Blood Creatine Phosphokinase Mb Decreased"/>
    <x v="41"/>
    <n v="1"/>
  </r>
  <r>
    <s v="Ventricular Hypertrophy"/>
    <x v="4"/>
    <n v="3"/>
  </r>
  <r>
    <s v="Pacemaker Generated Arrhythmia"/>
    <x v="4"/>
    <n v="1"/>
  </r>
  <r>
    <s v="Ventricular Hypokinesia"/>
    <x v="4"/>
    <n v="3"/>
  </r>
  <r>
    <s v="Po2 Decreased"/>
    <x v="9"/>
    <n v="1"/>
  </r>
  <r>
    <s v="Dental Operation"/>
    <x v="13"/>
    <n v="1"/>
  </r>
  <r>
    <s v="Mechanical Ventilation"/>
    <x v="9"/>
    <n v="2"/>
  </r>
  <r>
    <s v="Muscle Disorder"/>
    <x v="6"/>
    <n v="2"/>
  </r>
  <r>
    <s v="Biopsy Bone"/>
    <x v="6"/>
    <n v="1"/>
  </r>
  <r>
    <s v="Bone Sarcoma"/>
    <x v="6"/>
    <n v="1"/>
  </r>
  <r>
    <s v="Lung Operation"/>
    <x v="9"/>
    <n v="1"/>
  </r>
  <r>
    <s v="Diverticulum Gastric"/>
    <x v="8"/>
    <n v="1"/>
  </r>
  <r>
    <s v="Mesenteric Artery Stenosis"/>
    <x v="4"/>
    <n v="1"/>
  </r>
  <r>
    <s v="Coeliac Artery Stenosis"/>
    <x v="4"/>
    <n v="1"/>
  </r>
  <r>
    <s v="Loose Tooth"/>
    <x v="13"/>
    <n v="1"/>
  </r>
  <r>
    <s v="Debridement"/>
    <x v="22"/>
    <n v="1"/>
  </r>
  <r>
    <s v="Deafness Unilateral"/>
    <x v="35"/>
    <n v="1"/>
  </r>
  <r>
    <s v="Knee Operation"/>
    <x v="6"/>
    <n v="1"/>
  </r>
  <r>
    <s v="Cardiac Pacemaker Insertion"/>
    <x v="4"/>
    <n v="1"/>
  </r>
  <r>
    <s v="Post Procedural Haematoma"/>
    <x v="31"/>
    <n v="1"/>
  </r>
  <r>
    <s v="Coronary Artery Bypass"/>
    <x v="4"/>
    <n v="2"/>
  </r>
  <r>
    <s v="Ischaemic Cardiomyopathy"/>
    <x v="4"/>
    <n v="1"/>
  </r>
  <r>
    <s v="Cardiopulmonary Bypass"/>
    <x v="4"/>
    <n v="1"/>
  </r>
  <r>
    <s v="Coronary Artery Thrombosis"/>
    <x v="4"/>
    <n v="1"/>
  </r>
  <r>
    <s v="Sternotomy"/>
    <x v="4"/>
    <n v="1"/>
  </r>
  <r>
    <s v="Cardioplegia"/>
    <x v="4"/>
    <n v="1"/>
  </r>
  <r>
    <s v="Essential Tremor"/>
    <x v="2"/>
    <n v="1"/>
  </r>
  <r>
    <s v="Tenolysis"/>
    <x v="6"/>
    <n v="1"/>
  </r>
  <r>
    <s v="Sarcoidosis"/>
    <x v="9"/>
    <n v="1"/>
  </r>
  <r>
    <s v="Atrioventricular Block"/>
    <x v="4"/>
    <n v="1"/>
  </r>
  <r>
    <s v="Enterocolitis Infectious"/>
    <x v="8"/>
    <n v="1"/>
  </r>
  <r>
    <s v="Clostridial Infection"/>
    <x v="8"/>
    <n v="1"/>
  </r>
  <r>
    <s v="Collagen Disorder"/>
    <x v="42"/>
    <n v="1"/>
  </r>
  <r>
    <s v="Perichondritis"/>
    <x v="35"/>
    <n v="1"/>
  </r>
  <r>
    <s v="Antinuclear Antibody Positive"/>
    <x v="5"/>
    <n v="1"/>
  </r>
  <r>
    <s v="Systemic Inflammatory Response Syndrome"/>
    <x v="5"/>
    <n v="1"/>
  </r>
  <r>
    <s v="Pancreatic Disorder"/>
    <x v="43"/>
    <n v="1"/>
  </r>
  <r>
    <s v="Vascular Graft"/>
    <x v="4"/>
    <n v="1"/>
  </r>
  <r>
    <s v="Joint Contracture"/>
    <x v="6"/>
    <n v="2"/>
  </r>
  <r>
    <s v="Prinzmetal Angina"/>
    <x v="4"/>
    <n v="1"/>
  </r>
  <r>
    <s v="Arteriospasm Coronary"/>
    <x v="4"/>
    <n v="1"/>
  </r>
  <r>
    <s v="Mitral Valve Stenosis"/>
    <x v="4"/>
    <n v="1"/>
  </r>
  <r>
    <s v="Mitral Valve Replacement"/>
    <x v="4"/>
    <n v="1"/>
  </r>
  <r>
    <s v="Hip Surgery"/>
    <x v="6"/>
    <n v="1"/>
  </r>
  <r>
    <s v="Joint Dislocation"/>
    <x v="6"/>
    <n v="1"/>
  </r>
  <r>
    <s v="Heart Rate Irregular"/>
    <x v="4"/>
    <n v="2"/>
  </r>
  <r>
    <s v="Sudden Onset Of Sleep"/>
    <x v="2"/>
    <n v="1"/>
  </r>
  <r>
    <s v="Carbon Dioxide Increased"/>
    <x v="9"/>
    <n v="1"/>
  </r>
  <r>
    <s v="Salpingo-Oophorectomy Bilateral"/>
    <x v="20"/>
    <n v="4"/>
  </r>
  <r>
    <s v="Arthroscopic Surgery"/>
    <x v="6"/>
    <n v="1"/>
  </r>
  <r>
    <s v="Peritoneal Lesion"/>
    <x v="8"/>
    <n v="1"/>
  </r>
  <r>
    <s v="Colonoscopy Abnormal"/>
    <x v="8"/>
    <n v="1"/>
  </r>
  <r>
    <s v="Lung Lobectomy"/>
    <x v="9"/>
    <n v="1"/>
  </r>
  <r>
    <s v="Obliterative Bronchiolitis"/>
    <x v="9"/>
    <n v="1"/>
  </r>
  <r>
    <s v="Inner Ear Disorder"/>
    <x v="35"/>
    <n v="1"/>
  </r>
  <r>
    <s v="Amnestic Disorder"/>
    <x v="2"/>
    <n v="1"/>
  </r>
  <r>
    <s v="Maxillofacial Operation"/>
    <x v="13"/>
    <n v="1"/>
  </r>
  <r>
    <s v="Actinomycosis"/>
    <x v="40"/>
    <n v="1"/>
  </r>
  <r>
    <s v="Bundle Branch Block Left"/>
    <x v="4"/>
    <n v="2"/>
  </r>
  <r>
    <s v="Mitral Valve Disease"/>
    <x v="4"/>
    <n v="1"/>
  </r>
  <r>
    <s v="External Fixation Of Fracture"/>
    <x v="6"/>
    <n v="2"/>
  </r>
  <r>
    <s v="Premenstrual Syndrome"/>
    <x v="20"/>
    <n v="1"/>
  </r>
  <r>
    <s v="Open Fracture"/>
    <x v="6"/>
    <n v="1"/>
  </r>
  <r>
    <s v="Leukoencephalopathy"/>
    <x v="2"/>
    <n v="2"/>
  </r>
  <r>
    <s v="Percutaneous Coronary Intervention"/>
    <x v="4"/>
    <n v="1"/>
  </r>
  <r>
    <s v="Aspiration Pleural Cavity"/>
    <x v="9"/>
    <n v="1"/>
  </r>
  <r>
    <s v="Oophorectomy"/>
    <x v="20"/>
    <n v="5"/>
  </r>
  <r>
    <s v="Cystocele Repair"/>
    <x v="20"/>
    <n v="1"/>
  </r>
  <r>
    <s v="Hysterectomy"/>
    <x v="20"/>
    <n v="13"/>
  </r>
  <r>
    <s v="Eyelid Exfoliation"/>
    <x v="36"/>
    <n v="1"/>
  </r>
  <r>
    <s v="Thyroid Disorder"/>
    <x v="7"/>
    <n v="2"/>
  </r>
  <r>
    <s v="High Density Lipoprotein Increased"/>
    <x v="17"/>
    <n v="1"/>
  </r>
  <r>
    <s v="Unevaluable Event"/>
    <x v="31"/>
    <n v="1"/>
  </r>
  <r>
    <s v="Cervical Polyp"/>
    <x v="20"/>
    <n v="2"/>
  </r>
  <r>
    <s v="Endometrial Hypertrophy"/>
    <x v="20"/>
    <n v="9"/>
  </r>
  <r>
    <s v="Endometrial Hyperplasia"/>
    <x v="20"/>
    <n v="9"/>
  </r>
  <r>
    <s v="Lens Extraction"/>
    <x v="36"/>
    <n v="1"/>
  </r>
  <r>
    <s v="Intraocular Lens Implant"/>
    <x v="36"/>
    <n v="7"/>
  </r>
  <r>
    <s v="Vascular Encephalopathy"/>
    <x v="2"/>
    <n v="2"/>
  </r>
  <r>
    <s v="Central Nervous System Neoplasm"/>
    <x v="2"/>
    <n v="1"/>
  </r>
  <r>
    <s v="Cerebral Artery Thrombosis"/>
    <x v="4"/>
    <n v="1"/>
  </r>
  <r>
    <s v="Cerebral Atrophy"/>
    <x v="2"/>
    <n v="1"/>
  </r>
  <r>
    <s v="Cerebrovascular Disorder"/>
    <x v="2"/>
    <n v="2"/>
  </r>
  <r>
    <s v="Angiopathy"/>
    <x v="4"/>
    <n v="1"/>
  </r>
  <r>
    <s v="Fallopian Tube Cyst"/>
    <x v="20"/>
    <n v="1"/>
  </r>
  <r>
    <s v="Peritoneal Lavage"/>
    <x v="22"/>
    <n v="1"/>
  </r>
  <r>
    <s v="Ovarian Cyst"/>
    <x v="20"/>
    <n v="5"/>
  </r>
  <r>
    <s v="Laparotomy"/>
    <x v="22"/>
    <n v="1"/>
  </r>
  <r>
    <s v="Salpingitis"/>
    <x v="20"/>
    <n v="2"/>
  </r>
  <r>
    <s v="Endocervical Curettage"/>
    <x v="20"/>
    <n v="8"/>
  </r>
  <r>
    <s v="Streptococcal Infection"/>
    <x v="40"/>
    <n v="1"/>
  </r>
  <r>
    <s v="Polypectomy"/>
    <x v="8"/>
    <n v="4"/>
  </r>
  <r>
    <s v="Leiomyoma"/>
    <x v="20"/>
    <n v="2"/>
  </r>
  <r>
    <s v="Cervicitis"/>
    <x v="20"/>
    <n v="1"/>
  </r>
  <r>
    <s v="Omentectomy"/>
    <x v="22"/>
    <n v="1"/>
  </r>
  <r>
    <s v="Encephalopathy"/>
    <x v="2"/>
    <n v="1"/>
  </r>
  <r>
    <s v="Oophorectomy Bilateral"/>
    <x v="20"/>
    <n v="2"/>
  </r>
  <r>
    <s v="Genital Discharge"/>
    <x v="20"/>
    <n v="2"/>
  </r>
  <r>
    <s v="Retinal Artery Embolism"/>
    <x v="36"/>
    <n v="1"/>
  </r>
  <r>
    <s v="Patella Fracture"/>
    <x v="6"/>
    <n v="2"/>
  </r>
  <r>
    <s v="Uterine Enlargement"/>
    <x v="20"/>
    <n v="1"/>
  </r>
  <r>
    <s v="Biopsy Endometrium"/>
    <x v="20"/>
    <n v="2"/>
  </r>
  <r>
    <s v="Hemiplegia"/>
    <x v="2"/>
    <n v="2"/>
  </r>
  <r>
    <s v="Uterine Haemorrhage"/>
    <x v="20"/>
    <n v="2"/>
  </r>
  <r>
    <s v="Therapeutic Procedure"/>
    <x v="31"/>
    <n v="2"/>
  </r>
  <r>
    <s v="Fracture Treatment"/>
    <x v="6"/>
    <n v="1"/>
  </r>
  <r>
    <s v="Fibroma"/>
    <x v="20"/>
    <n v="1"/>
  </r>
  <r>
    <s v="Perineoplasty"/>
    <x v="20"/>
    <n v="1"/>
  </r>
  <r>
    <s v="Uterine Prolapse"/>
    <x v="20"/>
    <n v="1"/>
  </r>
  <r>
    <s v="Urinary Bladder Suspension"/>
    <x v="3"/>
    <n v="1"/>
  </r>
  <r>
    <s v="Nephrocalcinosis"/>
    <x v="25"/>
    <n v="1"/>
  </r>
  <r>
    <s v="Laparoscopic Surgery"/>
    <x v="22"/>
    <n v="1"/>
  </r>
  <r>
    <s v="Tumour Excision"/>
    <x v="22"/>
    <n v="1"/>
  </r>
  <r>
    <s v="Endometrial Cancer"/>
    <x v="20"/>
    <n v="5"/>
  </r>
  <r>
    <s v="Joint Arthroplasty"/>
    <x v="6"/>
    <n v="1"/>
  </r>
  <r>
    <s v="Ectropion Of Cervix"/>
    <x v="20"/>
    <n v="1"/>
  </r>
  <r>
    <s v="Uterine Operation"/>
    <x v="20"/>
    <n v="1"/>
  </r>
  <r>
    <s v="Uterine Polypectomy"/>
    <x v="20"/>
    <n v="1"/>
  </r>
  <r>
    <s v="Accident"/>
    <x v="31"/>
    <n v="1"/>
  </r>
  <r>
    <s v="Cardiac Ventricular Thrombosis"/>
    <x v="4"/>
    <n v="2"/>
  </r>
  <r>
    <s v="Appendicectomy"/>
    <x v="8"/>
    <n v="1"/>
  </r>
  <r>
    <s v="Papilloma"/>
    <x v="27"/>
    <n v="1"/>
  </r>
  <r>
    <s v="Hip Arthroplasty"/>
    <x v="6"/>
    <n v="3"/>
  </r>
  <r>
    <s v="Endometritis"/>
    <x v="20"/>
    <n v="1"/>
  </r>
  <r>
    <s v="Hypertrophic Cardiomyopathy"/>
    <x v="4"/>
    <n v="2"/>
  </r>
  <r>
    <s v="Arterial Stent Insertion"/>
    <x v="4"/>
    <n v="1"/>
  </r>
  <r>
    <s v="Angioplasty"/>
    <x v="4"/>
    <n v="2"/>
  </r>
  <r>
    <s v="Cardiac Output Decreased"/>
    <x v="4"/>
    <n v="1"/>
  </r>
  <r>
    <s v="Postmenopausal Haemorrhage"/>
    <x v="20"/>
    <n v="1"/>
  </r>
  <r>
    <s v="Haematoma Infection"/>
    <x v="27"/>
    <n v="1"/>
  </r>
  <r>
    <s v="Dementia Alzheimer's Type"/>
    <x v="2"/>
    <n v="1"/>
  </r>
  <r>
    <s v="Ocular Toxicity"/>
    <x v="36"/>
    <n v="1"/>
  </r>
  <r>
    <s v="Eye Operation"/>
    <x v="36"/>
    <n v="2"/>
  </r>
  <r>
    <s v="Open Reduction Of Fracture"/>
    <x v="6"/>
    <n v="1"/>
  </r>
  <r>
    <s v="Ulna Fracture"/>
    <x v="6"/>
    <n v="1"/>
  </r>
  <r>
    <s v="Skull Fracture"/>
    <x v="2"/>
    <n v="1"/>
  </r>
  <r>
    <s v="Brain Contusion"/>
    <x v="2"/>
    <n v="1"/>
  </r>
  <r>
    <s v="Acquired Cardiac Septal Defect"/>
    <x v="4"/>
    <n v="1"/>
  </r>
  <r>
    <s v="Ovarian Neoplasm"/>
    <x v="20"/>
    <n v="1"/>
  </r>
  <r>
    <s v="Ovarian Operation"/>
    <x v="20"/>
    <n v="1"/>
  </r>
  <r>
    <s v="Ovarian Adhesion"/>
    <x v="20"/>
    <n v="1"/>
  </r>
  <r>
    <s v="Spinal Decompression"/>
    <x v="2"/>
    <n v="1"/>
  </r>
  <r>
    <s v="Intervertebral Disc Operation"/>
    <x v="6"/>
    <n v="1"/>
  </r>
  <r>
    <s v="Angiosclerosis"/>
    <x v="4"/>
    <n v="1"/>
  </r>
  <r>
    <s v="Angiogram"/>
    <x v="4"/>
    <n v="2"/>
  </r>
  <r>
    <s v="Coronary Angioplasty"/>
    <x v="4"/>
    <n v="1"/>
  </r>
  <r>
    <s v="Coronary Artery Occlusion"/>
    <x v="4"/>
    <n v="1"/>
  </r>
  <r>
    <s v="Arterial Bypass Operation"/>
    <x v="4"/>
    <n v="2"/>
  </r>
  <r>
    <s v="Hemianopia"/>
    <x v="2"/>
    <n v="1"/>
  </r>
  <r>
    <s v="Sputum Discoloured"/>
    <x v="9"/>
    <n v="1"/>
  </r>
  <r>
    <s v="Cerebellar Atrophy"/>
    <x v="2"/>
    <n v="1"/>
  </r>
  <r>
    <s v="Cardiogenic Shock"/>
    <x v="4"/>
    <n v="1"/>
  </r>
  <r>
    <s v="Diet Refusal"/>
    <x v="17"/>
    <n v="1"/>
  </r>
  <r>
    <s v="Pemphigus"/>
    <x v="27"/>
    <n v="1"/>
  </r>
  <r>
    <s v="Orthopaedic Procedure"/>
    <x v="6"/>
    <n v="1"/>
  </r>
  <r>
    <s v="Limb Immobilisation"/>
    <x v="6"/>
    <n v="1"/>
  </r>
  <r>
    <s v="Paresis"/>
    <x v="2"/>
    <n v="1"/>
  </r>
  <r>
    <s v="Cataract Cortical"/>
    <x v="36"/>
    <n v="1"/>
  </r>
  <r>
    <s v="Systemic Lupus Erythematosus Rash"/>
    <x v="27"/>
    <n v="2"/>
  </r>
  <r>
    <s v="Gastric Polyps"/>
    <x v="8"/>
    <n v="1"/>
  </r>
  <r>
    <s v="Monocyte Percentage Increased"/>
    <x v="30"/>
    <n v="1"/>
  </r>
  <r>
    <s v="Dental Cleaning"/>
    <x v="13"/>
    <n v="1"/>
  </r>
  <r>
    <s v="Periodontal Disease"/>
    <x v="13"/>
    <n v="1"/>
  </r>
  <r>
    <s v="Resorption Bone Increased"/>
    <x v="6"/>
    <n v="1"/>
  </r>
  <r>
    <s v="Axillary Pain"/>
    <x v="6"/>
    <n v="1"/>
  </r>
  <r>
    <s v="Rhabdomyolysis"/>
    <x v="41"/>
    <n v="1"/>
  </r>
  <r>
    <s v="Blood Creatine Phosphokinase Mb Increased"/>
    <x v="41"/>
    <n v="1"/>
  </r>
  <r>
    <s v="Glucose Urine"/>
    <x v="25"/>
    <n v="1"/>
  </r>
  <r>
    <s v="Skin Warm"/>
    <x v="27"/>
    <n v="1"/>
  </r>
  <r>
    <s v="Occult Blood Positive"/>
    <x v="8"/>
    <n v="1"/>
  </r>
  <r>
    <s v="Blood Lactate Dehydrogenase Abnormal"/>
    <x v="33"/>
    <n v="1"/>
  </r>
  <r>
    <s v="Oedema Mouth"/>
    <x v="13"/>
    <n v="3"/>
  </r>
  <r>
    <s v="Bone Sequestrum"/>
    <x v="6"/>
    <n v="2"/>
  </r>
  <r>
    <s v="Dental Fistula"/>
    <x v="13"/>
    <n v="1"/>
  </r>
  <r>
    <s v="Cholecystectomy"/>
    <x v="8"/>
    <n v="1"/>
  </r>
  <r>
    <s v="Congestive Hepatopathy"/>
    <x v="33"/>
    <n v="1"/>
  </r>
  <r>
    <s v="Haemorrhagic Diathesis"/>
    <x v="30"/>
    <n v="1"/>
  </r>
  <r>
    <s v="Hepatitis Fulminant"/>
    <x v="33"/>
    <n v="2"/>
  </r>
  <r>
    <s v="Shock"/>
    <x v="4"/>
    <n v="1"/>
  </r>
  <r>
    <s v="Contraception"/>
    <x v="20"/>
    <n v="1"/>
  </r>
  <r>
    <s v="Pericardial Drainage"/>
    <x v="4"/>
    <n v="1"/>
  </r>
  <r>
    <s v="Coronary Arterial Stent Insertion"/>
    <x v="4"/>
    <n v="1"/>
  </r>
  <r>
    <s v="Cardiac Ventriculogram Left"/>
    <x v="4"/>
    <n v="1"/>
  </r>
  <r>
    <s v="Microangiopathic Haemolytic Anaemia"/>
    <x v="30"/>
    <n v="1"/>
  </r>
  <r>
    <s v="Actinic Keratosis"/>
    <x v="27"/>
    <n v="2"/>
  </r>
  <r>
    <s v="Sinus Headache"/>
    <x v="2"/>
    <n v="1"/>
  </r>
  <r>
    <s v="Vaginal Odour"/>
    <x v="20"/>
    <n v="1"/>
  </r>
  <r>
    <s v="Increased Bronchial Secretion"/>
    <x v="9"/>
    <n v="1"/>
  </r>
  <r>
    <s v="Eye Degenerative Disorder"/>
    <x v="36"/>
    <n v="1"/>
  </r>
  <r>
    <s v="Refusal Of Treatment By Patient"/>
    <x v="31"/>
    <n v="1"/>
  </r>
  <r>
    <s v="Endometrial Neoplasm"/>
    <x v="20"/>
    <n v="1"/>
  </r>
  <r>
    <s v="Abdominal Hernia Obstructive"/>
    <x v="8"/>
    <n v="1"/>
  </r>
  <r>
    <s v="Transurethral Bladder Resection"/>
    <x v="3"/>
    <n v="1"/>
  </r>
  <r>
    <s v="Cooling Therapy"/>
    <x v="31"/>
    <n v="1"/>
  </r>
  <r>
    <s v="Tongue Disorder"/>
    <x v="13"/>
    <n v="1"/>
  </r>
  <r>
    <s v="Body Tinea"/>
    <x v="27"/>
    <n v="1"/>
  </r>
  <r>
    <s v="Abnormal Sleep-Related Event"/>
    <x v="2"/>
    <n v="1"/>
  </r>
  <r>
    <s v="Varicose Vein"/>
    <x v="4"/>
    <n v="1"/>
  </r>
  <r>
    <s v="Vascular Pain"/>
    <x v="4"/>
    <n v="1"/>
  </r>
  <r>
    <s v="Endoscopy Small Intestine"/>
    <x v="8"/>
    <n v="1"/>
  </r>
  <r>
    <s v="Duodenitis"/>
    <x v="8"/>
    <n v="1"/>
  </r>
  <r>
    <s v="Palliative Care"/>
    <x v="31"/>
    <n v="1"/>
  </r>
  <r>
    <s v="Cardioversion"/>
    <x v="4"/>
    <n v="1"/>
  </r>
  <r>
    <s v="Cardiac Fibrillation"/>
    <x v="4"/>
    <n v="1"/>
  </r>
  <r>
    <s v="Aura"/>
    <x v="2"/>
    <n v="1"/>
  </r>
  <r>
    <s v="Amylase Increased"/>
    <x v="43"/>
    <n v="1"/>
  </r>
  <r>
    <s v="Urinary Tract Infection Staphylococcal"/>
    <x v="3"/>
    <n v="1"/>
  </r>
  <r>
    <s v="Acute Monocytic Leukaemia"/>
    <x v="1"/>
    <n v="1"/>
  </r>
  <r>
    <s v="Dental Examination Abnormal"/>
    <x v="13"/>
    <n v="1"/>
  </r>
  <r>
    <s v="Artificial Crown Procedure"/>
    <x v="13"/>
    <n v="1"/>
  </r>
  <r>
    <s v="Hyperaesthesia Teeth"/>
    <x v="13"/>
    <n v="1"/>
  </r>
  <r>
    <s v="Glomerulonephritis Rapidly Progressive"/>
    <x v="25"/>
    <n v="1"/>
  </r>
  <r>
    <s v="Abdominal Symptom"/>
    <x v="8"/>
    <n v="1"/>
  </r>
  <r>
    <s v="Bladder Catheterisation"/>
    <x v="3"/>
    <n v="1"/>
  </r>
  <r>
    <s v="Renal Stone Removal"/>
    <x v="25"/>
    <n v="1"/>
  </r>
  <r>
    <s v="Inappropriate Antidiuretic Hormone Secretion"/>
    <x v="7"/>
    <n v="1"/>
  </r>
  <r>
    <s v="Tongue Cancer Metastatic"/>
    <x v="13"/>
    <n v="1"/>
  </r>
  <r>
    <s v="Electrocardiogram Ambulatory"/>
    <x v="4"/>
    <n v="1"/>
  </r>
  <r>
    <s v="Sluggishness"/>
    <x v="2"/>
    <n v="2"/>
  </r>
  <r>
    <s v="Cardiac Flutter"/>
    <x v="4"/>
    <n v="2"/>
  </r>
  <r>
    <s v="Hand Deformity"/>
    <x v="6"/>
    <n v="1"/>
  </r>
  <r>
    <s v="Pneumonia Pseudomonal"/>
    <x v="9"/>
    <n v="1"/>
  </r>
  <r>
    <s v="Haemolysis"/>
    <x v="1"/>
    <n v="1"/>
  </r>
  <r>
    <s v="Liver Abscess"/>
    <x v="33"/>
    <n v="1"/>
  </r>
  <r>
    <s v="Ureteric Obstruction"/>
    <x v="3"/>
    <n v="1"/>
  </r>
  <r>
    <s v="Haemodialysis"/>
    <x v="25"/>
    <n v="1"/>
  </r>
  <r>
    <s v="Mesenteric Vein Thrombosis"/>
    <x v="4"/>
    <n v="1"/>
  </r>
  <r>
    <s v="Hyperkinesia"/>
    <x v="2"/>
    <n v="1"/>
  </r>
  <r>
    <s v="Bronchitis Chronic"/>
    <x v="9"/>
    <n v="1"/>
  </r>
  <r>
    <s v="Diagnostic Aspiration"/>
    <x v="31"/>
    <n v="1"/>
  </r>
  <r>
    <s v="Platelet Count Abnormal"/>
    <x v="30"/>
    <n v="1"/>
  </r>
  <r>
    <s v="Nephrotic Syndrome"/>
    <x v="25"/>
    <n v="1"/>
  </r>
  <r>
    <s v="Nutritional Supplementation"/>
    <x v="17"/>
    <n v="1"/>
  </r>
  <r>
    <s v="Hypersensitivity Pneumonitis"/>
    <x v="9"/>
    <n v="1"/>
  </r>
  <r>
    <s v="Sense Of Oppression"/>
    <x v="9"/>
    <n v="1"/>
  </r>
  <r>
    <s v="Breast Atrophy"/>
    <x v="34"/>
    <n v="1"/>
  </r>
  <r>
    <s v="Urine Output Increased"/>
    <x v="25"/>
    <n v="1"/>
  </r>
  <r>
    <s v="Increased Upper Airway Secretion"/>
    <x v="9"/>
    <n v="1"/>
  </r>
  <r>
    <s v="Facial Paresis"/>
    <x v="2"/>
    <n v="1"/>
  </r>
  <r>
    <s v="Immobile"/>
    <x v="6"/>
    <n v="1"/>
  </r>
  <r>
    <s v="Aortic Disorder"/>
    <x v="4"/>
    <n v="1"/>
  </r>
  <r>
    <s v="Ventricular Dysfunction"/>
    <x v="4"/>
    <n v="1"/>
  </r>
  <r>
    <s v="Adenoma Benign"/>
    <x v="7"/>
    <n v="1"/>
  </r>
  <r>
    <s v="Performance Status Decreased"/>
    <x v="31"/>
    <n v="1"/>
  </r>
  <r>
    <s v="Virilism"/>
    <x v="7"/>
    <n v="1"/>
  </r>
  <r>
    <s v="Enlarged Clitoris"/>
    <x v="20"/>
    <n v="1"/>
  </r>
  <r>
    <s v="Sensation Of Foreign Body"/>
    <x v="2"/>
    <n v="1"/>
  </r>
  <r>
    <s v="Photodermatosis"/>
    <x v="27"/>
    <n v="1"/>
  </r>
  <r>
    <s v="Osteosclerosis"/>
    <x v="6"/>
    <n v="1"/>
  </r>
  <r>
    <s v="Lupus-Like Syndrome"/>
    <x v="44"/>
    <n v="1"/>
  </r>
  <r>
    <s v="Bronchial Neoplasm"/>
    <x v="9"/>
    <n v="1"/>
  </r>
  <r>
    <s v="Lymphocytosis"/>
    <x v="1"/>
    <n v="1"/>
  </r>
  <r>
    <s v="Scleral Discolouration"/>
    <x v="36"/>
    <n v="1"/>
  </r>
  <r>
    <s v="Pulmonary Artery Thrombosis"/>
    <x v="4"/>
    <n v="1"/>
  </r>
  <r>
    <s v="Vitreous Opacities"/>
    <x v="36"/>
    <n v="1"/>
  </r>
  <r>
    <s v="Guillain-Barre Syndrome"/>
    <x v="2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Diarrhoea"/>
    <x v="0"/>
    <n v="1"/>
  </r>
  <r>
    <s v="Fatigue"/>
    <x v="1"/>
    <n v="5"/>
  </r>
  <r>
    <s v="Neutropenia"/>
    <x v="2"/>
    <n v="6"/>
  </r>
  <r>
    <s v="Thrombocytopenia"/>
    <x v="2"/>
    <n v="2"/>
  </r>
  <r>
    <s v="Neoplasm Progression"/>
    <x v="1"/>
    <n v="2"/>
  </r>
  <r>
    <s v="Prostate Cancer"/>
    <x v="3"/>
    <n v="1"/>
  </r>
  <r>
    <s v="Encephalopathy"/>
    <x v="4"/>
    <n v="1"/>
  </r>
  <r>
    <s v="Glioblastoma Multiforme"/>
    <x v="4"/>
    <n v="1"/>
  </r>
  <r>
    <s v="Seizure"/>
    <x v="4"/>
    <n v="2"/>
  </r>
  <r>
    <s v="Malignant Neoplasm Progression"/>
    <x v="1"/>
    <n v="1"/>
  </r>
  <r>
    <s v="Death"/>
    <x v="1"/>
    <n v="1"/>
  </r>
  <r>
    <s v="Hypothyroidism"/>
    <x v="5"/>
    <n v="1"/>
  </r>
  <r>
    <s v="White Blood Cell Count Decreased"/>
    <x v="2"/>
    <n v="1"/>
  </r>
  <r>
    <s v="Red Blood Cell Count Decreased"/>
    <x v="2"/>
    <n v="1"/>
  </r>
  <r>
    <s v="Product Use Issue"/>
    <x v="1"/>
    <n v="3"/>
  </r>
  <r>
    <s v="Off Label Use"/>
    <x v="1"/>
    <n v="1"/>
  </r>
  <r>
    <s v="Ischaemic Stroke"/>
    <x v="4"/>
    <n v="4"/>
  </r>
  <r>
    <s v="Full Blood Count Decreased"/>
    <x v="2"/>
    <n v="1"/>
  </r>
  <r>
    <s v="Potentiating Drug Interaction"/>
    <x v="1"/>
    <n v="1"/>
  </r>
  <r>
    <s v="Arthralgia"/>
    <x v="6"/>
    <n v="1"/>
  </r>
  <r>
    <s v="Ligament Pain"/>
    <x v="6"/>
    <n v="1"/>
  </r>
  <r>
    <s v="Pain In Extremity"/>
    <x v="6"/>
    <n v="1"/>
  </r>
  <r>
    <s v="Musculoskeletal Stiffness"/>
    <x v="6"/>
    <n v="1"/>
  </r>
  <r>
    <s v="Infectious Pleural Effusion"/>
    <x v="7"/>
    <n v="1"/>
  </r>
  <r>
    <s v="Lymphangiosis Carcinomatosa"/>
    <x v="8"/>
    <n v="1"/>
  </r>
  <r>
    <s v="Acute Kidney Injury"/>
    <x v="9"/>
    <n v="1"/>
  </r>
  <r>
    <s v="Urinary Tract Infection"/>
    <x v="10"/>
    <n v="1"/>
  </r>
  <r>
    <s v="Decreased Appetite"/>
    <x v="11"/>
    <n v="3"/>
  </r>
  <r>
    <s v="Osteoporosis"/>
    <x v="6"/>
    <n v="1"/>
  </r>
  <r>
    <s v="Blood Creatinine Increased"/>
    <x v="9"/>
    <n v="1"/>
  </r>
  <r>
    <s v="Urinary Tract Obstruction"/>
    <x v="10"/>
    <n v="1"/>
  </r>
  <r>
    <s v="Metastases To Lymph Nodes"/>
    <x v="8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4">
  <r>
    <s v="Hypoaesthesia"/>
    <x v="0"/>
    <n v="33"/>
  </r>
  <r>
    <s v="Neuralgia"/>
    <x v="0"/>
    <n v="6"/>
  </r>
  <r>
    <s v="Pain In Extremity"/>
    <x v="1"/>
    <n v="67"/>
  </r>
  <r>
    <s v="Blood Alkaline Phosphatase Increased"/>
    <x v="2"/>
    <n v="16"/>
  </r>
  <r>
    <s v="Alanine Aminotransferase Increased"/>
    <x v="2"/>
    <n v="35"/>
  </r>
  <r>
    <s v="Aspartate Aminotransferase Increased"/>
    <x v="2"/>
    <n v="36"/>
  </r>
  <r>
    <s v="Umbilical Hernia"/>
    <x v="3"/>
    <n v="2"/>
  </r>
  <r>
    <s v="Condition Aggravated"/>
    <x v="4"/>
    <n v="12"/>
  </r>
  <r>
    <s v="General Physical Health Deterioration"/>
    <x v="4"/>
    <n v="31"/>
  </r>
  <r>
    <s v="Anaemia"/>
    <x v="5"/>
    <n v="53"/>
  </r>
  <r>
    <s v="Arthropathy"/>
    <x v="1"/>
    <n v="7"/>
  </r>
  <r>
    <s v="Hyperchromic Anaemia"/>
    <x v="5"/>
    <n v="1"/>
  </r>
  <r>
    <s v="Diarrhoea"/>
    <x v="3"/>
    <n v="113"/>
  </r>
  <r>
    <s v="Pain"/>
    <x v="4"/>
    <n v="57"/>
  </r>
  <r>
    <s v="Death"/>
    <x v="4"/>
    <n v="33"/>
  </r>
  <r>
    <s v="Malignant Neoplasm Progression"/>
    <x v="4"/>
    <n v="83"/>
  </r>
  <r>
    <s v="Invasive Ductal Breast Carcinoma"/>
    <x v="6"/>
    <n v="4"/>
  </r>
  <r>
    <s v="Drug-Induced Liver Injury"/>
    <x v="2"/>
    <n v="17"/>
  </r>
  <r>
    <s v="Sinus Tachycardia"/>
    <x v="7"/>
    <n v="10"/>
  </r>
  <r>
    <s v="Herpes Simplex"/>
    <x v="8"/>
    <n v="3"/>
  </r>
  <r>
    <s v="Dry Skin"/>
    <x v="9"/>
    <n v="22"/>
  </r>
  <r>
    <s v="Lipoma"/>
    <x v="9"/>
    <n v="2"/>
  </r>
  <r>
    <s v="Nasopharyngitis"/>
    <x v="10"/>
    <n v="5"/>
  </r>
  <r>
    <s v="Haemorrhage"/>
    <x v="5"/>
    <n v="8"/>
  </r>
  <r>
    <s v="Herpes Zoster"/>
    <x v="9"/>
    <n v="2"/>
  </r>
  <r>
    <s v="Arthralgia"/>
    <x v="1"/>
    <n v="153"/>
  </r>
  <r>
    <s v="Bone Pain"/>
    <x v="1"/>
    <n v="68"/>
  </r>
  <r>
    <s v="Muscle Rupture"/>
    <x v="11"/>
    <n v="2"/>
  </r>
  <r>
    <s v="Osteolysis"/>
    <x v="1"/>
    <n v="4"/>
  </r>
  <r>
    <s v="Neutrophil Count Decreased"/>
    <x v="5"/>
    <n v="28"/>
  </r>
  <r>
    <s v="Hip Fracture"/>
    <x v="1"/>
    <n v="6"/>
  </r>
  <r>
    <s v="Diabetes Mellitus"/>
    <x v="12"/>
    <n v="9"/>
  </r>
  <r>
    <s v="Colitis Ulcerative"/>
    <x v="3"/>
    <n v="3"/>
  </r>
  <r>
    <s v="Dyspnoea"/>
    <x v="10"/>
    <n v="102"/>
  </r>
  <r>
    <s v="Lethargy"/>
    <x v="0"/>
    <n v="5"/>
  </r>
  <r>
    <s v="Chest Pain"/>
    <x v="7"/>
    <n v="41"/>
  </r>
  <r>
    <s v="Nausea"/>
    <x v="3"/>
    <n v="136"/>
  </r>
  <r>
    <s v="Hypokalaemia"/>
    <x v="12"/>
    <n v="11"/>
  </r>
  <r>
    <s v="Seizure"/>
    <x v="0"/>
    <n v="14"/>
  </r>
  <r>
    <s v="White Blood Cell Count Decreased"/>
    <x v="5"/>
    <n v="38"/>
  </r>
  <r>
    <s v="Ascites"/>
    <x v="3"/>
    <n v="11"/>
  </r>
  <r>
    <s v="Incorrect Dose Administered"/>
    <x v="4"/>
    <n v="1"/>
  </r>
  <r>
    <s v="Breast Cancer"/>
    <x v="6"/>
    <n v="35"/>
  </r>
  <r>
    <s v="Hypocalcaemia"/>
    <x v="12"/>
    <n v="6"/>
  </r>
  <r>
    <s v="Hypoalbuminaemia"/>
    <x v="13"/>
    <n v="1"/>
  </r>
  <r>
    <s v="Epilepsy"/>
    <x v="0"/>
    <n v="2"/>
  </r>
  <r>
    <s v="Oedema Peripheral"/>
    <x v="4"/>
    <n v="25"/>
  </r>
  <r>
    <s v="Lymphocyte Count Decreased"/>
    <x v="5"/>
    <n v="8"/>
  </r>
  <r>
    <s v="Glossitis"/>
    <x v="14"/>
    <n v="1"/>
  </r>
  <r>
    <s v="Flushing"/>
    <x v="9"/>
    <n v="1"/>
  </r>
  <r>
    <s v="Dermatitis"/>
    <x v="9"/>
    <n v="6"/>
  </r>
  <r>
    <s v="Fatigue"/>
    <x v="4"/>
    <n v="147"/>
  </r>
  <r>
    <s v="Influenza"/>
    <x v="8"/>
    <n v="5"/>
  </r>
  <r>
    <s v="Hypercalcaemia"/>
    <x v="12"/>
    <n v="6"/>
  </r>
  <r>
    <s v="Urinary Tract Infection"/>
    <x v="15"/>
    <n v="19"/>
  </r>
  <r>
    <s v="Scar Pain"/>
    <x v="1"/>
    <n v="1"/>
  </r>
  <r>
    <s v="Rhinitis"/>
    <x v="10"/>
    <n v="1"/>
  </r>
  <r>
    <s v="Metastases To Lung"/>
    <x v="10"/>
    <n v="26"/>
  </r>
  <r>
    <s v="Breast Cancer Metastatic"/>
    <x v="6"/>
    <n v="55"/>
  </r>
  <r>
    <s v="Metastases To Central Nervous System"/>
    <x v="0"/>
    <n v="13"/>
  </r>
  <r>
    <s v="Decreased Appetite"/>
    <x v="13"/>
    <n v="51"/>
  </r>
  <r>
    <s v="Lymphangiosis Carcinomatosa"/>
    <x v="16"/>
    <n v="5"/>
  </r>
  <r>
    <s v="Pleural Effusion"/>
    <x v="10"/>
    <n v="35"/>
  </r>
  <r>
    <s v="Osteosclerosis"/>
    <x v="1"/>
    <n v="5"/>
  </r>
  <r>
    <s v="Disease Progression"/>
    <x v="4"/>
    <n v="24"/>
  </r>
  <r>
    <s v="Bone Lesion"/>
    <x v="1"/>
    <n v="3"/>
  </r>
  <r>
    <s v="Cough"/>
    <x v="10"/>
    <n v="34"/>
  </r>
  <r>
    <s v="Inappropriate Schedule Of Product Administration"/>
    <x v="4"/>
    <n v="12"/>
  </r>
  <r>
    <s v="Nephrolithiasis"/>
    <x v="15"/>
    <n v="4"/>
  </r>
  <r>
    <s v="Leukopenia"/>
    <x v="5"/>
    <n v="25"/>
  </r>
  <r>
    <s v="Dizziness"/>
    <x v="0"/>
    <n v="60"/>
  </r>
  <r>
    <s v="Disturbance In Attention"/>
    <x v="0"/>
    <n v="8"/>
  </r>
  <r>
    <s v="Palmar-Plantar Erythrodysaesthesia Syndrome"/>
    <x v="9"/>
    <n v="16"/>
  </r>
  <r>
    <s v="Tumour Marker Increased"/>
    <x v="4"/>
    <n v="18"/>
  </r>
  <r>
    <s v="Liver Function Test Increased"/>
    <x v="2"/>
    <n v="9"/>
  </r>
  <r>
    <s v="Metastases To Liver"/>
    <x v="2"/>
    <n v="51"/>
  </r>
  <r>
    <s v="Hypotension"/>
    <x v="7"/>
    <n v="20"/>
  </r>
  <r>
    <s v="Acute Kidney Injury"/>
    <x v="17"/>
    <n v="9"/>
  </r>
  <r>
    <s v="Toxic Encephalopathy"/>
    <x v="0"/>
    <n v="1"/>
  </r>
  <r>
    <s v="Klebsiella Infection"/>
    <x v="8"/>
    <n v="2"/>
  </r>
  <r>
    <s v="Staphylococcal Infection"/>
    <x v="8"/>
    <n v="2"/>
  </r>
  <r>
    <s v="Headache"/>
    <x v="0"/>
    <n v="70"/>
  </r>
  <r>
    <s v="Tubulointerstitial Nephritis"/>
    <x v="17"/>
    <n v="13"/>
  </r>
  <r>
    <s v="Hyperkalaemia"/>
    <x v="12"/>
    <n v="5"/>
  </r>
  <r>
    <s v="Pseudomonas Infection"/>
    <x v="8"/>
    <n v="1"/>
  </r>
  <r>
    <s v="Lactic Acidosis"/>
    <x v="13"/>
    <n v="2"/>
  </r>
  <r>
    <s v="Intercapillary Glomerulosclerosis"/>
    <x v="17"/>
    <n v="1"/>
  </r>
  <r>
    <s v="Pneumonia Bacterial"/>
    <x v="10"/>
    <n v="2"/>
  </r>
  <r>
    <s v="Gastritis Erosive"/>
    <x v="3"/>
    <n v="1"/>
  </r>
  <r>
    <s v="Duodenitis"/>
    <x v="3"/>
    <n v="2"/>
  </r>
  <r>
    <s v="Anaemia Vitamin B12 Deficiency"/>
    <x v="5"/>
    <n v="1"/>
  </r>
  <r>
    <s v="Depressed Level Of Consciousness"/>
    <x v="0"/>
    <n v="2"/>
  </r>
  <r>
    <s v="Renal Tubular Necrosis"/>
    <x v="17"/>
    <n v="16"/>
  </r>
  <r>
    <s v="Osteoporosis"/>
    <x v="1"/>
    <n v="6"/>
  </r>
  <r>
    <s v="Arteriosclerosis"/>
    <x v="7"/>
    <n v="4"/>
  </r>
  <r>
    <s v="Hyperlipidaemia"/>
    <x v="13"/>
    <n v="2"/>
  </r>
  <r>
    <s v="Cerebral Haematoma"/>
    <x v="0"/>
    <n v="5"/>
  </r>
  <r>
    <s v="Vomiting"/>
    <x v="3"/>
    <n v="84"/>
  </r>
  <r>
    <s v="Asthenia"/>
    <x v="4"/>
    <n v="63"/>
  </r>
  <r>
    <s v="Impaired Healing"/>
    <x v="4"/>
    <n v="7"/>
  </r>
  <r>
    <s v="Electrocardiogram Qt Prolonged"/>
    <x v="7"/>
    <n v="16"/>
  </r>
  <r>
    <s v="Myalgia"/>
    <x v="11"/>
    <n v="54"/>
  </r>
  <r>
    <s v="Rash Pruritic"/>
    <x v="9"/>
    <n v="12"/>
  </r>
  <r>
    <s v="Abdominal Distension"/>
    <x v="3"/>
    <n v="32"/>
  </r>
  <r>
    <s v="Erythema"/>
    <x v="9"/>
    <n v="25"/>
  </r>
  <r>
    <s v="Rash"/>
    <x v="9"/>
    <n v="72"/>
  </r>
  <r>
    <s v="Chills"/>
    <x v="4"/>
    <n v="17"/>
  </r>
  <r>
    <s v="Arthritis"/>
    <x v="1"/>
    <n v="14"/>
  </r>
  <r>
    <s v="Sexual Dysfunction"/>
    <x v="6"/>
    <n v="2"/>
  </r>
  <r>
    <s v="Feeling Abnormal"/>
    <x v="18"/>
    <n v="19"/>
  </r>
  <r>
    <s v="Post-Traumatic Stress Disorder"/>
    <x v="18"/>
    <n v="2"/>
  </r>
  <r>
    <s v="Spinal Decompression"/>
    <x v="1"/>
    <n v="1"/>
  </r>
  <r>
    <s v="Dry Mouth"/>
    <x v="14"/>
    <n v="16"/>
  </r>
  <r>
    <s v="Tension"/>
    <x v="18"/>
    <n v="1"/>
  </r>
  <r>
    <s v="Vulvovaginal Dryness"/>
    <x v="6"/>
    <n v="16"/>
  </r>
  <r>
    <s v="Spinal Compression Fracture"/>
    <x v="1"/>
    <n v="2"/>
  </r>
  <r>
    <s v="Spinal Stenosis"/>
    <x v="1"/>
    <n v="1"/>
  </r>
  <r>
    <s v="Back Pain"/>
    <x v="1"/>
    <n v="39"/>
  </r>
  <r>
    <s v="Hepatic Enzyme Increased"/>
    <x v="2"/>
    <n v="12"/>
  </r>
  <r>
    <s v="Toxicity To Various Agents"/>
    <x v="4"/>
    <n v="10"/>
  </r>
  <r>
    <s v="Eye Disorder"/>
    <x v="19"/>
    <n v="4"/>
  </r>
  <r>
    <s v="Transient Ischaemic Attack"/>
    <x v="0"/>
    <n v="5"/>
  </r>
  <r>
    <s v="Pneumonia"/>
    <x v="10"/>
    <n v="27"/>
  </r>
  <r>
    <s v="Product Use In Unapproved Indication"/>
    <x v="4"/>
    <n v="16"/>
  </r>
  <r>
    <s v="Postmenopausal Haemorrhage"/>
    <x v="6"/>
    <n v="10"/>
  </r>
  <r>
    <s v="Blood Pressure Decreased"/>
    <x v="7"/>
    <n v="14"/>
  </r>
  <r>
    <s v="Off Label Use"/>
    <x v="4"/>
    <n v="18"/>
  </r>
  <r>
    <s v="Muscular Weakness"/>
    <x v="11"/>
    <n v="19"/>
  </r>
  <r>
    <s v="Carbohydrate Antigen 125 Increased"/>
    <x v="6"/>
    <n v="11"/>
  </r>
  <r>
    <s v="Central Obesity"/>
    <x v="13"/>
    <n v="10"/>
  </r>
  <r>
    <s v="Clostridial Infection"/>
    <x v="8"/>
    <n v="3"/>
  </r>
  <r>
    <s v="Neurotoxicity"/>
    <x v="0"/>
    <n v="11"/>
  </r>
  <r>
    <s v="Muscle Spasms"/>
    <x v="11"/>
    <n v="12"/>
  </r>
  <r>
    <s v="Pathological Fracture"/>
    <x v="1"/>
    <n v="4"/>
  </r>
  <r>
    <s v="Cholecystitis Acute"/>
    <x v="20"/>
    <n v="4"/>
  </r>
  <r>
    <s v="Interstitial Lung Disease"/>
    <x v="10"/>
    <n v="21"/>
  </r>
  <r>
    <s v="Deep Vein Thrombosis"/>
    <x v="21"/>
    <n v="27"/>
  </r>
  <r>
    <s v="Bone Contusion"/>
    <x v="1"/>
    <n v="3"/>
  </r>
  <r>
    <s v="Skin Toxicity"/>
    <x v="9"/>
    <n v="11"/>
  </r>
  <r>
    <s v="Hyperthermia"/>
    <x v="4"/>
    <n v="2"/>
  </r>
  <r>
    <s v="Haematoma"/>
    <x v="5"/>
    <n v="5"/>
  </r>
  <r>
    <s v="Sputum Purulent"/>
    <x v="10"/>
    <n v="4"/>
  </r>
  <r>
    <s v="Venous Thrombosis"/>
    <x v="21"/>
    <n v="3"/>
  </r>
  <r>
    <s v="Pulmonary Embolism"/>
    <x v="10"/>
    <n v="35"/>
  </r>
  <r>
    <s v="Throat Irritation"/>
    <x v="10"/>
    <n v="3"/>
  </r>
  <r>
    <s v="Amnesia"/>
    <x v="0"/>
    <n v="9"/>
  </r>
  <r>
    <s v="Memory Impairment"/>
    <x v="0"/>
    <n v="14"/>
  </r>
  <r>
    <s v="Brain Fog"/>
    <x v="0"/>
    <n v="6"/>
  </r>
  <r>
    <s v="Blood Pressure Increased"/>
    <x v="7"/>
    <n v="20"/>
  </r>
  <r>
    <s v="Hypertension"/>
    <x v="7"/>
    <n v="33"/>
  </r>
  <r>
    <s v="Tonsillitis"/>
    <x v="8"/>
    <n v="3"/>
  </r>
  <r>
    <s v="Hypertensive Crisis"/>
    <x v="7"/>
    <n v="3"/>
  </r>
  <r>
    <s v="Constipation"/>
    <x v="3"/>
    <n v="44"/>
  </r>
  <r>
    <s v="Vertigo"/>
    <x v="0"/>
    <n v="17"/>
  </r>
  <r>
    <s v="Depression"/>
    <x v="18"/>
    <n v="27"/>
  </r>
  <r>
    <s v="Anxiety"/>
    <x v="18"/>
    <n v="33"/>
  </r>
  <r>
    <s v="Weight Increased"/>
    <x v="13"/>
    <n v="37"/>
  </r>
  <r>
    <s v="Insomnia"/>
    <x v="0"/>
    <n v="45"/>
  </r>
  <r>
    <s v="Peripheral Swelling"/>
    <x v="4"/>
    <n v="11"/>
  </r>
  <r>
    <s v="Muscle Rigidity"/>
    <x v="11"/>
    <n v="2"/>
  </r>
  <r>
    <s v="Tachycardia"/>
    <x v="7"/>
    <n v="10"/>
  </r>
  <r>
    <s v="Malaise"/>
    <x v="4"/>
    <n v="28"/>
  </r>
  <r>
    <s v="Hyperhidrosis"/>
    <x v="9"/>
    <n v="25"/>
  </r>
  <r>
    <s v="Stevens-Johnson Syndrome"/>
    <x v="9"/>
    <n v="5"/>
  </r>
  <r>
    <s v="Toxic Epidermal Necrolysis"/>
    <x v="9"/>
    <n v="5"/>
  </r>
  <r>
    <s v="Neutropenia"/>
    <x v="5"/>
    <n v="79"/>
  </r>
  <r>
    <s v="Neoplasm Progression"/>
    <x v="4"/>
    <n v="54"/>
  </r>
  <r>
    <s v="Bronchospasm"/>
    <x v="10"/>
    <n v="3"/>
  </r>
  <r>
    <s v="Decreased Immune Responsiveness"/>
    <x v="22"/>
    <n v="6"/>
  </r>
  <r>
    <s v="Alopecia"/>
    <x v="9"/>
    <n v="46"/>
  </r>
  <r>
    <s v="Hepatic Function Abnormal"/>
    <x v="2"/>
    <n v="10"/>
  </r>
  <r>
    <s v="Cerebrovascular Accident"/>
    <x v="0"/>
    <n v="17"/>
  </r>
  <r>
    <s v="Lumbar Vertebral Fracture"/>
    <x v="1"/>
    <n v="2"/>
  </r>
  <r>
    <s v="Jaundice"/>
    <x v="2"/>
    <n v="13"/>
  </r>
  <r>
    <s v="Varices Oesophageal"/>
    <x v="3"/>
    <n v="5"/>
  </r>
  <r>
    <s v="Hepatic Cirrhosis"/>
    <x v="2"/>
    <n v="11"/>
  </r>
  <r>
    <s v="Postoperative Wound Complication"/>
    <x v="4"/>
    <n v="1"/>
  </r>
  <r>
    <s v="Drug Intolerance"/>
    <x v="4"/>
    <n v="31"/>
  </r>
  <r>
    <s v="Haemorrhoids"/>
    <x v="3"/>
    <n v="8"/>
  </r>
  <r>
    <s v="Pruritus"/>
    <x v="9"/>
    <n v="41"/>
  </r>
  <r>
    <s v="Abdominal Discomfort"/>
    <x v="3"/>
    <n v="12"/>
  </r>
  <r>
    <s v="Metastases To Bone"/>
    <x v="1"/>
    <n v="75"/>
  </r>
  <r>
    <s v="Drug Hypersensitivity"/>
    <x v="23"/>
    <n v="35"/>
  </r>
  <r>
    <s v="Osteoarthritis"/>
    <x v="1"/>
    <n v="12"/>
  </r>
  <r>
    <s v="Hepatitis"/>
    <x v="2"/>
    <n v="4"/>
  </r>
  <r>
    <s v="Drug Ineffective"/>
    <x v="4"/>
    <n v="37"/>
  </r>
  <r>
    <s v="Hypersensitivity"/>
    <x v="23"/>
    <n v="14"/>
  </r>
  <r>
    <s v="Aortic Valve Disease"/>
    <x v="7"/>
    <n v="1"/>
  </r>
  <r>
    <s v="Ventricular Extrasystoles"/>
    <x v="7"/>
    <n v="2"/>
  </r>
  <r>
    <s v="Electrocardiogram St-T Segment Abnormal"/>
    <x v="7"/>
    <n v="1"/>
  </r>
  <r>
    <s v="Brain Natriuretic Peptide Increased"/>
    <x v="7"/>
    <n v="3"/>
  </r>
  <r>
    <s v="Electrocardiogram Abnormal"/>
    <x v="7"/>
    <n v="1"/>
  </r>
  <r>
    <s v="Left Ventricular Dysfunction"/>
    <x v="7"/>
    <n v="4"/>
  </r>
  <r>
    <s v="Suicidal Ideation"/>
    <x v="18"/>
    <n v="7"/>
  </r>
  <r>
    <s v="Disease Recurrence"/>
    <x v="4"/>
    <n v="9"/>
  </r>
  <r>
    <s v="Gait Disturbance"/>
    <x v="0"/>
    <n v="16"/>
  </r>
  <r>
    <s v="Tendonitis"/>
    <x v="1"/>
    <n v="8"/>
  </r>
  <r>
    <s v="Mastitis"/>
    <x v="6"/>
    <n v="3"/>
  </r>
  <r>
    <s v="Blood Pressure Diastolic Abnormal"/>
    <x v="7"/>
    <n v="2"/>
  </r>
  <r>
    <s v="Covid-19"/>
    <x v="8"/>
    <n v="19"/>
  </r>
  <r>
    <s v="Sars-Cov-2 Test Positive"/>
    <x v="8"/>
    <n v="2"/>
  </r>
  <r>
    <s v="Rash Papular"/>
    <x v="9"/>
    <n v="3"/>
  </r>
  <r>
    <s v="Gamma-Glutamyltransferase Increased"/>
    <x v="2"/>
    <n v="14"/>
  </r>
  <r>
    <s v="Prescription Drug Used Without A Prescription"/>
    <x v="4"/>
    <n v="2"/>
  </r>
  <r>
    <s v="Skin Injury"/>
    <x v="9"/>
    <n v="2"/>
  </r>
  <r>
    <s v="Grip Strength increased"/>
    <x v="11"/>
    <n v="2"/>
  </r>
  <r>
    <s v="Dyskinesia"/>
    <x v="0"/>
    <n v="3"/>
  </r>
  <r>
    <s v="Haemorrhagic Stroke"/>
    <x v="0"/>
    <n v="2"/>
  </r>
  <r>
    <s v="Visual Impairment"/>
    <x v="19"/>
    <n v="34"/>
  </r>
  <r>
    <s v="Coordination Abnormal"/>
    <x v="0"/>
    <n v="8"/>
  </r>
  <r>
    <s v="Cardiac Failure"/>
    <x v="7"/>
    <n v="13"/>
  </r>
  <r>
    <s v="Heavy Menstrual Bleeding"/>
    <x v="6"/>
    <n v="2"/>
  </r>
  <r>
    <s v="Cervicitis"/>
    <x v="6"/>
    <n v="1"/>
  </r>
  <r>
    <s v="Hyponatraemia"/>
    <x v="12"/>
    <n v="17"/>
  </r>
  <r>
    <s v="Blood Creatinine Increased"/>
    <x v="17"/>
    <n v="8"/>
  </r>
  <r>
    <s v="Hypophosphataemia"/>
    <x v="12"/>
    <n v="3"/>
  </r>
  <r>
    <s v="Reflux Gastritis"/>
    <x v="3"/>
    <n v="2"/>
  </r>
  <r>
    <s v="Product Use Issue"/>
    <x v="4"/>
    <n v="5"/>
  </r>
  <r>
    <s v="Vitamin D Deficiency"/>
    <x v="12"/>
    <n v="1"/>
  </r>
  <r>
    <s v="Pulmonary Oedema"/>
    <x v="10"/>
    <n v="6"/>
  </r>
  <r>
    <s v="Cardiomegaly"/>
    <x v="7"/>
    <n v="6"/>
  </r>
  <r>
    <s v="Platelet Count Decreased"/>
    <x v="5"/>
    <n v="17"/>
  </r>
  <r>
    <s v="Pollakiuria"/>
    <x v="15"/>
    <n v="4"/>
  </r>
  <r>
    <s v="Oxygen Saturation Decreased"/>
    <x v="10"/>
    <n v="8"/>
  </r>
  <r>
    <s v="Dyschezia"/>
    <x v="3"/>
    <n v="1"/>
  </r>
  <r>
    <s v="Coronary Artery Dissection"/>
    <x v="7"/>
    <n v="1"/>
  </r>
  <r>
    <s v="Acute Coronary Syndrome"/>
    <x v="7"/>
    <n v="3"/>
  </r>
  <r>
    <s v="Acute Promyelocytic Leukaemia"/>
    <x v="5"/>
    <n v="1"/>
  </r>
  <r>
    <s v="Second Primary Malignancy"/>
    <x v="4"/>
    <n v="17"/>
  </r>
  <r>
    <s v="Uterine Leiomyoma"/>
    <x v="6"/>
    <n v="6"/>
  </r>
  <r>
    <s v="Antinuclear Antibody Increased"/>
    <x v="22"/>
    <n v="3"/>
  </r>
  <r>
    <s v="Abscess Jaw"/>
    <x v="14"/>
    <n v="5"/>
  </r>
  <r>
    <s v="Osteonecrosis Of Jaw"/>
    <x v="1"/>
    <n v="15"/>
  </r>
  <r>
    <s v="Aphonia"/>
    <x v="4"/>
    <n v="1"/>
  </r>
  <r>
    <s v="Viral Infection"/>
    <x v="8"/>
    <n v="2"/>
  </r>
  <r>
    <s v="Illness"/>
    <x v="4"/>
    <n v="7"/>
  </r>
  <r>
    <s v="Nasal Vestibulitis"/>
    <x v="10"/>
    <n v="1"/>
  </r>
  <r>
    <s v="Sinusitis"/>
    <x v="10"/>
    <n v="6"/>
  </r>
  <r>
    <s v="Retching"/>
    <x v="3"/>
    <n v="3"/>
  </r>
  <r>
    <s v="Brachial Plexopathy"/>
    <x v="0"/>
    <n v="1"/>
  </r>
  <r>
    <s v="Inappropriate Antidiuretic Hormone Secretion"/>
    <x v="12"/>
    <n v="5"/>
  </r>
  <r>
    <s v="Rotator Cuff Syndrome"/>
    <x v="1"/>
    <n v="8"/>
  </r>
  <r>
    <s v="Blood Cholesterol Increased"/>
    <x v="13"/>
    <n v="18"/>
  </r>
  <r>
    <s v="Tinnitus"/>
    <x v="24"/>
    <n v="3"/>
  </r>
  <r>
    <s v="Deafness"/>
    <x v="24"/>
    <n v="1"/>
  </r>
  <r>
    <s v="Otitis Media"/>
    <x v="24"/>
    <n v="1"/>
  </r>
  <r>
    <s v="Overdose"/>
    <x v="4"/>
    <n v="1"/>
  </r>
  <r>
    <s v="Tenoplasty"/>
    <x v="1"/>
    <n v="1"/>
  </r>
  <r>
    <s v="Stress Fracture"/>
    <x v="1"/>
    <n v="2"/>
  </r>
  <r>
    <s v="Musculoskeletal Stiffness"/>
    <x v="1"/>
    <n v="20"/>
  </r>
  <r>
    <s v="Periarthritis"/>
    <x v="1"/>
    <n v="2"/>
  </r>
  <r>
    <s v="Epicondylitis"/>
    <x v="1"/>
    <n v="1"/>
  </r>
  <r>
    <s v="Tendon Rupture"/>
    <x v="1"/>
    <n v="1"/>
  </r>
  <r>
    <s v="Perforation"/>
    <x v="4"/>
    <n v="1"/>
  </r>
  <r>
    <s v="Diverticulitis"/>
    <x v="3"/>
    <n v="2"/>
  </r>
  <r>
    <s v="Hepatic Cytolysis"/>
    <x v="2"/>
    <n v="14"/>
  </r>
  <r>
    <s v="Bundle Branch Block Left"/>
    <x v="7"/>
    <n v="3"/>
  </r>
  <r>
    <s v="Cerebral Infarction"/>
    <x v="0"/>
    <n v="3"/>
  </r>
  <r>
    <s v="Cholecystitis"/>
    <x v="20"/>
    <n v="3"/>
  </r>
  <r>
    <s v="Lymphopenia"/>
    <x v="5"/>
    <n v="3"/>
  </r>
  <r>
    <s v="Neutropenic Sepsis"/>
    <x v="8"/>
    <n v="5"/>
  </r>
  <r>
    <s v="Angina Pectoris"/>
    <x v="7"/>
    <n v="1"/>
  </r>
  <r>
    <s v="Non-Cardiac Chest Pain"/>
    <x v="7"/>
    <n v="1"/>
  </r>
  <r>
    <s v="Hyperphagia"/>
    <x v="13"/>
    <n v="1"/>
  </r>
  <r>
    <s v="Graves' Disease"/>
    <x v="12"/>
    <n v="1"/>
  </r>
  <r>
    <s v="Weight Decreased"/>
    <x v="13"/>
    <n v="17"/>
  </r>
  <r>
    <s v="Hyperthyroidism"/>
    <x v="12"/>
    <n v="4"/>
  </r>
  <r>
    <s v="Presyncope"/>
    <x v="7"/>
    <n v="1"/>
  </r>
  <r>
    <s v="Lymphocyte Count Increased"/>
    <x v="5"/>
    <n v="3"/>
  </r>
  <r>
    <s v="Blood Bilirubin Increased"/>
    <x v="2"/>
    <n v="14"/>
  </r>
  <r>
    <s v="Monocyte Count Decreased"/>
    <x v="5"/>
    <n v="3"/>
  </r>
  <r>
    <s v="Lymphocytosis"/>
    <x v="5"/>
    <n v="7"/>
  </r>
  <r>
    <s v="Monocytosis"/>
    <x v="5"/>
    <n v="1"/>
  </r>
  <r>
    <s v="Chest Discomfort"/>
    <x v="7"/>
    <n v="8"/>
  </r>
  <r>
    <s v="Post Procedural Infection"/>
    <x v="4"/>
    <n v="1"/>
  </r>
  <r>
    <s v="No Adverse Event"/>
    <x v="4"/>
    <n v="1"/>
  </r>
  <r>
    <s v="Blindness Unilateral"/>
    <x v="19"/>
    <n v="2"/>
  </r>
  <r>
    <s v="Retinal Vascular Occlusion"/>
    <x v="19"/>
    <n v="2"/>
  </r>
  <r>
    <s v="Cerebral Ischaemia"/>
    <x v="0"/>
    <n v="3"/>
  </r>
  <r>
    <s v="Neuropathy Peripheral"/>
    <x v="0"/>
    <n v="52"/>
  </r>
  <r>
    <s v="Nail Disorder"/>
    <x v="9"/>
    <n v="24"/>
  </r>
  <r>
    <s v="Device Related Thrombosis"/>
    <x v="21"/>
    <n v="23"/>
  </r>
  <r>
    <s v="Skin Exfoliation"/>
    <x v="9"/>
    <n v="29"/>
  </r>
  <r>
    <s v="Asthma"/>
    <x v="10"/>
    <n v="31"/>
  </r>
  <r>
    <s v="Paraesthesia"/>
    <x v="0"/>
    <n v="47"/>
  </r>
  <r>
    <s v="Heart Rate Irregular"/>
    <x v="7"/>
    <n v="27"/>
  </r>
  <r>
    <s v="Cataract"/>
    <x v="19"/>
    <n v="16"/>
  </r>
  <r>
    <s v="Burning Sensation"/>
    <x v="4"/>
    <n v="2"/>
  </r>
  <r>
    <s v="Apathy"/>
    <x v="18"/>
    <n v="1"/>
  </r>
  <r>
    <s v="Sensitive Skin"/>
    <x v="9"/>
    <n v="4"/>
  </r>
  <r>
    <s v="Blood Glucose Increased"/>
    <x v="12"/>
    <n v="11"/>
  </r>
  <r>
    <s v="Flatulence"/>
    <x v="3"/>
    <n v="5"/>
  </r>
  <r>
    <s v="Abdominal Pain"/>
    <x v="3"/>
    <n v="37"/>
  </r>
  <r>
    <s v="Dyspepsia"/>
    <x v="3"/>
    <n v="11"/>
  </r>
  <r>
    <s v="Rebound Effect"/>
    <x v="4"/>
    <n v="1"/>
  </r>
  <r>
    <s v="Unevaluable Investigation"/>
    <x v="4"/>
    <n v="1"/>
  </r>
  <r>
    <s v="Migraine"/>
    <x v="0"/>
    <n v="5"/>
  </r>
  <r>
    <s v="Tumour Marker Abnormal"/>
    <x v="4"/>
    <n v="4"/>
  </r>
  <r>
    <s v="Neoplasm"/>
    <x v="4"/>
    <n v="3"/>
  </r>
  <r>
    <s v="Carbohydrate Antigen 15-3"/>
    <x v="4"/>
    <n v="1"/>
  </r>
  <r>
    <s v="Hypoglycaemia"/>
    <x v="12"/>
    <n v="1"/>
  </r>
  <r>
    <s v="Gastritis"/>
    <x v="3"/>
    <n v="11"/>
  </r>
  <r>
    <s v="Blood Pressure Abnormal"/>
    <x v="7"/>
    <n v="2"/>
  </r>
  <r>
    <s v="Injection Site Pain"/>
    <x v="9"/>
    <n v="1"/>
  </r>
  <r>
    <s v="Glossodynia"/>
    <x v="14"/>
    <n v="1"/>
  </r>
  <r>
    <s v="Parosmia"/>
    <x v="4"/>
    <n v="3"/>
  </r>
  <r>
    <s v="Abdominal Pain Upper"/>
    <x v="3"/>
    <n v="14"/>
  </r>
  <r>
    <s v="Movement Disorder"/>
    <x v="0"/>
    <n v="6"/>
  </r>
  <r>
    <s v="Hypermetabolism"/>
    <x v="13"/>
    <n v="2"/>
  </r>
  <r>
    <s v="Multiple Injuries"/>
    <x v="4"/>
    <n v="1"/>
  </r>
  <r>
    <s v="Injection Site Discoloration"/>
    <x v="9"/>
    <n v="1"/>
  </r>
  <r>
    <s v="Skeletal Injury"/>
    <x v="1"/>
    <n v="1"/>
  </r>
  <r>
    <s v="Gastrooesophageal Reflux Disease"/>
    <x v="3"/>
    <n v="8"/>
  </r>
  <r>
    <s v="Discouragement"/>
    <x v="18"/>
    <n v="1"/>
  </r>
  <r>
    <s v="Food Poisoning"/>
    <x v="8"/>
    <n v="2"/>
  </r>
  <r>
    <s v="Traumatic Lung Injury"/>
    <x v="10"/>
    <n v="1"/>
  </r>
  <r>
    <s v="Spinal Column Injury"/>
    <x v="1"/>
    <n v="1"/>
  </r>
  <r>
    <s v="Liver Injury"/>
    <x v="2"/>
    <n v="5"/>
  </r>
  <r>
    <s v="Inflammation"/>
    <x v="4"/>
    <n v="8"/>
  </r>
  <r>
    <s v="Feeding Disorder"/>
    <x v="3"/>
    <n v="2"/>
  </r>
  <r>
    <s v="Liver Function Test Abnormal"/>
    <x v="2"/>
    <n v="6"/>
  </r>
  <r>
    <s v="Hot Flush"/>
    <x v="12"/>
    <n v="67"/>
  </r>
  <r>
    <s v="Mood Swings"/>
    <x v="18"/>
    <n v="5"/>
  </r>
  <r>
    <s v="Increased Appetite"/>
    <x v="13"/>
    <n v="1"/>
  </r>
  <r>
    <s v="Covid-19 Pneumonia"/>
    <x v="10"/>
    <n v="2"/>
  </r>
  <r>
    <s v="Breast Inflammation"/>
    <x v="6"/>
    <n v="1"/>
  </r>
  <r>
    <s v="Acute Myocardial Infarction"/>
    <x v="7"/>
    <n v="4"/>
  </r>
  <r>
    <s v="Electrocardiogram St Segment Elevation"/>
    <x v="7"/>
    <n v="3"/>
  </r>
  <r>
    <s v="Sinus Bradycardia"/>
    <x v="7"/>
    <n v="4"/>
  </r>
  <r>
    <s v="Cardiac Disorder"/>
    <x v="7"/>
    <n v="11"/>
  </r>
  <r>
    <s v="Electrocardiogram St Segment Abnormal"/>
    <x v="7"/>
    <n v="2"/>
  </r>
  <r>
    <s v="Respiratory Distress"/>
    <x v="10"/>
    <n v="5"/>
  </r>
  <r>
    <s v="Pyrexia"/>
    <x v="4"/>
    <n v="59"/>
  </r>
  <r>
    <s v="Vestibular Neuronitis"/>
    <x v="0"/>
    <n v="1"/>
  </r>
  <r>
    <s v="Lip Swelling"/>
    <x v="9"/>
    <n v="3"/>
  </r>
  <r>
    <s v="Respiration Abnormal"/>
    <x v="10"/>
    <n v="2"/>
  </r>
  <r>
    <s v="Liver Disorder"/>
    <x v="2"/>
    <n v="5"/>
  </r>
  <r>
    <s v="Throat Tightness"/>
    <x v="10"/>
    <n v="1"/>
  </r>
  <r>
    <s v="Swelling Face"/>
    <x v="4"/>
    <n v="2"/>
  </r>
  <r>
    <s v="Swelling Of Eyelid"/>
    <x v="19"/>
    <n v="1"/>
  </r>
  <r>
    <s v="Wound Evisceration"/>
    <x v="4"/>
    <n v="2"/>
  </r>
  <r>
    <s v="Blood Oestrogen Decreased"/>
    <x v="12"/>
    <n v="2"/>
  </r>
  <r>
    <s v="Vaginal Cuff Dehiscence"/>
    <x v="6"/>
    <n v="2"/>
  </r>
  <r>
    <s v="Vaginal Prolapse"/>
    <x v="6"/>
    <n v="2"/>
  </r>
  <r>
    <s v="Spinal Cord Compression"/>
    <x v="0"/>
    <n v="4"/>
  </r>
  <r>
    <s v="Paraplegia"/>
    <x v="0"/>
    <n v="1"/>
  </r>
  <r>
    <s v="Delirium Tremens"/>
    <x v="0"/>
    <n v="1"/>
  </r>
  <r>
    <s v="Retinal Detachment"/>
    <x v="19"/>
    <n v="1"/>
  </r>
  <r>
    <s v="Swollen Tongue"/>
    <x v="14"/>
    <n v="2"/>
  </r>
  <r>
    <s v="Pulmonary Mass"/>
    <x v="10"/>
    <n v="6"/>
  </r>
  <r>
    <s v="Wound Dehiscence"/>
    <x v="4"/>
    <n v="5"/>
  </r>
  <r>
    <s v="Breast Necrosis"/>
    <x v="6"/>
    <n v="1"/>
  </r>
  <r>
    <s v="Pancytopenia"/>
    <x v="5"/>
    <n v="7"/>
  </r>
  <r>
    <s v="Atrial Fibrillation"/>
    <x v="7"/>
    <n v="15"/>
  </r>
  <r>
    <s v="Myelosuppression"/>
    <x v="5"/>
    <n v="10"/>
  </r>
  <r>
    <s v="Cerebral Artery Embolism"/>
    <x v="21"/>
    <n v="1"/>
  </r>
  <r>
    <s v="Septic Shock"/>
    <x v="4"/>
    <n v="4"/>
  </r>
  <r>
    <s v="Mental Status Changes"/>
    <x v="0"/>
    <n v="2"/>
  </r>
  <r>
    <s v="Hepatomegaly"/>
    <x v="2"/>
    <n v="4"/>
  </r>
  <r>
    <s v="Hepatic Failure"/>
    <x v="2"/>
    <n v="10"/>
  </r>
  <r>
    <s v="Cardiotoxicity"/>
    <x v="7"/>
    <n v="6"/>
  </r>
  <r>
    <s v="Aphthous Ulcer"/>
    <x v="14"/>
    <n v="3"/>
  </r>
  <r>
    <s v="Respiratory Failure"/>
    <x v="10"/>
    <n v="9"/>
  </r>
  <r>
    <s v="Neoplasm Recurrence"/>
    <x v="4"/>
    <n v="1"/>
  </r>
  <r>
    <s v="Lymphoedema"/>
    <x v="16"/>
    <n v="10"/>
  </r>
  <r>
    <s v="Empyema"/>
    <x v="10"/>
    <n v="3"/>
  </r>
  <r>
    <s v="Hormone Receptor Positive Her2 Negative Breast Cancer"/>
    <x v="6"/>
    <n v="2"/>
  </r>
  <r>
    <s v="Cancer Pain"/>
    <x v="4"/>
    <n v="4"/>
  </r>
  <r>
    <s v="Periodontal Disease"/>
    <x v="14"/>
    <n v="1"/>
  </r>
  <r>
    <s v="Investigation Abnormal"/>
    <x v="4"/>
    <n v="1"/>
  </r>
  <r>
    <s v="Gastrointestinal Infection"/>
    <x v="3"/>
    <n v="1"/>
  </r>
  <r>
    <s v="Herpes Virus Infection"/>
    <x v="8"/>
    <n v="1"/>
  </r>
  <r>
    <s v="Thrombocytopenia"/>
    <x v="5"/>
    <n v="20"/>
  </r>
  <r>
    <s v="Hepatitis Acute"/>
    <x v="2"/>
    <n v="1"/>
  </r>
  <r>
    <s v="Intervertebral Disc Degeneration"/>
    <x v="1"/>
    <n v="2"/>
  </r>
  <r>
    <s v="Aphasia"/>
    <x v="0"/>
    <n v="6"/>
  </r>
  <r>
    <s v="Device Related Infection"/>
    <x v="4"/>
    <n v="8"/>
  </r>
  <r>
    <s v="Trigger Finger"/>
    <x v="1"/>
    <n v="27"/>
  </r>
  <r>
    <s v="Bicytopenia"/>
    <x v="5"/>
    <n v="1"/>
  </r>
  <r>
    <s v="Carotid Artery Aneurysm"/>
    <x v="21"/>
    <n v="1"/>
  </r>
  <r>
    <s v="Ankle Fracture"/>
    <x v="1"/>
    <n v="5"/>
  </r>
  <r>
    <s v="Infected Dermal Cyst"/>
    <x v="9"/>
    <n v="1"/>
  </r>
  <r>
    <s v="Hepatitis Cholestatic"/>
    <x v="2"/>
    <n v="3"/>
  </r>
  <r>
    <s v="Vitreous Detachment"/>
    <x v="19"/>
    <n v="6"/>
  </r>
  <r>
    <s v="Visual Acuity Reduced"/>
    <x v="19"/>
    <n v="6"/>
  </r>
  <r>
    <s v="Raynaud's Phenomenon"/>
    <x v="21"/>
    <n v="2"/>
  </r>
  <r>
    <s v="Septic Pulmonary Embolism"/>
    <x v="10"/>
    <n v="1"/>
  </r>
  <r>
    <s v="Left Ventricular Failure"/>
    <x v="7"/>
    <n v="3"/>
  </r>
  <r>
    <s v="Upper Respiratory Tract Infection"/>
    <x v="10"/>
    <n v="5"/>
  </r>
  <r>
    <s v="Bronchitis"/>
    <x v="10"/>
    <n v="4"/>
  </r>
  <r>
    <s v="Sepsis"/>
    <x v="8"/>
    <n v="18"/>
  </r>
  <r>
    <s v="Subileus"/>
    <x v="3"/>
    <n v="4"/>
  </r>
  <r>
    <s v="Abdominal Sepsis"/>
    <x v="3"/>
    <n v="1"/>
  </r>
  <r>
    <s v="Concomitant Disease Aggravated"/>
    <x v="4"/>
    <n v="2"/>
  </r>
  <r>
    <s v="Full Blood Count Decreased"/>
    <x v="5"/>
    <n v="2"/>
  </r>
  <r>
    <s v="Product Substitution Issue"/>
    <x v="4"/>
    <n v="21"/>
  </r>
  <r>
    <s v="Musculoskeletal Discomfort"/>
    <x v="1"/>
    <n v="10"/>
  </r>
  <r>
    <s v="Sleep Disorder"/>
    <x v="0"/>
    <n v="20"/>
  </r>
  <r>
    <s v="Dysgeusia"/>
    <x v="4"/>
    <n v="4"/>
  </r>
  <r>
    <s v="Cd4 Lymphocytes Decreased"/>
    <x v="22"/>
    <n v="1"/>
  </r>
  <r>
    <s v="Diverticulum Intestinal"/>
    <x v="3"/>
    <n v="2"/>
  </r>
  <r>
    <s v="Hospitalisation"/>
    <x v="4"/>
    <n v="2"/>
  </r>
  <r>
    <s v="Mesenteric Artery Thrombosis"/>
    <x v="21"/>
    <n v="2"/>
  </r>
  <r>
    <s v="Stomatitis"/>
    <x v="14"/>
    <n v="17"/>
  </r>
  <r>
    <s v="Anal Incontinence"/>
    <x v="3"/>
    <n v="5"/>
  </r>
  <r>
    <s v="Small Intestinal Obstruction"/>
    <x v="3"/>
    <n v="9"/>
  </r>
  <r>
    <s v="Anastomotic Complication"/>
    <x v="3"/>
    <n v="1"/>
  </r>
  <r>
    <s v="Eye Naevus"/>
    <x v="19"/>
    <n v="1"/>
  </r>
  <r>
    <s v="Hemiplegic Migraine"/>
    <x v="0"/>
    <n v="1"/>
  </r>
  <r>
    <s v="Sinus Disorder"/>
    <x v="10"/>
    <n v="1"/>
  </r>
  <r>
    <s v="Dry Age-Related Macular Degeneration"/>
    <x v="19"/>
    <n v="1"/>
  </r>
  <r>
    <s v="Presbyopia"/>
    <x v="19"/>
    <n v="1"/>
  </r>
  <r>
    <s v="Postoperative Wound Infection"/>
    <x v="4"/>
    <n v="5"/>
  </r>
  <r>
    <s v="Papillary Thyroid Cancer"/>
    <x v="12"/>
    <n v="1"/>
  </r>
  <r>
    <s v="Cholelithiasis"/>
    <x v="20"/>
    <n v="7"/>
  </r>
  <r>
    <s v="Tooth Disorder"/>
    <x v="14"/>
    <n v="7"/>
  </r>
  <r>
    <s v="Blood Creatine Increased"/>
    <x v="17"/>
    <n v="3"/>
  </r>
  <r>
    <s v="Erysipelas"/>
    <x v="9"/>
    <n v="6"/>
  </r>
  <r>
    <s v="Covid-19 Immunisation"/>
    <x v="4"/>
    <n v="3"/>
  </r>
  <r>
    <s v="Venous Thrombosis Limb"/>
    <x v="21"/>
    <n v="4"/>
  </r>
  <r>
    <s v="Confusional State"/>
    <x v="0"/>
    <n v="21"/>
  </r>
  <r>
    <s v="Muscle Contracture"/>
    <x v="11"/>
    <n v="1"/>
  </r>
  <r>
    <s v="Kl-6 Increased"/>
    <x v="4"/>
    <n v="2"/>
  </r>
  <r>
    <s v="Renal Impairment"/>
    <x v="17"/>
    <n v="11"/>
  </r>
  <r>
    <s v="Proteinuria"/>
    <x v="17"/>
    <n v="1"/>
  </r>
  <r>
    <s v="Myelofibrosis"/>
    <x v="5"/>
    <n v="2"/>
  </r>
  <r>
    <s v="Chronic Kidney Disease"/>
    <x v="17"/>
    <n v="4"/>
  </r>
  <r>
    <s v="Myocardial Infarction"/>
    <x v="7"/>
    <n v="8"/>
  </r>
  <r>
    <s v="Blood Sodium Decreased"/>
    <x v="12"/>
    <n v="1"/>
  </r>
  <r>
    <s v="Pulmonary Toxicity"/>
    <x v="10"/>
    <n v="1"/>
  </r>
  <r>
    <s v="Lymphadenopathy"/>
    <x v="16"/>
    <n v="11"/>
  </r>
  <r>
    <s v="Metastasis"/>
    <x v="4"/>
    <n v="11"/>
  </r>
  <r>
    <s v="Metabolic Disorder"/>
    <x v="13"/>
    <n v="2"/>
  </r>
  <r>
    <s v="Photosensitivity Reaction"/>
    <x v="9"/>
    <n v="3"/>
  </r>
  <r>
    <s v="Ejection Fraction Decreased"/>
    <x v="7"/>
    <n v="10"/>
  </r>
  <r>
    <s v="Kidney Infection"/>
    <x v="17"/>
    <n v="3"/>
  </r>
  <r>
    <s v="Fungal Infection"/>
    <x v="8"/>
    <n v="3"/>
  </r>
  <r>
    <s v="Polyneuropathy"/>
    <x v="0"/>
    <n v="7"/>
  </r>
  <r>
    <s v="Somnolence"/>
    <x v="0"/>
    <n v="9"/>
  </r>
  <r>
    <s v="Dry Eye"/>
    <x v="19"/>
    <n v="4"/>
  </r>
  <r>
    <s v="Product Dose Omission Issue"/>
    <x v="4"/>
    <n v="7"/>
  </r>
  <r>
    <s v="Respiratory Disorder"/>
    <x v="10"/>
    <n v="4"/>
  </r>
  <r>
    <s v="Drug Resistance"/>
    <x v="4"/>
    <n v="1"/>
  </r>
  <r>
    <s v="Bacterial Infection"/>
    <x v="8"/>
    <n v="3"/>
  </r>
  <r>
    <s v="Nosocomial Infection"/>
    <x v="8"/>
    <n v="1"/>
  </r>
  <r>
    <s v="Wound"/>
    <x v="4"/>
    <n v="2"/>
  </r>
  <r>
    <s v="Skin Disorder"/>
    <x v="9"/>
    <n v="5"/>
  </r>
  <r>
    <s v="Eructation"/>
    <x v="3"/>
    <n v="2"/>
  </r>
  <r>
    <s v="Skin Haemorrhage"/>
    <x v="9"/>
    <n v="3"/>
  </r>
  <r>
    <s v="Product Prescribing Error"/>
    <x v="4"/>
    <n v="1"/>
  </r>
  <r>
    <s v="Contusion"/>
    <x v="9"/>
    <n v="3"/>
  </r>
  <r>
    <s v="Hepatic Mass"/>
    <x v="2"/>
    <n v="1"/>
  </r>
  <r>
    <s v="Skin Discoloration"/>
    <x v="9"/>
    <n v="2"/>
  </r>
  <r>
    <s v="Thrombosis"/>
    <x v="21"/>
    <n v="12"/>
  </r>
  <r>
    <s v="Skin Swelling"/>
    <x v="9"/>
    <n v="2"/>
  </r>
  <r>
    <s v="Infection"/>
    <x v="8"/>
    <n v="6"/>
  </r>
  <r>
    <s v="Hypokinesia"/>
    <x v="0"/>
    <n v="5"/>
  </r>
  <r>
    <s v="Gastrointestinal Disorder"/>
    <x v="3"/>
    <n v="6"/>
  </r>
  <r>
    <s v="Oral Discomfort"/>
    <x v="14"/>
    <n v="2"/>
  </r>
  <r>
    <s v="Lip Oedema"/>
    <x v="14"/>
    <n v="1"/>
  </r>
  <r>
    <s v="Cellulitis"/>
    <x v="9"/>
    <n v="8"/>
  </r>
  <r>
    <s v="Gastroenteritis"/>
    <x v="3"/>
    <n v="3"/>
  </r>
  <r>
    <s v="Colon Cancer Metastatic"/>
    <x v="3"/>
    <n v="1"/>
  </r>
  <r>
    <s v="Large Intestinal Stenosis"/>
    <x v="3"/>
    <n v="1"/>
  </r>
  <r>
    <s v="Appendicitis"/>
    <x v="3"/>
    <n v="2"/>
  </r>
  <r>
    <s v="Ageusia"/>
    <x v="4"/>
    <n v="11"/>
  </r>
  <r>
    <s v="Heart Rate Increased"/>
    <x v="7"/>
    <n v="9"/>
  </r>
  <r>
    <s v="Pneumonitis"/>
    <x v="10"/>
    <n v="15"/>
  </r>
  <r>
    <s v="Pericardial Effusion"/>
    <x v="7"/>
    <n v="10"/>
  </r>
  <r>
    <s v="Eating Disorder"/>
    <x v="18"/>
    <n v="4"/>
  </r>
  <r>
    <s v="Bone Demineralisation"/>
    <x v="1"/>
    <n v="1"/>
  </r>
  <r>
    <s v="Pustule"/>
    <x v="9"/>
    <n v="2"/>
  </r>
  <r>
    <s v="Product Supply Issue"/>
    <x v="4"/>
    <n v="3"/>
  </r>
  <r>
    <s v="Joint Swelling"/>
    <x v="1"/>
    <n v="7"/>
  </r>
  <r>
    <s v="Jugular Vein Thrombosis"/>
    <x v="21"/>
    <n v="5"/>
  </r>
  <r>
    <s v="Cardiac Arrest"/>
    <x v="7"/>
    <n v="8"/>
  </r>
  <r>
    <s v="Procedural Pain"/>
    <x v="4"/>
    <n v="6"/>
  </r>
  <r>
    <s v="Syncope"/>
    <x v="0"/>
    <n v="11"/>
  </r>
  <r>
    <s v="Ileus"/>
    <x v="3"/>
    <n v="6"/>
  </r>
  <r>
    <s v="Aspiration"/>
    <x v="10"/>
    <n v="3"/>
  </r>
  <r>
    <s v="Autoimmune Hepatitis"/>
    <x v="2"/>
    <n v="3"/>
  </r>
  <r>
    <s v="Eye Inflammation"/>
    <x v="19"/>
    <n v="2"/>
  </r>
  <r>
    <s v="Joint Lock"/>
    <x v="1"/>
    <n v="2"/>
  </r>
  <r>
    <s v="Agitation"/>
    <x v="18"/>
    <n v="2"/>
  </r>
  <r>
    <s v="Tenosynovitis"/>
    <x v="1"/>
    <n v="2"/>
  </r>
  <r>
    <s v="Eye Swelling"/>
    <x v="19"/>
    <n v="4"/>
  </r>
  <r>
    <s v="Panic Attack"/>
    <x v="18"/>
    <n v="4"/>
  </r>
  <r>
    <s v="Radiation Injury"/>
    <x v="4"/>
    <n v="2"/>
  </r>
  <r>
    <s v="Hyperglycaemia"/>
    <x v="12"/>
    <n v="9"/>
  </r>
  <r>
    <s v="Aspiration Pleural Cavity"/>
    <x v="10"/>
    <n v="4"/>
  </r>
  <r>
    <s v="Renal Failure"/>
    <x v="17"/>
    <n v="9"/>
  </r>
  <r>
    <s v="Dysstasia"/>
    <x v="0"/>
    <n v="6"/>
  </r>
  <r>
    <s v="Platelet Count Increased"/>
    <x v="5"/>
    <n v="5"/>
  </r>
  <r>
    <s v="Haematuria"/>
    <x v="15"/>
    <n v="3"/>
  </r>
  <r>
    <s v="Ill-Defined Disorder"/>
    <x v="4"/>
    <n v="2"/>
  </r>
  <r>
    <s v="Speech Disorder"/>
    <x v="0"/>
    <n v="6"/>
  </r>
  <r>
    <s v="Coma"/>
    <x v="0"/>
    <n v="4"/>
  </r>
  <r>
    <s v="Skin Hyperpigmentation"/>
    <x v="9"/>
    <n v="3"/>
  </r>
  <r>
    <s v="Limb Injury"/>
    <x v="1"/>
    <n v="4"/>
  </r>
  <r>
    <s v="Increased Bronchial Secretion"/>
    <x v="10"/>
    <n v="1"/>
  </r>
  <r>
    <s v="Respiratory Fume Inhalation Disorder"/>
    <x v="10"/>
    <n v="3"/>
  </r>
  <r>
    <s v="Synovial Cyst"/>
    <x v="1"/>
    <n v="2"/>
  </r>
  <r>
    <s v="Groin Pain"/>
    <x v="1"/>
    <n v="3"/>
  </r>
  <r>
    <s v="Acute Hepatic Failure"/>
    <x v="2"/>
    <n v="3"/>
  </r>
  <r>
    <s v="Ischaemic Stroke"/>
    <x v="0"/>
    <n v="5"/>
  </r>
  <r>
    <s v="Skin Cancer"/>
    <x v="9"/>
    <n v="4"/>
  </r>
  <r>
    <s v="Localised Infection"/>
    <x v="8"/>
    <n v="1"/>
  </r>
  <r>
    <s v="Abnormal Loss Of Weight"/>
    <x v="13"/>
    <n v="1"/>
  </r>
  <r>
    <s v="Gingival Bleeding"/>
    <x v="14"/>
    <n v="4"/>
  </r>
  <r>
    <s v="Skin Infection"/>
    <x v="9"/>
    <n v="2"/>
  </r>
  <r>
    <s v="Large Intestine Infection"/>
    <x v="3"/>
    <n v="1"/>
  </r>
  <r>
    <s v="Vitreous Haemorrhage"/>
    <x v="19"/>
    <n v="5"/>
  </r>
  <r>
    <s v="Rhinitis Allergic"/>
    <x v="10"/>
    <n v="3"/>
  </r>
  <r>
    <s v="Asphyxia"/>
    <x v="10"/>
    <n v="4"/>
  </r>
  <r>
    <s v="Choking"/>
    <x v="10"/>
    <n v="2"/>
  </r>
  <r>
    <s v="Productive Cough"/>
    <x v="10"/>
    <n v="3"/>
  </r>
  <r>
    <s v="Immunosuppression"/>
    <x v="22"/>
    <n v="1"/>
  </r>
  <r>
    <s v="Enteritis"/>
    <x v="3"/>
    <n v="5"/>
  </r>
  <r>
    <s v="Arrhythmia"/>
    <x v="7"/>
    <n v="3"/>
  </r>
  <r>
    <s v="Thyroiditis"/>
    <x v="12"/>
    <n v="1"/>
  </r>
  <r>
    <s v="Hepatic Steatosis"/>
    <x v="2"/>
    <n v="9"/>
  </r>
  <r>
    <s v="Clumsiness"/>
    <x v="0"/>
    <n v="1"/>
  </r>
  <r>
    <s v="Thinking Abnormal"/>
    <x v="0"/>
    <n v="2"/>
  </r>
  <r>
    <s v="Diplopia"/>
    <x v="19"/>
    <n v="12"/>
  </r>
  <r>
    <s v="Metastases To Thyroid"/>
    <x v="12"/>
    <n v="1"/>
  </r>
  <r>
    <s v="Pleural Mass"/>
    <x v="10"/>
    <n v="1"/>
  </r>
  <r>
    <s v="Flap Necrosis"/>
    <x v="9"/>
    <n v="1"/>
  </r>
  <r>
    <s v="Ischaemia"/>
    <x v="4"/>
    <n v="1"/>
  </r>
  <r>
    <s v="Acute Lymphocytic Leukaemia"/>
    <x v="5"/>
    <n v="1"/>
  </r>
  <r>
    <s v="Hypothyroidism"/>
    <x v="12"/>
    <n v="7"/>
  </r>
  <r>
    <s v="Benign Ovarian Tumour"/>
    <x v="6"/>
    <n v="2"/>
  </r>
  <r>
    <s v="Genital Haemorrhage"/>
    <x v="6"/>
    <n v="1"/>
  </r>
  <r>
    <s v="Joint Stiffness"/>
    <x v="1"/>
    <n v="20"/>
  </r>
  <r>
    <s v="Electrocardiogram Qt Interval Abnormal"/>
    <x v="7"/>
    <n v="1"/>
  </r>
  <r>
    <s v="Carcinoembryonic Antigen Increased"/>
    <x v="4"/>
    <n v="3"/>
  </r>
  <r>
    <s v="Blood Potassium Decreased"/>
    <x v="12"/>
    <n v="3"/>
  </r>
  <r>
    <s v="Monocyte Count Increased"/>
    <x v="5"/>
    <n v="1"/>
  </r>
  <r>
    <s v="Blood Pressure Diastolic Decreased"/>
    <x v="7"/>
    <n v="2"/>
  </r>
  <r>
    <s v="Polychromasia"/>
    <x v="5"/>
    <n v="1"/>
  </r>
  <r>
    <s v="Anisocytosis"/>
    <x v="5"/>
    <n v="1"/>
  </r>
  <r>
    <s v="Globulins Increased"/>
    <x v="13"/>
    <n v="1"/>
  </r>
  <r>
    <s v="Basophil Count Increased"/>
    <x v="5"/>
    <n v="1"/>
  </r>
  <r>
    <s v="Poikilocytosis"/>
    <x v="5"/>
    <n v="1"/>
  </r>
  <r>
    <s v="Red Blood Cell Morphology Abnormal"/>
    <x v="5"/>
    <n v="1"/>
  </r>
  <r>
    <s v="Glomerular Filtration Rate Decreased"/>
    <x v="17"/>
    <n v="1"/>
  </r>
  <r>
    <s v="Red Cell Distribution Width Increased"/>
    <x v="5"/>
    <n v="1"/>
  </r>
  <r>
    <s v="Macrocytosis"/>
    <x v="5"/>
    <n v="2"/>
  </r>
  <r>
    <s v="Skin Reaction"/>
    <x v="9"/>
    <n v="2"/>
  </r>
  <r>
    <s v="Oral Mucosa Erosion"/>
    <x v="14"/>
    <n v="2"/>
  </r>
  <r>
    <s v="Spinal Pain"/>
    <x v="1"/>
    <n v="3"/>
  </r>
  <r>
    <s v="Urinary Meatitis"/>
    <x v="15"/>
    <n v="1"/>
  </r>
  <r>
    <s v="Lymphadenopathy Mediastinal"/>
    <x v="16"/>
    <n v="2"/>
  </r>
  <r>
    <s v="Tremor"/>
    <x v="0"/>
    <n v="8"/>
  </r>
  <r>
    <s v="Oral Mucosal Exfoliation"/>
    <x v="14"/>
    <n v="2"/>
  </r>
  <r>
    <s v="Metastases To Spine"/>
    <x v="1"/>
    <n v="6"/>
  </r>
  <r>
    <s v="Blood Calcium Decreased"/>
    <x v="12"/>
    <n v="3"/>
  </r>
  <r>
    <s v="Breast Pain"/>
    <x v="6"/>
    <n v="6"/>
  </r>
  <r>
    <s v="Musculoskeletal Chest Pain"/>
    <x v="1"/>
    <n v="14"/>
  </r>
  <r>
    <s v="Blindness"/>
    <x v="19"/>
    <n v="3"/>
  </r>
  <r>
    <s v="Feeling Hot"/>
    <x v="4"/>
    <n v="2"/>
  </r>
  <r>
    <s v="Asthenopia"/>
    <x v="19"/>
    <n v="1"/>
  </r>
  <r>
    <s v="Metastases To Uterus"/>
    <x v="6"/>
    <n v="1"/>
  </r>
  <r>
    <s v="Ear Infection"/>
    <x v="24"/>
    <n v="1"/>
  </r>
  <r>
    <s v="Colitis"/>
    <x v="3"/>
    <n v="9"/>
  </r>
  <r>
    <s v="Abdominal Pain Lower"/>
    <x v="3"/>
    <n v="3"/>
  </r>
  <r>
    <s v="Appendicitis Noninfective"/>
    <x v="3"/>
    <n v="1"/>
  </r>
  <r>
    <s v="Triple Negative Breast Cancer"/>
    <x v="6"/>
    <n v="1"/>
  </r>
  <r>
    <s v="Urticaria"/>
    <x v="9"/>
    <n v="10"/>
  </r>
  <r>
    <s v="Gamma-Glutamyltransferase"/>
    <x v="2"/>
    <n v="1"/>
  </r>
  <r>
    <s v="Mean Cell Volume Increased"/>
    <x v="5"/>
    <n v="1"/>
  </r>
  <r>
    <s v="Mean Cell Haemoglobin Concentration Increased"/>
    <x v="5"/>
    <n v="1"/>
  </r>
  <r>
    <s v="Blood Bilirubin Decreased"/>
    <x v="2"/>
    <n v="1"/>
  </r>
  <r>
    <s v="Blood Lactate Dehydrogenase Increased"/>
    <x v="4"/>
    <n v="9"/>
  </r>
  <r>
    <s v="Bone Disorder"/>
    <x v="1"/>
    <n v="10"/>
  </r>
  <r>
    <s v="Red Blood Cell Count Decreased"/>
    <x v="5"/>
    <n v="11"/>
  </r>
  <r>
    <s v="Carbohydrate Antigen 15-3 Increased"/>
    <x v="4"/>
    <n v="2"/>
  </r>
  <r>
    <s v="Mucosal Inflammation"/>
    <x v="4"/>
    <n v="4"/>
  </r>
  <r>
    <s v="Blood Bilirubin Unconjugated Decreased"/>
    <x v="2"/>
    <n v="1"/>
  </r>
  <r>
    <s v="Rib Fracture"/>
    <x v="1"/>
    <n v="2"/>
  </r>
  <r>
    <s v="Upper Limb Fracture"/>
    <x v="1"/>
    <n v="2"/>
  </r>
  <r>
    <s v="Neoplasm Malignant"/>
    <x v="4"/>
    <n v="12"/>
  </r>
  <r>
    <s v="Product Packaging Quantity Issue"/>
    <x v="4"/>
    <n v="1"/>
  </r>
  <r>
    <s v="Muscle Fatigue"/>
    <x v="11"/>
    <n v="1"/>
  </r>
  <r>
    <s v="Lymphatic Disorder"/>
    <x v="16"/>
    <n v="1"/>
  </r>
  <r>
    <s v="Vitamin D Decreased"/>
    <x v="12"/>
    <n v="2"/>
  </r>
  <r>
    <s v="Bone Erosion"/>
    <x v="1"/>
    <n v="2"/>
  </r>
  <r>
    <s v="Body Mass Index Decreased"/>
    <x v="13"/>
    <n v="2"/>
  </r>
  <r>
    <s v="Pulmonary Pain"/>
    <x v="10"/>
    <n v="3"/>
  </r>
  <r>
    <s v="Scar"/>
    <x v="9"/>
    <n v="3"/>
  </r>
  <r>
    <s v="Pleural Thickening"/>
    <x v="10"/>
    <n v="2"/>
  </r>
  <r>
    <s v="Lung Consolidation"/>
    <x v="10"/>
    <n v="3"/>
  </r>
  <r>
    <s v="Cystitis"/>
    <x v="15"/>
    <n v="2"/>
  </r>
  <r>
    <s v="Muscle Tightness"/>
    <x v="11"/>
    <n v="7"/>
  </r>
  <r>
    <s v="Disorientation"/>
    <x v="0"/>
    <n v="1"/>
  </r>
  <r>
    <s v="Swelling"/>
    <x v="4"/>
    <n v="11"/>
  </r>
  <r>
    <s v="Dysphagia"/>
    <x v="3"/>
    <n v="6"/>
  </r>
  <r>
    <s v="Oropharyngeal Pain"/>
    <x v="14"/>
    <n v="9"/>
  </r>
  <r>
    <s v="Oropharyngeal Discomfort"/>
    <x v="14"/>
    <n v="1"/>
  </r>
  <r>
    <s v="Product Storage Error"/>
    <x v="4"/>
    <n v="1"/>
  </r>
  <r>
    <s v="Calcium Deficiency"/>
    <x v="12"/>
    <n v="2"/>
  </r>
  <r>
    <s v="Accident"/>
    <x v="4"/>
    <n v="3"/>
  </r>
  <r>
    <s v="Fall"/>
    <x v="4"/>
    <n v="26"/>
  </r>
  <r>
    <s v="Tibia Fracture"/>
    <x v="1"/>
    <n v="2"/>
  </r>
  <r>
    <s v="Fibula Fracture"/>
    <x v="1"/>
    <n v="2"/>
  </r>
  <r>
    <s v="Fracture"/>
    <x v="1"/>
    <n v="1"/>
  </r>
  <r>
    <s v="Tendon Disorder"/>
    <x v="1"/>
    <n v="1"/>
  </r>
  <r>
    <s v="Dehydration"/>
    <x v="13"/>
    <n v="11"/>
  </r>
  <r>
    <s v="Thrombophlebitis"/>
    <x v="21"/>
    <n v="3"/>
  </r>
  <r>
    <s v="Gait Inability"/>
    <x v="0"/>
    <n v="6"/>
  </r>
  <r>
    <s v="Pik3ca-Activated Mutation"/>
    <x v="25"/>
    <n v="3"/>
  </r>
  <r>
    <s v="Blood Iron Decreased"/>
    <x v="5"/>
    <n v="3"/>
  </r>
  <r>
    <s v="Ulcer"/>
    <x v="4"/>
    <n v="1"/>
  </r>
  <r>
    <s v="Anal Haemorrhage"/>
    <x v="3"/>
    <n v="1"/>
  </r>
  <r>
    <s v="Diarrhoea Haemorrhagic"/>
    <x v="3"/>
    <n v="3"/>
  </r>
  <r>
    <s v="Suffocation Feeling"/>
    <x v="10"/>
    <n v="1"/>
  </r>
  <r>
    <s v="Perforated Ulcer"/>
    <x v="3"/>
    <n v="1"/>
  </r>
  <r>
    <s v="Haemoglobin Decreased"/>
    <x v="5"/>
    <n v="25"/>
  </r>
  <r>
    <s v="Renal Disorder"/>
    <x v="17"/>
    <n v="3"/>
  </r>
  <r>
    <s v="Urinary Hesitation"/>
    <x v="15"/>
    <n v="1"/>
  </r>
  <r>
    <s v="Axillary Pain"/>
    <x v="1"/>
    <n v="2"/>
  </r>
  <r>
    <s v="Palpitations"/>
    <x v="7"/>
    <n v="16"/>
  </r>
  <r>
    <s v="Leukoplakia Oral"/>
    <x v="14"/>
    <n v="5"/>
  </r>
  <r>
    <s v="Irritability"/>
    <x v="18"/>
    <n v="10"/>
  </r>
  <r>
    <s v="Vision Blurred"/>
    <x v="19"/>
    <n v="13"/>
  </r>
  <r>
    <s v="Anosmia"/>
    <x v="4"/>
    <n v="3"/>
  </r>
  <r>
    <s v="Loss Of Consciousness"/>
    <x v="0"/>
    <n v="12"/>
  </r>
  <r>
    <s v="Full Blood Count Abnormal"/>
    <x v="5"/>
    <n v="3"/>
  </r>
  <r>
    <s v="Psychiatric Symptom"/>
    <x v="18"/>
    <n v="1"/>
  </r>
  <r>
    <s v="Fear"/>
    <x v="18"/>
    <n v="1"/>
  </r>
  <r>
    <s v="Blood Glucose Fluctuation"/>
    <x v="12"/>
    <n v="2"/>
  </r>
  <r>
    <s v="White Blood Cell Count Abnormal"/>
    <x v="5"/>
    <n v="4"/>
  </r>
  <r>
    <s v="Red Blood Cell Count Abnormal"/>
    <x v="5"/>
    <n v="1"/>
  </r>
  <r>
    <s v="Neutrophil Count Abnormal"/>
    <x v="5"/>
    <n v="3"/>
  </r>
  <r>
    <s v="Eye Movement Disorder"/>
    <x v="19"/>
    <n v="7"/>
  </r>
  <r>
    <s v="Depressed Mood"/>
    <x v="18"/>
    <n v="6"/>
  </r>
  <r>
    <s v="Treatment Failure"/>
    <x v="4"/>
    <n v="2"/>
  </r>
  <r>
    <s v="Therapy Non-Responder"/>
    <x v="4"/>
    <n v="2"/>
  </r>
  <r>
    <s v="Food Intolerance"/>
    <x v="4"/>
    <n v="2"/>
  </r>
  <r>
    <s v="Hyperglycaemic Hyperosmolar Nonketotic Syndrome"/>
    <x v="12"/>
    <n v="1"/>
  </r>
  <r>
    <s v="Diabetic Ketoacidosis"/>
    <x v="12"/>
    <n v="1"/>
  </r>
  <r>
    <s v="Therapy Partial Responder"/>
    <x v="4"/>
    <n v="1"/>
  </r>
  <r>
    <s v="Taste Disorder"/>
    <x v="4"/>
    <n v="6"/>
  </r>
  <r>
    <s v="Dysphonia"/>
    <x v="4"/>
    <n v="1"/>
  </r>
  <r>
    <s v="Weight Abnormal"/>
    <x v="13"/>
    <n v="1"/>
  </r>
  <r>
    <s v="Food Allergy"/>
    <x v="23"/>
    <n v="2"/>
  </r>
  <r>
    <s v="Breath Sounds Abnormal"/>
    <x v="10"/>
    <n v="4"/>
  </r>
  <r>
    <s v="Aortic Arteriosclerosis"/>
    <x v="7"/>
    <n v="3"/>
  </r>
  <r>
    <s v="General Physical Condition Abnormal"/>
    <x v="4"/>
    <n v="2"/>
  </r>
  <r>
    <s v="Aortic Elongation"/>
    <x v="7"/>
    <n v="2"/>
  </r>
  <r>
    <s v="Emphysema"/>
    <x v="10"/>
    <n v="2"/>
  </r>
  <r>
    <s v="Peripheral Ischaemia"/>
    <x v="21"/>
    <n v="2"/>
  </r>
  <r>
    <s v="Atrophic Vulvovaginitis"/>
    <x v="6"/>
    <n v="6"/>
  </r>
  <r>
    <s v="Complication Associated With Device"/>
    <x v="4"/>
    <n v="1"/>
  </r>
  <r>
    <s v="Vulvovaginal Pain"/>
    <x v="6"/>
    <n v="1"/>
  </r>
  <r>
    <s v="Discomfort"/>
    <x v="4"/>
    <n v="3"/>
  </r>
  <r>
    <s v="Cystitis Haemorrhagic"/>
    <x v="15"/>
    <n v="1"/>
  </r>
  <r>
    <s v="Blood Urine Present"/>
    <x v="17"/>
    <n v="2"/>
  </r>
  <r>
    <s v="Blood Glucose Decreased"/>
    <x v="12"/>
    <n v="1"/>
  </r>
  <r>
    <s v="Infection Parasitic"/>
    <x v="8"/>
    <n v="1"/>
  </r>
  <r>
    <s v="Metastases To Skin"/>
    <x v="9"/>
    <n v="1"/>
  </r>
  <r>
    <s v="Scleroderma"/>
    <x v="9"/>
    <n v="1"/>
  </r>
  <r>
    <s v="Mental Impairment"/>
    <x v="0"/>
    <n v="2"/>
  </r>
  <r>
    <s v="Mitral Valve Disease"/>
    <x v="7"/>
    <n v="2"/>
  </r>
  <r>
    <s v="Low Density Lipoprotein Increased"/>
    <x v="13"/>
    <n v="2"/>
  </r>
  <r>
    <s v="Facial Paralysis"/>
    <x v="0"/>
    <n v="3"/>
  </r>
  <r>
    <s v="Paresis"/>
    <x v="0"/>
    <n v="4"/>
  </r>
  <r>
    <s v="Troponin Increased"/>
    <x v="26"/>
    <n v="2"/>
  </r>
  <r>
    <s v="Blood Creatine Phosphokinase Increased"/>
    <x v="11"/>
    <n v="4"/>
  </r>
  <r>
    <s v="Supraventricular Extrasystoles"/>
    <x v="7"/>
    <n v="3"/>
  </r>
  <r>
    <s v="Thinking Abnormal"/>
    <x v="0"/>
    <n v="2"/>
  </r>
  <r>
    <s v="Diplopia"/>
    <x v="19"/>
    <n v="12"/>
  </r>
  <r>
    <s v="Metastases To Thyroid"/>
    <x v="12"/>
    <n v="1"/>
  </r>
  <r>
    <s v="Pleural Mass"/>
    <x v="10"/>
    <n v="1"/>
  </r>
  <r>
    <s v="Flap Necrosis"/>
    <x v="9"/>
    <n v="1"/>
  </r>
  <r>
    <s v="Ischaemia"/>
    <x v="4"/>
    <n v="1"/>
  </r>
  <r>
    <s v="Acute Lymphocytic Leukaemia"/>
    <x v="5"/>
    <n v="1"/>
  </r>
  <r>
    <s v="Hypothyroidism"/>
    <x v="12"/>
    <n v="7"/>
  </r>
  <r>
    <s v="Benign Ovarian Tumour"/>
    <x v="6"/>
    <n v="2"/>
  </r>
  <r>
    <s v="Genital Haemorrhage"/>
    <x v="6"/>
    <n v="1"/>
  </r>
  <r>
    <s v="Joint Stiffness"/>
    <x v="1"/>
    <n v="20"/>
  </r>
  <r>
    <s v="Electrocardiogram Qt Interval Abnormal"/>
    <x v="7"/>
    <n v="1"/>
  </r>
  <r>
    <s v="Carcinoembryonic Antigen Increased"/>
    <x v="4"/>
    <n v="3"/>
  </r>
  <r>
    <s v="Blood Potassium Decreased"/>
    <x v="12"/>
    <n v="3"/>
  </r>
  <r>
    <s v="Monocyte Count Increased"/>
    <x v="5"/>
    <n v="1"/>
  </r>
  <r>
    <s v="Blood Pressure Diastolic Decreased"/>
    <x v="7"/>
    <n v="2"/>
  </r>
  <r>
    <s v="Polychromasia"/>
    <x v="5"/>
    <n v="1"/>
  </r>
  <r>
    <s v="Anisocytosis"/>
    <x v="5"/>
    <n v="1"/>
  </r>
  <r>
    <s v="Globulins Increased"/>
    <x v="13"/>
    <n v="1"/>
  </r>
  <r>
    <s v="Basophil Count Increased"/>
    <x v="5"/>
    <n v="1"/>
  </r>
  <r>
    <s v="Poikilocytosis"/>
    <x v="5"/>
    <n v="1"/>
  </r>
  <r>
    <s v="Red Blood Cell Morphology Abnormal"/>
    <x v="5"/>
    <n v="1"/>
  </r>
  <r>
    <s v="Glomerular Filtration Rate Decreased"/>
    <x v="17"/>
    <n v="1"/>
  </r>
  <r>
    <s v="Red Cell Distribution Width Increased"/>
    <x v="5"/>
    <n v="1"/>
  </r>
  <r>
    <s v="Macrocytosis"/>
    <x v="5"/>
    <n v="2"/>
  </r>
  <r>
    <s v="Skin Reaction"/>
    <x v="9"/>
    <n v="2"/>
  </r>
  <r>
    <s v="Oral Mucosa Erosion"/>
    <x v="14"/>
    <n v="2"/>
  </r>
  <r>
    <s v="Spinal Pain"/>
    <x v="1"/>
    <n v="3"/>
  </r>
  <r>
    <s v="Urinary Meatitis"/>
    <x v="15"/>
    <n v="1"/>
  </r>
  <r>
    <s v="Lymphadenopathy Mediastinal"/>
    <x v="16"/>
    <n v="2"/>
  </r>
  <r>
    <s v="Tremor"/>
    <x v="0"/>
    <n v="8"/>
  </r>
  <r>
    <s v="Oral Mucosal Exfoliation"/>
    <x v="14"/>
    <n v="2"/>
  </r>
  <r>
    <s v="Metastases To Spine"/>
    <x v="1"/>
    <n v="6"/>
  </r>
  <r>
    <s v="Blood Calcium Decreased"/>
    <x v="12"/>
    <n v="3"/>
  </r>
  <r>
    <s v="Breast Pain"/>
    <x v="6"/>
    <n v="6"/>
  </r>
  <r>
    <s v="Musculoskeletal Chest Pain"/>
    <x v="1"/>
    <n v="14"/>
  </r>
  <r>
    <s v="Blindness"/>
    <x v="19"/>
    <n v="3"/>
  </r>
  <r>
    <s v="Feeling Hot"/>
    <x v="4"/>
    <n v="2"/>
  </r>
  <r>
    <s v="Asthenopia"/>
    <x v="19"/>
    <n v="1"/>
  </r>
  <r>
    <s v="Metastases To Uterus"/>
    <x v="6"/>
    <n v="1"/>
  </r>
  <r>
    <s v="Ear Infection"/>
    <x v="24"/>
    <n v="1"/>
  </r>
  <r>
    <s v="Colitis"/>
    <x v="3"/>
    <n v="9"/>
  </r>
  <r>
    <s v="Abdominal Pain Lower"/>
    <x v="3"/>
    <n v="3"/>
  </r>
  <r>
    <s v="Appendicitis Noninfective"/>
    <x v="3"/>
    <n v="1"/>
  </r>
  <r>
    <s v="Triple Negative Breast Cancer"/>
    <x v="6"/>
    <n v="1"/>
  </r>
  <r>
    <s v="Urticaria"/>
    <x v="9"/>
    <n v="10"/>
  </r>
  <r>
    <s v="Gamma-Glutamyltransferase"/>
    <x v="2"/>
    <n v="1"/>
  </r>
  <r>
    <s v="Mean Cell Volume Increased"/>
    <x v="5"/>
    <n v="1"/>
  </r>
  <r>
    <s v="Mean Cell Haemoglobin Concentration Increased"/>
    <x v="5"/>
    <n v="1"/>
  </r>
  <r>
    <s v="Blood Bilirubin Decreased"/>
    <x v="2"/>
    <n v="1"/>
  </r>
  <r>
    <s v="Blood Lactate Dehydrogenase Increased"/>
    <x v="4"/>
    <n v="9"/>
  </r>
  <r>
    <s v="Bone Disorder"/>
    <x v="1"/>
    <n v="10"/>
  </r>
  <r>
    <s v="Red Blood Cell Count Decreased"/>
    <x v="5"/>
    <n v="11"/>
  </r>
  <r>
    <s v="Carbohydrate Antigen 15-3 Increased"/>
    <x v="4"/>
    <n v="2"/>
  </r>
  <r>
    <s v="Mucosal Inflammation"/>
    <x v="4"/>
    <n v="4"/>
  </r>
  <r>
    <s v="Blood Bilirubin Unconjugated Decreased"/>
    <x v="2"/>
    <n v="1"/>
  </r>
  <r>
    <s v="Rib Fracture"/>
    <x v="1"/>
    <n v="2"/>
  </r>
  <r>
    <s v="Upper Limb Fracture"/>
    <x v="1"/>
    <n v="2"/>
  </r>
  <r>
    <s v="Neoplasm Malignant"/>
    <x v="4"/>
    <n v="12"/>
  </r>
  <r>
    <s v="Product Packaging Quantity Issue"/>
    <x v="4"/>
    <n v="1"/>
  </r>
  <r>
    <s v="Muscle Fatigue"/>
    <x v="11"/>
    <n v="1"/>
  </r>
  <r>
    <s v="Lymphatic Disorder"/>
    <x v="16"/>
    <n v="1"/>
  </r>
  <r>
    <s v="Vitamin D Decreased"/>
    <x v="12"/>
    <n v="2"/>
  </r>
  <r>
    <s v="Bone Erosion"/>
    <x v="1"/>
    <n v="2"/>
  </r>
  <r>
    <s v="Body Mass Index Decreased"/>
    <x v="13"/>
    <n v="2"/>
  </r>
  <r>
    <s v="Pulmonary Pain"/>
    <x v="10"/>
    <n v="3"/>
  </r>
  <r>
    <s v="Scar"/>
    <x v="9"/>
    <n v="3"/>
  </r>
  <r>
    <s v="Pleural Thickening"/>
    <x v="10"/>
    <n v="2"/>
  </r>
  <r>
    <s v="Lung Consolidation"/>
    <x v="10"/>
    <n v="3"/>
  </r>
  <r>
    <s v="Cystitis"/>
    <x v="15"/>
    <n v="2"/>
  </r>
  <r>
    <s v="Muscle Tightness"/>
    <x v="11"/>
    <n v="7"/>
  </r>
  <r>
    <s v="Disorientation"/>
    <x v="0"/>
    <n v="1"/>
  </r>
  <r>
    <s v="Swelling"/>
    <x v="4"/>
    <n v="11"/>
  </r>
  <r>
    <s v="Dysphagia"/>
    <x v="3"/>
    <n v="6"/>
  </r>
  <r>
    <s v="Oropharyngeal Pain"/>
    <x v="14"/>
    <n v="9"/>
  </r>
  <r>
    <s v="Oropharyngeal Discomfort"/>
    <x v="14"/>
    <n v="1"/>
  </r>
  <r>
    <s v="Product Storage Error"/>
    <x v="4"/>
    <n v="1"/>
  </r>
  <r>
    <s v="Calcium Deficiency"/>
    <x v="12"/>
    <n v="2"/>
  </r>
  <r>
    <s v="Accident"/>
    <x v="4"/>
    <n v="3"/>
  </r>
  <r>
    <s v="Fall"/>
    <x v="4"/>
    <n v="26"/>
  </r>
  <r>
    <s v="Tibia Fracture"/>
    <x v="1"/>
    <n v="2"/>
  </r>
  <r>
    <s v="Fibula Fracture"/>
    <x v="1"/>
    <n v="2"/>
  </r>
  <r>
    <s v="Fracture"/>
    <x v="1"/>
    <n v="1"/>
  </r>
  <r>
    <s v="Tendon Disorder"/>
    <x v="1"/>
    <n v="1"/>
  </r>
  <r>
    <s v="Dehydration"/>
    <x v="13"/>
    <n v="11"/>
  </r>
  <r>
    <s v="Thrombophlebitis"/>
    <x v="21"/>
    <n v="3"/>
  </r>
  <r>
    <s v="Gait Inability"/>
    <x v="0"/>
    <n v="6"/>
  </r>
  <r>
    <s v="Pik3ca-Activated Mutation"/>
    <x v="25"/>
    <n v="3"/>
  </r>
  <r>
    <s v="Blood Iron Decreased"/>
    <x v="5"/>
    <n v="3"/>
  </r>
  <r>
    <s v="Ulcer"/>
    <x v="4"/>
    <n v="1"/>
  </r>
  <r>
    <s v="Anal Haemorrhage"/>
    <x v="3"/>
    <n v="1"/>
  </r>
  <r>
    <s v="Diarrhoea Haemorrhagic"/>
    <x v="3"/>
    <n v="3"/>
  </r>
  <r>
    <s v="Suffocation Feeling"/>
    <x v="10"/>
    <n v="1"/>
  </r>
  <r>
    <s v="Perforated Ulcer"/>
    <x v="3"/>
    <n v="1"/>
  </r>
  <r>
    <s v="Haemoglobin Decreased"/>
    <x v="5"/>
    <n v="25"/>
  </r>
  <r>
    <s v="Renal Disorder"/>
    <x v="17"/>
    <n v="3"/>
  </r>
  <r>
    <s v="Urinary Hesitation"/>
    <x v="15"/>
    <n v="1"/>
  </r>
  <r>
    <s v="Axillary Pain"/>
    <x v="1"/>
    <n v="2"/>
  </r>
  <r>
    <s v="Palpitations"/>
    <x v="7"/>
    <n v="16"/>
  </r>
  <r>
    <s v="Leukoplakia Oral"/>
    <x v="14"/>
    <n v="5"/>
  </r>
  <r>
    <s v="Irritability"/>
    <x v="18"/>
    <n v="10"/>
  </r>
  <r>
    <s v="Vision Blurred"/>
    <x v="19"/>
    <n v="13"/>
  </r>
  <r>
    <s v="Anosmia"/>
    <x v="4"/>
    <n v="3"/>
  </r>
  <r>
    <s v="Loss Of Consciousness"/>
    <x v="0"/>
    <n v="12"/>
  </r>
  <r>
    <s v="Full Blood Count Abnormal"/>
    <x v="5"/>
    <n v="3"/>
  </r>
  <r>
    <s v="Psychiatric Symptom"/>
    <x v="18"/>
    <n v="1"/>
  </r>
  <r>
    <s v="Fear"/>
    <x v="18"/>
    <n v="1"/>
  </r>
  <r>
    <s v="Blood Glucose Fluctuation"/>
    <x v="12"/>
    <n v="2"/>
  </r>
  <r>
    <s v="White Blood Cell Count Abnormal"/>
    <x v="5"/>
    <n v="4"/>
  </r>
  <r>
    <s v="Red Blood Cell Count Abnormal"/>
    <x v="5"/>
    <n v="1"/>
  </r>
  <r>
    <s v="Neutrophil Count Abnormal"/>
    <x v="5"/>
    <n v="3"/>
  </r>
  <r>
    <s v="Eye Movement Disorder"/>
    <x v="19"/>
    <n v="7"/>
  </r>
  <r>
    <s v="Depressed Mood"/>
    <x v="18"/>
    <n v="6"/>
  </r>
  <r>
    <s v="Treatment Failure"/>
    <x v="4"/>
    <n v="2"/>
  </r>
  <r>
    <s v="Therapy Non-Responder"/>
    <x v="4"/>
    <n v="2"/>
  </r>
  <r>
    <s v="Food Intolerance"/>
    <x v="4"/>
    <n v="2"/>
  </r>
  <r>
    <s v="Hyperglycaemic Hyperosmolar Nonketotic Syndrome"/>
    <x v="12"/>
    <n v="1"/>
  </r>
  <r>
    <s v="Diabetic Ketoacidosis"/>
    <x v="12"/>
    <n v="1"/>
  </r>
  <r>
    <s v="Therapy Partial Responder"/>
    <x v="4"/>
    <n v="1"/>
  </r>
  <r>
    <s v="Taste Disorder"/>
    <x v="4"/>
    <n v="6"/>
  </r>
  <r>
    <s v="Dysphonia"/>
    <x v="4"/>
    <n v="1"/>
  </r>
  <r>
    <s v="Weight Abnormal"/>
    <x v="13"/>
    <n v="1"/>
  </r>
  <r>
    <s v="Food Allergy"/>
    <x v="23"/>
    <n v="2"/>
  </r>
  <r>
    <s v="Breath Sounds Abnormal"/>
    <x v="10"/>
    <n v="4"/>
  </r>
  <r>
    <s v="Aortic Arteriosclerosis"/>
    <x v="7"/>
    <n v="3"/>
  </r>
  <r>
    <s v="General Physical Condition Abnormal"/>
    <x v="4"/>
    <n v="2"/>
  </r>
  <r>
    <s v="Aortic Elongation"/>
    <x v="7"/>
    <n v="2"/>
  </r>
  <r>
    <s v="Emphysema"/>
    <x v="10"/>
    <n v="2"/>
  </r>
  <r>
    <s v="Peripheral Ischaemia"/>
    <x v="21"/>
    <n v="2"/>
  </r>
  <r>
    <s v="Atrophic Vulvovaginitis"/>
    <x v="6"/>
    <n v="6"/>
  </r>
  <r>
    <s v="Complication Associated With Device"/>
    <x v="4"/>
    <n v="1"/>
  </r>
  <r>
    <s v="Vulvovaginal Pain"/>
    <x v="6"/>
    <n v="1"/>
  </r>
  <r>
    <s v="Discomfort"/>
    <x v="4"/>
    <n v="3"/>
  </r>
  <r>
    <s v="Cystitis Haemorrhagic"/>
    <x v="15"/>
    <n v="1"/>
  </r>
  <r>
    <s v="Blood Urine Present"/>
    <x v="17"/>
    <n v="2"/>
  </r>
  <r>
    <s v="Blood Glucose Decreased"/>
    <x v="12"/>
    <n v="1"/>
  </r>
  <r>
    <s v="Infection Parasitic"/>
    <x v="8"/>
    <n v="1"/>
  </r>
  <r>
    <s v="Metastases To Skin"/>
    <x v="9"/>
    <n v="1"/>
  </r>
  <r>
    <s v="Scleroderma"/>
    <x v="9"/>
    <n v="1"/>
  </r>
  <r>
    <s v="Mental Impairment"/>
    <x v="0"/>
    <n v="2"/>
  </r>
  <r>
    <s v="Mitral Valve Disease"/>
    <x v="7"/>
    <n v="2"/>
  </r>
  <r>
    <s v="Low Density Lipoprotein Increased"/>
    <x v="13"/>
    <n v="2"/>
  </r>
  <r>
    <s v="Facial Paralysis"/>
    <x v="0"/>
    <n v="3"/>
  </r>
  <r>
    <s v="Paresis"/>
    <x v="0"/>
    <n v="4"/>
  </r>
  <r>
    <s v="Troponin Increased"/>
    <x v="26"/>
    <n v="2"/>
  </r>
  <r>
    <s v="Blood Creatine Phosphokinase Increased"/>
    <x v="11"/>
    <n v="4"/>
  </r>
  <r>
    <s v="Supraventricular Extrasystoles"/>
    <x v="7"/>
    <n v="3"/>
  </r>
  <r>
    <s v="Immunodeficiency"/>
    <x v="22"/>
    <n v="2"/>
  </r>
  <r>
    <s v="Troponin I Increased"/>
    <x v="26"/>
    <n v="1"/>
  </r>
  <r>
    <s v="Joint Noise"/>
    <x v="1"/>
    <n v="1"/>
  </r>
  <r>
    <s v="Hepatotoxicity"/>
    <x v="2"/>
    <n v="3"/>
  </r>
  <r>
    <s v="Chromaturia"/>
    <x v="15"/>
    <n v="2"/>
  </r>
  <r>
    <s v="Faeces Pale"/>
    <x v="3"/>
    <n v="1"/>
  </r>
  <r>
    <s v="Peripheral Artery Thrombosis"/>
    <x v="21"/>
    <n v="1"/>
  </r>
  <r>
    <s v="Electrocardiogram P Wave Abnormal"/>
    <x v="7"/>
    <n v="1"/>
  </r>
  <r>
    <s v="Electrocardiogram Qrs Complex Abnormal"/>
    <x v="7"/>
    <n v="1"/>
  </r>
  <r>
    <s v="Electrocardiogram Low Voltage"/>
    <x v="7"/>
    <n v="1"/>
  </r>
  <r>
    <s v="Underweight"/>
    <x v="13"/>
    <n v="1"/>
  </r>
  <r>
    <s v="Feeling Cold"/>
    <x v="4"/>
    <n v="3"/>
  </r>
  <r>
    <s v="Aneurysm"/>
    <x v="21"/>
    <n v="1"/>
  </r>
  <r>
    <s v="Pleuritic Pain"/>
    <x v="10"/>
    <n v="3"/>
  </r>
  <r>
    <s v="Abnormal Weight Gain"/>
    <x v="13"/>
    <n v="8"/>
  </r>
  <r>
    <s v="Tenosynovitis Stenosans"/>
    <x v="1"/>
    <n v="3"/>
  </r>
  <r>
    <s v="Tendon Pain"/>
    <x v="1"/>
    <n v="1"/>
  </r>
  <r>
    <s v="Blister"/>
    <x v="9"/>
    <n v="5"/>
  </r>
  <r>
    <s v="Mobility Decreased"/>
    <x v="4"/>
    <n v="6"/>
  </r>
  <r>
    <s v="Drug Eruption"/>
    <x v="9"/>
    <n v="3"/>
  </r>
  <r>
    <s v="Blood Test Abnormal"/>
    <x v="4"/>
    <n v="2"/>
  </r>
  <r>
    <s v="Transaminases"/>
    <x v="2"/>
    <n v="7"/>
  </r>
  <r>
    <s v="Paronychia"/>
    <x v="9"/>
    <n v="8"/>
  </r>
  <r>
    <s v="Tumour Pain"/>
    <x v="0"/>
    <n v="4"/>
  </r>
  <r>
    <s v="Feeling Of Despair"/>
    <x v="18"/>
    <n v="1"/>
  </r>
  <r>
    <s v="Therapy Cessation"/>
    <x v="4"/>
    <n v="1"/>
  </r>
  <r>
    <s v="Adverse Drug Reaction"/>
    <x v="4"/>
    <n v="3"/>
  </r>
  <r>
    <s v="Decubitus Ulcer"/>
    <x v="9"/>
    <n v="7"/>
  </r>
  <r>
    <s v="Lung Neoplasm Malignant"/>
    <x v="10"/>
    <n v="6"/>
  </r>
  <r>
    <s v="Cardiopulmonary Failure"/>
    <x v="7"/>
    <n v="1"/>
  </r>
  <r>
    <s v="Lung Disorder"/>
    <x v="10"/>
    <n v="8"/>
  </r>
  <r>
    <s v="Bone Marrow Failure"/>
    <x v="5"/>
    <n v="1"/>
  </r>
  <r>
    <s v="Vaginal Discharge"/>
    <x v="6"/>
    <n v="2"/>
  </r>
  <r>
    <s v="Micturition Urgency"/>
    <x v="15"/>
    <n v="2"/>
  </r>
  <r>
    <s v="Metastatic Neoplasm"/>
    <x v="4"/>
    <n v="2"/>
  </r>
  <r>
    <s v="Dysuria"/>
    <x v="15"/>
    <n v="3"/>
  </r>
  <r>
    <s v="Encephalopathy"/>
    <x v="0"/>
    <n v="2"/>
  </r>
  <r>
    <s v="Delirium"/>
    <x v="0"/>
    <n v="3"/>
  </r>
  <r>
    <s v="Vitreous Floaters"/>
    <x v="19"/>
    <n v="2"/>
  </r>
  <r>
    <s v="Eye Pain"/>
    <x v="19"/>
    <n v="2"/>
  </r>
  <r>
    <s v="Eye Haemorrhage"/>
    <x v="19"/>
    <n v="1"/>
  </r>
  <r>
    <s v="Photopsia"/>
    <x v="19"/>
    <n v="2"/>
  </r>
  <r>
    <s v="Cyanosis"/>
    <x v="4"/>
    <n v="1"/>
  </r>
  <r>
    <s v="Flank Pain"/>
    <x v="1"/>
    <n v="1"/>
  </r>
  <r>
    <s v="Abdominal Tenderness"/>
    <x v="3"/>
    <n v="2"/>
  </r>
  <r>
    <s v="Abdominal Adhesions"/>
    <x v="3"/>
    <n v="1"/>
  </r>
  <r>
    <s v="Peritonitis"/>
    <x v="27"/>
    <n v="1"/>
  </r>
  <r>
    <s v="White Blood Cell Count Increased"/>
    <x v="5"/>
    <n v="3"/>
  </r>
  <r>
    <s v="Gastrointestinal Oedema"/>
    <x v="3"/>
    <n v="1"/>
  </r>
  <r>
    <s v="Peritoneal Neoplasm"/>
    <x v="27"/>
    <n v="1"/>
  </r>
  <r>
    <s v="Macule"/>
    <x v="9"/>
    <n v="1"/>
  </r>
  <r>
    <s v="Transaminases Abnormal"/>
    <x v="2"/>
    <n v="1"/>
  </r>
  <r>
    <s v="Night Sweats"/>
    <x v="4"/>
    <n v="16"/>
  </r>
  <r>
    <s v="Rectal Haemorrhage"/>
    <x v="3"/>
    <n v="2"/>
  </r>
  <r>
    <s v="C-Reactive Protein Increased"/>
    <x v="28"/>
    <n v="6"/>
  </r>
  <r>
    <s v="Dysmetria"/>
    <x v="0"/>
    <n v="1"/>
  </r>
  <r>
    <s v="Rhinorrhoea"/>
    <x v="10"/>
    <n v="3"/>
  </r>
  <r>
    <s v="Nasal Inflammation"/>
    <x v="10"/>
    <n v="1"/>
  </r>
  <r>
    <s v="Myeloproliferative Neoplasm"/>
    <x v="5"/>
    <n v="11"/>
  </r>
  <r>
    <s v="Metastases To Lymph Nodes"/>
    <x v="16"/>
    <n v="4"/>
  </r>
  <r>
    <s v="Medical Device Removal"/>
    <x v="4"/>
    <n v="2"/>
  </r>
  <r>
    <s v="Metastases To Spinal Cord"/>
    <x v="0"/>
    <n v="1"/>
  </r>
  <r>
    <s v="Bedridden"/>
    <x v="4"/>
    <n v="1"/>
  </r>
  <r>
    <s v="Muscle Disorder"/>
    <x v="11"/>
    <n v="1"/>
  </r>
  <r>
    <s v="Gallbladder Adenoma"/>
    <x v="20"/>
    <n v="1"/>
  </r>
  <r>
    <s v="Renal Cyst"/>
    <x v="17"/>
    <n v="2"/>
  </r>
  <r>
    <s v="Metastases To Soft Tissue"/>
    <x v="4"/>
    <n v="1"/>
  </r>
  <r>
    <s v="Enterocolitis"/>
    <x v="3"/>
    <n v="1"/>
  </r>
  <r>
    <s v="Neuromuscular Toxicity"/>
    <x v="0"/>
    <n v="1"/>
  </r>
  <r>
    <s v="Splenomegaly"/>
    <x v="5"/>
    <n v="2"/>
  </r>
  <r>
    <s v="Marrow Hyperplasia"/>
    <x v="5"/>
    <n v="1"/>
  </r>
  <r>
    <s v="Pulmonary Arterial Hypertension"/>
    <x v="7"/>
    <n v="3"/>
  </r>
  <r>
    <s v="Dermatitis Acneiform"/>
    <x v="9"/>
    <n v="1"/>
  </r>
  <r>
    <s v="Acute Myeloid Leukaemia"/>
    <x v="5"/>
    <n v="1"/>
  </r>
  <r>
    <s v="Staphylococcal Sepsis"/>
    <x v="8"/>
    <n v="1"/>
  </r>
  <r>
    <s v="Clostridium Difficile Infection"/>
    <x v="8"/>
    <n v="1"/>
  </r>
  <r>
    <s v="Skin Ulcer"/>
    <x v="9"/>
    <n v="1"/>
  </r>
  <r>
    <s v="Hunger"/>
    <x v="4"/>
    <n v="3"/>
  </r>
  <r>
    <s v="Carbohydrate Antigen 27.29 Increased"/>
    <x v="4"/>
    <n v="2"/>
  </r>
  <r>
    <s v="Skin Abrasion"/>
    <x v="9"/>
    <n v="2"/>
  </r>
  <r>
    <s v="Hypoacusis"/>
    <x v="24"/>
    <n v="2"/>
  </r>
  <r>
    <s v="Prurigo"/>
    <x v="9"/>
    <n v="2"/>
  </r>
  <r>
    <s v="Malignant Pleural Effusion"/>
    <x v="10"/>
    <n v="4"/>
  </r>
  <r>
    <s v="Burn Oral Cavity"/>
    <x v="14"/>
    <n v="1"/>
  </r>
  <r>
    <s v="Genital Burning Sensation"/>
    <x v="6"/>
    <n v="1"/>
  </r>
  <r>
    <s v="Intentional Product Misuse"/>
    <x v="4"/>
    <n v="1"/>
  </r>
  <r>
    <s v="Adverse Event"/>
    <x v="4"/>
    <n v="1"/>
  </r>
  <r>
    <s v="Incision Site Erythema"/>
    <x v="9"/>
    <n v="1"/>
  </r>
  <r>
    <s v="Madarosis"/>
    <x v="9"/>
    <n v="1"/>
  </r>
  <r>
    <s v="Lacrimation Increased"/>
    <x v="19"/>
    <n v="2"/>
  </r>
  <r>
    <s v="Sensation Of Foreign Body"/>
    <x v="4"/>
    <n v="1"/>
  </r>
  <r>
    <s v="Cervical Dysplasia"/>
    <x v="6"/>
    <n v="2"/>
  </r>
  <r>
    <s v="Breast Cancer Stage Iv"/>
    <x v="6"/>
    <n v="7"/>
  </r>
  <r>
    <s v="Photophobia"/>
    <x v="19"/>
    <n v="1"/>
  </r>
  <r>
    <s v="Reaction To Excipient"/>
    <x v="4"/>
    <n v="2"/>
  </r>
  <r>
    <s v="Nasal Congestion"/>
    <x v="10"/>
    <n v="2"/>
  </r>
  <r>
    <s v="Rapid Eye Movements Sleep Abnormal"/>
    <x v="0"/>
    <n v="1"/>
  </r>
  <r>
    <s v="Calcification Metastatic"/>
    <x v="4"/>
    <n v="1"/>
  </r>
  <r>
    <s v="Substance-Induced Psychotic Disorder"/>
    <x v="18"/>
    <n v="1"/>
  </r>
  <r>
    <s v="Rales"/>
    <x v="10"/>
    <n v="2"/>
  </r>
  <r>
    <s v="Mitral Valve Incompetence"/>
    <x v="7"/>
    <n v="7"/>
  </r>
  <r>
    <s v="Blood Creatinine Abnormal"/>
    <x v="17"/>
    <n v="2"/>
  </r>
  <r>
    <s v="Balance Disorder"/>
    <x v="0"/>
    <n v="6"/>
  </r>
  <r>
    <s v="Left Ventricular Hypertrophy"/>
    <x v="7"/>
    <n v="2"/>
  </r>
  <r>
    <s v="Cardiac Murmur"/>
    <x v="7"/>
    <n v="3"/>
  </r>
  <r>
    <s v="Dilated Cardiomyopathy"/>
    <x v="7"/>
    <n v="3"/>
  </r>
  <r>
    <s v="Tricuspid Valve Incompetence"/>
    <x v="7"/>
    <n v="4"/>
  </r>
  <r>
    <s v="Atrial Hypertrophy"/>
    <x v="7"/>
    <n v="2"/>
  </r>
  <r>
    <s v="Heart Rate Decreased"/>
    <x v="7"/>
    <n v="2"/>
  </r>
  <r>
    <s v="Cardiac Index Decreased"/>
    <x v="7"/>
    <n v="2"/>
  </r>
  <r>
    <s v="Azotaemia"/>
    <x v="17"/>
    <n v="2"/>
  </r>
  <r>
    <s v="Ventricular Dysfunction"/>
    <x v="7"/>
    <n v="2"/>
  </r>
  <r>
    <s v="Toxic Skin Eruption"/>
    <x v="9"/>
    <n v="2"/>
  </r>
  <r>
    <s v="Muscle Twitching"/>
    <x v="11"/>
    <n v="1"/>
  </r>
  <r>
    <s v="Suicidal Behaviour"/>
    <x v="18"/>
    <n v="1"/>
  </r>
  <r>
    <s v="Dupuytren's Contracture"/>
    <x v="1"/>
    <n v="3"/>
  </r>
  <r>
    <s v="Breast Mass"/>
    <x v="6"/>
    <n v="2"/>
  </r>
  <r>
    <s v="Product Quality Issue"/>
    <x v="4"/>
    <n v="2"/>
  </r>
  <r>
    <s v="Diabetes Mellitus Inadequate Control"/>
    <x v="12"/>
    <n v="1"/>
  </r>
  <r>
    <s v="Dermatitis Allergic"/>
    <x v="9"/>
    <n v="1"/>
  </r>
  <r>
    <s v="Hepatic Neoplasm"/>
    <x v="2"/>
    <n v="1"/>
  </r>
  <r>
    <s v="Posture Abnormal"/>
    <x v="4"/>
    <n v="2"/>
  </r>
  <r>
    <s v="Vascular Compression"/>
    <x v="21"/>
    <n v="1"/>
  </r>
  <r>
    <s v="Lymphatic Obstruction"/>
    <x v="16"/>
    <n v="1"/>
  </r>
  <r>
    <s v="Gastric Ulcer Perforation"/>
    <x v="3"/>
    <n v="1"/>
  </r>
  <r>
    <s v="Agranulocytosis"/>
    <x v="5"/>
    <n v="2"/>
  </r>
  <r>
    <s v="Tenderness"/>
    <x v="4"/>
    <n v="4"/>
  </r>
  <r>
    <s v="Body Temperature Decreased"/>
    <x v="4"/>
    <n v="1"/>
  </r>
  <r>
    <s v="Body Temperature Increased"/>
    <x v="4"/>
    <n v="2"/>
  </r>
  <r>
    <s v="Prothrombin Time Prolonged"/>
    <x v="5"/>
    <n v="4"/>
  </r>
  <r>
    <s v="Pleural Neoplasm"/>
    <x v="10"/>
    <n v="1"/>
  </r>
  <r>
    <s v="Uterine Polyp"/>
    <x v="6"/>
    <n v="7"/>
  </r>
  <r>
    <s v="International Normalised Ratio Increased"/>
    <x v="5"/>
    <n v="2"/>
  </r>
  <r>
    <s v="Lung Carcinoma Cell Type Unspecified Stage Iv"/>
    <x v="10"/>
    <n v="1"/>
  </r>
  <r>
    <s v="Gastric Perforation"/>
    <x v="3"/>
    <n v="1"/>
  </r>
  <r>
    <s v="Thirst"/>
    <x v="4"/>
    <n v="7"/>
  </r>
  <r>
    <s v="Pyelonephritis"/>
    <x v="15"/>
    <n v="1"/>
  </r>
  <r>
    <s v="Hydronephrosis"/>
    <x v="15"/>
    <n v="3"/>
  </r>
  <r>
    <s v="Goitre"/>
    <x v="12"/>
    <n v="2"/>
  </r>
  <r>
    <s v="Fluid Retention"/>
    <x v="4"/>
    <n v="4"/>
  </r>
  <r>
    <s v="Cerebral Cyst"/>
    <x v="0"/>
    <n v="1"/>
  </r>
  <r>
    <s v="Intracranial Pressure Increased"/>
    <x v="0"/>
    <n v="1"/>
  </r>
  <r>
    <s v="Dyspnoea Exertional"/>
    <x v="10"/>
    <n v="4"/>
  </r>
  <r>
    <s v="Pulmonary Hypertension"/>
    <x v="7"/>
    <n v="5"/>
  </r>
  <r>
    <s v="Dermatomyositis"/>
    <x v="1"/>
    <n v="1"/>
  </r>
  <r>
    <s v="Haemoptysis"/>
    <x v="10"/>
    <n v="2"/>
  </r>
  <r>
    <s v="Skin Sensitisation"/>
    <x v="9"/>
    <n v="1"/>
  </r>
  <r>
    <s v="Motion Sickness"/>
    <x v="0"/>
    <n v="1"/>
  </r>
  <r>
    <s v="Nervous System Disorder"/>
    <x v="0"/>
    <n v="1"/>
  </r>
  <r>
    <s v="Carpal Tunnel Syndrome"/>
    <x v="0"/>
    <n v="21"/>
  </r>
  <r>
    <s v="Nodule"/>
    <x v="9"/>
    <n v="2"/>
  </r>
  <r>
    <s v="Peripheral Coldness"/>
    <x v="4"/>
    <n v="1"/>
  </r>
  <r>
    <s v="Coronary Artery Disease"/>
    <x v="7"/>
    <n v="1"/>
  </r>
  <r>
    <s v="Aortic Dilatation"/>
    <x v="7"/>
    <n v="1"/>
  </r>
  <r>
    <s v="Blood Urea Increased"/>
    <x v="17"/>
    <n v="3"/>
  </r>
  <r>
    <s v="Renal Injury"/>
    <x v="17"/>
    <n v="1"/>
  </r>
  <r>
    <s v="Blood Uric Acid Increased"/>
    <x v="13"/>
    <n v="1"/>
  </r>
  <r>
    <s v="Cardiac Function Test Abnormal"/>
    <x v="7"/>
    <n v="1"/>
  </r>
  <r>
    <s v="Skin Mass"/>
    <x v="9"/>
    <n v="1"/>
  </r>
  <r>
    <s v="Pulpitis Dental"/>
    <x v="14"/>
    <n v="2"/>
  </r>
  <r>
    <s v="Respiratory Tract Infection"/>
    <x v="10"/>
    <n v="2"/>
  </r>
  <r>
    <s v="Paraneoplastic Syndrome"/>
    <x v="4"/>
    <n v="1"/>
  </r>
  <r>
    <s v="Joint Range Of Motion Decreased"/>
    <x v="1"/>
    <n v="1"/>
  </r>
  <r>
    <s v="Muscle Atrophy"/>
    <x v="11"/>
    <n v="1"/>
  </r>
  <r>
    <s v="Spinal Deformity"/>
    <x v="1"/>
    <n v="1"/>
  </r>
  <r>
    <s v="Mouth Injury"/>
    <x v="14"/>
    <n v="1"/>
  </r>
  <r>
    <s v="Onychoclasis"/>
    <x v="9"/>
    <n v="2"/>
  </r>
  <r>
    <s v="Nasal Disorder"/>
    <x v="10"/>
    <n v="1"/>
  </r>
  <r>
    <s v="Renal Pain"/>
    <x v="17"/>
    <n v="2"/>
  </r>
  <r>
    <s v="Gastrointestinal Toxicity"/>
    <x v="3"/>
    <n v="3"/>
  </r>
  <r>
    <s v="Intestinal Dilatation"/>
    <x v="3"/>
    <n v="2"/>
  </r>
  <r>
    <s v="Clostridium Difficile Colitis"/>
    <x v="3"/>
    <n v="3"/>
  </r>
  <r>
    <s v="Hepatic Enzyme Abnormal"/>
    <x v="2"/>
    <n v="2"/>
  </r>
  <r>
    <s v="Nervousness"/>
    <x v="18"/>
    <n v="9"/>
  </r>
  <r>
    <s v="Crying"/>
    <x v="18"/>
    <n v="6"/>
  </r>
  <r>
    <s v="Eye Irritation"/>
    <x v="19"/>
    <n v="5"/>
  </r>
  <r>
    <s v="Mental Disorder"/>
    <x v="18"/>
    <n v="6"/>
  </r>
  <r>
    <s v="Breast Swelling"/>
    <x v="6"/>
    <n v="2"/>
  </r>
  <r>
    <s v="Overweight"/>
    <x v="13"/>
    <n v="1"/>
  </r>
  <r>
    <s v="Pancreatitis"/>
    <x v="29"/>
    <n v="2"/>
  </r>
  <r>
    <s v="Intestinal Obstruction"/>
    <x v="3"/>
    <n v="1"/>
  </r>
  <r>
    <s v="Anal Inflammation"/>
    <x v="3"/>
    <n v="1"/>
  </r>
  <r>
    <s v="Pulmonary Fibrosis"/>
    <x v="10"/>
    <n v="2"/>
  </r>
  <r>
    <s v="Lung Infiltration"/>
    <x v="10"/>
    <n v="4"/>
  </r>
  <r>
    <s v="Dysphoria"/>
    <x v="18"/>
    <n v="1"/>
  </r>
  <r>
    <s v="Body Mass Index Increased"/>
    <x v="13"/>
    <n v="1"/>
  </r>
  <r>
    <s v="Blood Pressure Systolic Increased"/>
    <x v="7"/>
    <n v="1"/>
  </r>
  <r>
    <s v="Sacral Pain"/>
    <x v="1"/>
    <n v="1"/>
  </r>
  <r>
    <s v="Hypomagnesaemia"/>
    <x v="12"/>
    <n v="1"/>
  </r>
  <r>
    <s v="Hypoxia"/>
    <x v="10"/>
    <n v="2"/>
  </r>
  <r>
    <s v="Chronic Obstructive Pulmonary Disease"/>
    <x v="10"/>
    <n v="1"/>
  </r>
  <r>
    <s v="Rectal Neoplasm"/>
    <x v="3"/>
    <n v="1"/>
  </r>
  <r>
    <s v="Type 1 Diabetes Mellitus"/>
    <x v="12"/>
    <n v="1"/>
  </r>
  <r>
    <s v="Thyroid Disorder"/>
    <x v="12"/>
    <n v="1"/>
  </r>
  <r>
    <s v="Therapeutic Response Unexpected"/>
    <x v="4"/>
    <n v="2"/>
  </r>
  <r>
    <s v="Pre-Existing Condition Improved"/>
    <x v="4"/>
    <n v="1"/>
  </r>
  <r>
    <s v="Fungal Oesophagitis"/>
    <x v="3"/>
    <n v="1"/>
  </r>
  <r>
    <s v="Clavicle Fracture"/>
    <x v="1"/>
    <n v="1"/>
  </r>
  <r>
    <s v="Gingivitis"/>
    <x v="14"/>
    <n v="4"/>
  </r>
  <r>
    <s v="Oral Disorder"/>
    <x v="14"/>
    <n v="1"/>
  </r>
  <r>
    <s v="Exposed Bone In Jaw"/>
    <x v="14"/>
    <n v="1"/>
  </r>
  <r>
    <s v="High Density Lipoprotein Decreased"/>
    <x v="13"/>
    <n v="1"/>
  </r>
  <r>
    <s v="Fistula"/>
    <x v="4"/>
    <n v="1"/>
  </r>
  <r>
    <s v="Blood Fibrinogen Increased"/>
    <x v="5"/>
    <n v="1"/>
  </r>
  <r>
    <s v="Blood Triglycerides Increased"/>
    <x v="13"/>
    <n v="2"/>
  </r>
  <r>
    <s v="Noninfective Gingivitis"/>
    <x v="14"/>
    <n v="1"/>
  </r>
  <r>
    <s v="Lymph Node Pain"/>
    <x v="16"/>
    <n v="1"/>
  </r>
  <r>
    <s v="Lymph Node Palpable"/>
    <x v="16"/>
    <n v="1"/>
  </r>
  <r>
    <s v="Sensory Loss"/>
    <x v="0"/>
    <n v="3"/>
  </r>
  <r>
    <s v="Blood Phosphorus Increased"/>
    <x v="13"/>
    <n v="1"/>
  </r>
  <r>
    <s v="Mouth Swelling"/>
    <x v="14"/>
    <n v="1"/>
  </r>
  <r>
    <s v="Glycosylated Haemoglobin Increased"/>
    <x v="12"/>
    <n v="2"/>
  </r>
  <r>
    <s v="Oral Mucosal Erythema"/>
    <x v="14"/>
    <n v="1"/>
  </r>
  <r>
    <s v="Osteomyelitis"/>
    <x v="1"/>
    <n v="4"/>
  </r>
  <r>
    <s v="Hypercoagulation"/>
    <x v="5"/>
    <n v="1"/>
  </r>
  <r>
    <s v="Appetite Disorder"/>
    <x v="13"/>
    <n v="2"/>
  </r>
  <r>
    <s v="Hyperhomocysteinaemia"/>
    <x v="13"/>
    <n v="1"/>
  </r>
  <r>
    <s v="Induration"/>
    <x v="4"/>
    <n v="1"/>
  </r>
  <r>
    <s v="Acute Leukaemia"/>
    <x v="5"/>
    <n v="1"/>
  </r>
  <r>
    <s v="Bronchiolitis"/>
    <x v="10"/>
    <n v="1"/>
  </r>
  <r>
    <s v="Rhonchi"/>
    <x v="10"/>
    <n v="1"/>
  </r>
  <r>
    <s v="Cauda Equina Syndrome"/>
    <x v="0"/>
    <n v="1"/>
  </r>
  <r>
    <s v="Thrombocytosis"/>
    <x v="5"/>
    <n v="1"/>
  </r>
  <r>
    <s v="Sedation"/>
    <x v="0"/>
    <n v="1"/>
  </r>
  <r>
    <s v="Acute Respiratory Distress Syndrome"/>
    <x v="10"/>
    <n v="1"/>
  </r>
  <r>
    <s v="Metabolic Acidosis"/>
    <x v="13"/>
    <n v="1"/>
  </r>
  <r>
    <s v="Type 2 Diabetes Mellitus"/>
    <x v="12"/>
    <n v="2"/>
  </r>
  <r>
    <s v="Systemic Inflammatory Response Syndrome"/>
    <x v="4"/>
    <n v="1"/>
  </r>
  <r>
    <s v="Ammonia Increased"/>
    <x v="13"/>
    <n v="1"/>
  </r>
  <r>
    <s v="Non-Alcoholic Steatohepatitis"/>
    <x v="2"/>
    <n v="1"/>
  </r>
  <r>
    <s v="Serum Ferritin Increased"/>
    <x v="5"/>
    <n v="1"/>
  </r>
  <r>
    <s v="Blood Albumin Increased"/>
    <x v="13"/>
    <n v="1"/>
  </r>
  <r>
    <s v="Glucose Tolerance Impaired"/>
    <x v="13"/>
    <n v="1"/>
  </r>
  <r>
    <s v="Respiratory Tract Congestion"/>
    <x v="10"/>
    <n v="1"/>
  </r>
  <r>
    <s v="Personality Change"/>
    <x v="18"/>
    <n v="2"/>
  </r>
  <r>
    <s v="Aggression"/>
    <x v="18"/>
    <n v="2"/>
  </r>
  <r>
    <s v="Incoherent"/>
    <x v="18"/>
    <n v="1"/>
  </r>
  <r>
    <s v="Malignant Melanoma"/>
    <x v="9"/>
    <n v="3"/>
  </r>
  <r>
    <s v="Irritable Bowel Syndrome"/>
    <x v="3"/>
    <n v="1"/>
  </r>
  <r>
    <s v="Gastroenteritis Viral"/>
    <x v="8"/>
    <n v="1"/>
  </r>
  <r>
    <s v="Hydroxyproline Increased"/>
    <x v="13"/>
    <n v="3"/>
  </r>
  <r>
    <s v="Hyperparathyroidism"/>
    <x v="12"/>
    <n v="1"/>
  </r>
  <r>
    <s v="Unevaluable Event"/>
    <x v="4"/>
    <n v="1"/>
  </r>
  <r>
    <s v="Cataract Subcapsular"/>
    <x v="19"/>
    <n v="1"/>
  </r>
  <r>
    <s v="Cerebral Venous Sinus Thrombosis"/>
    <x v="21"/>
    <n v="1"/>
  </r>
  <r>
    <s v="Brachiocephalic Vein Thrombosis"/>
    <x v="21"/>
    <n v="2"/>
  </r>
  <r>
    <s v="Odynophagia"/>
    <x v="14"/>
    <n v="1"/>
  </r>
  <r>
    <s v="Blood Albumin Decreased"/>
    <x v="13"/>
    <n v="2"/>
  </r>
  <r>
    <s v="Inflammatory Carcinoma Of Breast Recurrent"/>
    <x v="6"/>
    <n v="1"/>
  </r>
  <r>
    <s v="Suspected Counterfeit Product"/>
    <x v="4"/>
    <n v="1"/>
  </r>
  <r>
    <s v="Libido Decreased"/>
    <x v="6"/>
    <n v="2"/>
  </r>
  <r>
    <s v="Loss Of Libido"/>
    <x v="6"/>
    <n v="1"/>
  </r>
  <r>
    <s v="Eczema"/>
    <x v="9"/>
    <n v="1"/>
  </r>
  <r>
    <s v="Completed Suicide"/>
    <x v="4"/>
    <n v="1"/>
  </r>
  <r>
    <s v="Vulval Cancer Metastatic"/>
    <x v="6"/>
    <n v="1"/>
  </r>
  <r>
    <s v="Urinary Incontinence"/>
    <x v="15"/>
    <n v="2"/>
  </r>
  <r>
    <s v="Glioblastoma"/>
    <x v="0"/>
    <n v="1"/>
  </r>
  <r>
    <s v="Meningeal Disorder"/>
    <x v="0"/>
    <n v="1"/>
  </r>
  <r>
    <s v="Emotional Disorder"/>
    <x v="18"/>
    <n v="1"/>
  </r>
  <r>
    <s v="Organizing Pneumonia"/>
    <x v="10"/>
    <n v="2"/>
  </r>
  <r>
    <s v="Lumbosacral Radiculopathy"/>
    <x v="0"/>
    <n v="1"/>
  </r>
  <r>
    <s v="Guillain-Barre Syndrome"/>
    <x v="0"/>
    <n v="1"/>
  </r>
  <r>
    <s v="Radiculopathy"/>
    <x v="0"/>
    <n v="2"/>
  </r>
  <r>
    <s v="Peritoneal Adhesions"/>
    <x v="3"/>
    <n v="1"/>
  </r>
  <r>
    <s v="Adenocarcinoma Gastric"/>
    <x v="3"/>
    <n v="1"/>
  </r>
  <r>
    <s v="Endophthalmitis"/>
    <x v="19"/>
    <n v="1"/>
  </r>
  <r>
    <s v="Cardiothoracic Ratio Increased"/>
    <x v="7"/>
    <n v="1"/>
  </r>
  <r>
    <s v="Endocarditis"/>
    <x v="7"/>
    <n v="1"/>
  </r>
  <r>
    <s v="Shock"/>
    <x v="4"/>
    <n v="2"/>
  </r>
  <r>
    <s v="Streptococcal Infection"/>
    <x v="8"/>
    <n v="1"/>
  </r>
  <r>
    <s v="Urinary Retention"/>
    <x v="15"/>
    <n v="1"/>
  </r>
  <r>
    <s v="Immune System Disorder"/>
    <x v="22"/>
    <n v="1"/>
  </r>
  <r>
    <s v="Gastrointestinal Vascular Malformation Haemorrhagic"/>
    <x v="3"/>
    <n v="1"/>
  </r>
  <r>
    <s v="Peripheral Arterial Occlusive Disease"/>
    <x v="21"/>
    <n v="2"/>
  </r>
  <r>
    <s v="Toothache"/>
    <x v="14"/>
    <n v="2"/>
  </r>
  <r>
    <s v="Glaucoma"/>
    <x v="19"/>
    <n v="1"/>
  </r>
  <r>
    <s v="Ataxia"/>
    <x v="0"/>
    <n v="3"/>
  </r>
  <r>
    <s v="Purpura"/>
    <x v="9"/>
    <n v="1"/>
  </r>
  <r>
    <s v="Joint Effusion"/>
    <x v="1"/>
    <n v="1"/>
  </r>
  <r>
    <s v="Rheumatoid Arthritis"/>
    <x v="1"/>
    <n v="1"/>
  </r>
  <r>
    <s v="Nerve Compression"/>
    <x v="0"/>
    <n v="1"/>
  </r>
  <r>
    <s v="Muscle Swelling"/>
    <x v="11"/>
    <n v="1"/>
  </r>
  <r>
    <s v="Walking Aid User"/>
    <x v="4"/>
    <n v="1"/>
  </r>
  <r>
    <s v="Impaired Work Ability"/>
    <x v="4"/>
    <n v="2"/>
  </r>
  <r>
    <s v="Embolism Arterial"/>
    <x v="21"/>
    <n v="2"/>
  </r>
  <r>
    <s v="Colorectal Cancer"/>
    <x v="3"/>
    <n v="1"/>
  </r>
  <r>
    <s v="Tooth Loss"/>
    <x v="14"/>
    <n v="3"/>
  </r>
  <r>
    <s v="Dental Caries"/>
    <x v="14"/>
    <n v="1"/>
  </r>
  <r>
    <s v="Metastases To Retroperitoneum"/>
    <x v="4"/>
    <n v="1"/>
  </r>
  <r>
    <s v="Drug Interaction"/>
    <x v="4"/>
    <n v="3"/>
  </r>
  <r>
    <s v="Respiratory Depression"/>
    <x v="10"/>
    <n v="4"/>
  </r>
  <r>
    <s v="Opiates Positive"/>
    <x v="4"/>
    <n v="1"/>
  </r>
  <r>
    <s v="Affective Disorder"/>
    <x v="18"/>
    <n v="1"/>
  </r>
  <r>
    <s v="Therapeutic Product Effect Increased"/>
    <x v="4"/>
    <n v="1"/>
  </r>
  <r>
    <s v="Spinal Osteoarthritis"/>
    <x v="1"/>
    <n v="2"/>
  </r>
  <r>
    <s v="Hiatus Hernia"/>
    <x v="3"/>
    <n v="2"/>
  </r>
  <r>
    <s v="Oesophagitis"/>
    <x v="3"/>
    <n v="1"/>
  </r>
  <r>
    <s v="Lung Hyperinflation"/>
    <x v="10"/>
    <n v="1"/>
  </r>
  <r>
    <s v="Laryngitis"/>
    <x v="10"/>
    <n v="1"/>
  </r>
  <r>
    <s v="Nail Psoriasis"/>
    <x v="9"/>
    <n v="1"/>
  </r>
  <r>
    <s v="Dislocation Of Vertebra"/>
    <x v="1"/>
    <n v="1"/>
  </r>
  <r>
    <s v="Psoriatic Arthropathy"/>
    <x v="1"/>
    <n v="1"/>
  </r>
  <r>
    <s v="Bronchial Obstruction"/>
    <x v="10"/>
    <n v="1"/>
  </r>
  <r>
    <s v="Psoriasis"/>
    <x v="9"/>
    <n v="1"/>
  </r>
  <r>
    <s v="Obstructive Airways Disorder"/>
    <x v="10"/>
    <n v="1"/>
  </r>
  <r>
    <s v="Tooth Extraction"/>
    <x v="14"/>
    <n v="8"/>
  </r>
  <r>
    <s v="Lumbar Radiculopathy"/>
    <x v="0"/>
    <n v="1"/>
  </r>
  <r>
    <s v="Appendix Disorder"/>
    <x v="3"/>
    <n v="1"/>
  </r>
  <r>
    <s v="Osteoporosis Postmenopausal"/>
    <x v="1"/>
    <n v="1"/>
  </r>
  <r>
    <s v="Foot Fracture"/>
    <x v="1"/>
    <n v="3"/>
  </r>
  <r>
    <s v="Intervertebral Disc Protrusion"/>
    <x v="1"/>
    <n v="2"/>
  </r>
  <r>
    <s v="Poor Quality Sleep"/>
    <x v="0"/>
    <n v="2"/>
  </r>
  <r>
    <s v="Bone Density Decreased"/>
    <x v="1"/>
    <n v="3"/>
  </r>
  <r>
    <s v="Salmonellosis"/>
    <x v="8"/>
    <n v="1"/>
  </r>
  <r>
    <s v="Fracture Nonunion"/>
    <x v="1"/>
    <n v="1"/>
  </r>
  <r>
    <s v="Hand Fracture"/>
    <x v="1"/>
    <n v="1"/>
  </r>
  <r>
    <s v="Product Administration Error"/>
    <x v="4"/>
    <n v="1"/>
  </r>
  <r>
    <s v="Low Turnover Osteopathy"/>
    <x v="1"/>
    <n v="1"/>
  </r>
  <r>
    <s v="Femur Fracture"/>
    <x v="1"/>
    <n v="1"/>
  </r>
  <r>
    <s v="Post Procedural Haematoma"/>
    <x v="5"/>
    <n v="1"/>
  </r>
  <r>
    <s v="Rash Erythematous"/>
    <x v="9"/>
    <n v="1"/>
  </r>
  <r>
    <s v="Skin Hypertrophy"/>
    <x v="9"/>
    <n v="2"/>
  </r>
  <r>
    <s v="Radiation Skin Injury"/>
    <x v="9"/>
    <n v="1"/>
  </r>
  <r>
    <s v="Csf Oligoclonal Band Present"/>
    <x v="0"/>
    <n v="1"/>
  </r>
  <r>
    <s v="Strabismus"/>
    <x v="19"/>
    <n v="1"/>
  </r>
  <r>
    <s v="Demyelination"/>
    <x v="0"/>
    <n v="1"/>
  </r>
  <r>
    <s v="Iiird Nerve Paralysis"/>
    <x v="0"/>
    <n v="1"/>
  </r>
  <r>
    <s v="Multiple Sclerosis"/>
    <x v="0"/>
    <n v="1"/>
  </r>
  <r>
    <s v="Vith Nerve Paralysis"/>
    <x v="0"/>
    <n v="1"/>
  </r>
  <r>
    <s v="Post Procedural Complication"/>
    <x v="4"/>
    <n v="1"/>
  </r>
  <r>
    <s v="Peripheral Vascular Disorder"/>
    <x v="21"/>
    <n v="1"/>
  </r>
  <r>
    <s v="Vitreous Opacities"/>
    <x v="19"/>
    <n v="1"/>
  </r>
  <r>
    <s v="Candida Infection"/>
    <x v="8"/>
    <n v="2"/>
  </r>
  <r>
    <s v="Spondylolisthesis"/>
    <x v="1"/>
    <n v="1"/>
  </r>
  <r>
    <s v="Vitreous Disorder"/>
    <x v="19"/>
    <n v="1"/>
  </r>
  <r>
    <s v="Rash Maculo-Papular"/>
    <x v="9"/>
    <n v="1"/>
  </r>
  <r>
    <s v="Cervix Inflammation"/>
    <x v="6"/>
    <n v="1"/>
  </r>
  <r>
    <s v="Peripheral Artery Stenosis"/>
    <x v="21"/>
    <n v="1"/>
  </r>
  <r>
    <s v="Intermittent Claudication"/>
    <x v="21"/>
    <n v="1"/>
  </r>
  <r>
    <s v="Mood Altered"/>
    <x v="18"/>
    <n v="2"/>
  </r>
  <r>
    <s v="Monoplegia"/>
    <x v="0"/>
    <n v="1"/>
  </r>
  <r>
    <s v="Ileus Paralytic"/>
    <x v="3"/>
    <n v="1"/>
  </r>
  <r>
    <s v="Metastatic Malignant Melanoma"/>
    <x v="9"/>
    <n v="1"/>
  </r>
  <r>
    <s v="Varicose Vein"/>
    <x v="21"/>
    <n v="1"/>
  </r>
  <r>
    <s v="Melanoma Recurrent"/>
    <x v="9"/>
    <n v="1"/>
  </r>
  <r>
    <s v="Conjunctivitis"/>
    <x v="19"/>
    <n v="1"/>
  </r>
  <r>
    <s v="Pelvic Pain"/>
    <x v="6"/>
    <n v="1"/>
  </r>
  <r>
    <s v="Wrist Fracture"/>
    <x v="1"/>
    <n v="3"/>
  </r>
  <r>
    <s v="Granulocytopenia"/>
    <x v="5"/>
    <n v="1"/>
  </r>
  <r>
    <s v="Hyperchlorhydria"/>
    <x v="3"/>
    <n v="1"/>
  </r>
  <r>
    <s v="Pancreatitis Acute"/>
    <x v="29"/>
    <n v="1"/>
  </r>
  <r>
    <s v="Illness Anxiety Disorder"/>
    <x v="18"/>
    <n v="1"/>
  </r>
  <r>
    <s v="Atypical Pneumonia"/>
    <x v="10"/>
    <n v="1"/>
  </r>
  <r>
    <s v="Blood Cholinesterase Decreased"/>
    <x v="4"/>
    <n v="1"/>
  </r>
  <r>
    <s v="Hepatitis B"/>
    <x v="2"/>
    <n v="1"/>
  </r>
  <r>
    <s v="Denture Wearer"/>
    <x v="14"/>
    <n v="1"/>
  </r>
  <r>
    <s v="Ingrown Hair"/>
    <x v="9"/>
    <n v="1"/>
  </r>
  <r>
    <s v="Injury"/>
    <x v="4"/>
    <n v="1"/>
  </r>
  <r>
    <s v="Periodontitis"/>
    <x v="14"/>
    <n v="2"/>
  </r>
  <r>
    <s v="Edentulous"/>
    <x v="14"/>
    <n v="1"/>
  </r>
  <r>
    <s v="Ventricular Hypertrophy"/>
    <x v="7"/>
    <n v="1"/>
  </r>
  <r>
    <s v="Tooth Fracture"/>
    <x v="14"/>
    <n v="1"/>
  </r>
  <r>
    <s v="Lower Respiratory Tract Infection"/>
    <x v="10"/>
    <n v="1"/>
  </r>
  <r>
    <s v="Bone Marrow Necrosis"/>
    <x v="5"/>
    <n v="1"/>
  </r>
  <r>
    <s v="Oral Neoplasm"/>
    <x v="14"/>
    <n v="1"/>
  </r>
  <r>
    <s v="Protein Total Increased"/>
    <x v="13"/>
    <n v="1"/>
  </r>
  <r>
    <s v="Adenocarcinoma"/>
    <x v="4"/>
    <n v="1"/>
  </r>
  <r>
    <s v="Gingival Swelling"/>
    <x v="14"/>
    <n v="1"/>
  </r>
  <r>
    <s v="Vertebral Foraminal Stenosis"/>
    <x v="1"/>
    <n v="1"/>
  </r>
  <r>
    <s v="Gingival Recession"/>
    <x v="14"/>
    <n v="1"/>
  </r>
  <r>
    <s v="Cervical Spinal Stenosis"/>
    <x v="1"/>
    <n v="1"/>
  </r>
  <r>
    <s v="Pneumothorax"/>
    <x v="10"/>
    <n v="1"/>
  </r>
  <r>
    <s v="Atelectasis"/>
    <x v="10"/>
    <n v="1"/>
  </r>
  <r>
    <s v="Intervertebral Disc Compression"/>
    <x v="1"/>
    <n v="1"/>
  </r>
  <r>
    <s v="Hand-Foot-And-Mouth Disease"/>
    <x v="8"/>
    <n v="1"/>
  </r>
  <r>
    <s v="Amaurosis Fugax"/>
    <x v="19"/>
    <n v="1"/>
  </r>
  <r>
    <s v="Scoliosis"/>
    <x v="1"/>
    <n v="1"/>
  </r>
  <r>
    <s v="Spinal Flattening"/>
    <x v="1"/>
    <n v="1"/>
  </r>
  <r>
    <s v="Device Related Sepsis"/>
    <x v="4"/>
    <n v="1"/>
  </r>
  <r>
    <s v="Device Failure"/>
    <x v="4"/>
    <n v="1"/>
  </r>
  <r>
    <s v="Tooth Abscess"/>
    <x v="14"/>
    <n v="4"/>
  </r>
  <r>
    <s v="Fibrosis"/>
    <x v="4"/>
    <n v="1"/>
  </r>
  <r>
    <s v="Phalen's Test Positive"/>
    <x v="0"/>
    <n v="1"/>
  </r>
  <r>
    <s v="Orthopnoea"/>
    <x v="10"/>
    <n v="2"/>
  </r>
  <r>
    <s v="Eye Laser Surgery"/>
    <x v="19"/>
    <n v="1"/>
  </r>
  <r>
    <s v="Retinal Tear"/>
    <x v="19"/>
    <n v="1"/>
  </r>
  <r>
    <s v="Lymphadenectomy"/>
    <x v="4"/>
    <n v="1"/>
  </r>
  <r>
    <s v="Radiation Pneumonitis"/>
    <x v="10"/>
    <n v="1"/>
  </r>
  <r>
    <s v="Effusion"/>
    <x v="4"/>
    <n v="1"/>
  </r>
  <r>
    <s v="Pertussis"/>
    <x v="8"/>
    <n v="1"/>
  </r>
  <r>
    <s v="Debridement"/>
    <x v="4"/>
    <n v="2"/>
  </r>
  <r>
    <s v="Lung Neoplasm"/>
    <x v="10"/>
    <n v="1"/>
  </r>
  <r>
    <s v="Splenic Cyst"/>
    <x v="30"/>
    <n v="1"/>
  </r>
  <r>
    <s v="Abscess"/>
    <x v="4"/>
    <n v="1"/>
  </r>
  <r>
    <s v="Pulmonary Artery Thrombosis"/>
    <x v="21"/>
    <n v="1"/>
  </r>
  <r>
    <s v="Pain In Jaw"/>
    <x v="1"/>
    <n v="4"/>
  </r>
  <r>
    <s v="Soft Tissue Infection"/>
    <x v="9"/>
    <n v="2"/>
  </r>
  <r>
    <s v="Oophorectomy"/>
    <x v="6"/>
    <n v="3"/>
  </r>
  <r>
    <s v="Uterine Dilation And Curettage"/>
    <x v="6"/>
    <n v="3"/>
  </r>
  <r>
    <s v="Breast Operation"/>
    <x v="6"/>
    <n v="1"/>
  </r>
  <r>
    <s v="Atrioventricular Block Second Degree"/>
    <x v="7"/>
    <n v="1"/>
  </r>
  <r>
    <s v="Cardiac Pacemaker Insertion"/>
    <x v="7"/>
    <n v="2"/>
  </r>
  <r>
    <s v="Conduction Disorder"/>
    <x v="7"/>
    <n v="1"/>
  </r>
  <r>
    <s v="Skin Atrophy"/>
    <x v="9"/>
    <n v="1"/>
  </r>
  <r>
    <s v="Increased Tendency To Bruise"/>
    <x v="5"/>
    <n v="1"/>
  </r>
  <r>
    <s v="Vena Cava Filter Insertion"/>
    <x v="21"/>
    <n v="1"/>
  </r>
  <r>
    <s v="Major Depression"/>
    <x v="18"/>
    <n v="1"/>
  </r>
  <r>
    <s v="Hip Arthroplasty"/>
    <x v="1"/>
    <n v="2"/>
  </r>
  <r>
    <s v="Clear Cell Endometrial Carcinoma"/>
    <x v="6"/>
    <n v="1"/>
  </r>
  <r>
    <s v="Endometrial Cancer Metastatic"/>
    <x v="6"/>
    <n v="1"/>
  </r>
  <r>
    <s v="Intermenstrual Bleeding"/>
    <x v="6"/>
    <n v="2"/>
  </r>
  <r>
    <s v="Large Intestine Polyp"/>
    <x v="3"/>
    <n v="1"/>
  </r>
  <r>
    <s v="Gastrointestinal Surgery"/>
    <x v="3"/>
    <n v="1"/>
  </r>
  <r>
    <s v="Prinzmetal Angina"/>
    <x v="7"/>
    <n v="1"/>
  </r>
  <r>
    <s v="Demyelinating Polyneuropathy"/>
    <x v="0"/>
    <n v="1"/>
  </r>
  <r>
    <s v="Sensory Disturbance"/>
    <x v="0"/>
    <n v="3"/>
  </r>
  <r>
    <s v="Mucosal Disorder"/>
    <x v="4"/>
    <n v="2"/>
  </r>
  <r>
    <s v="Eyelid Oedema"/>
    <x v="19"/>
    <n v="1"/>
  </r>
  <r>
    <s v="Fibromyalgia"/>
    <x v="1"/>
    <n v="1"/>
  </r>
  <r>
    <s v="Labyrinthitis"/>
    <x v="0"/>
    <n v="1"/>
  </r>
  <r>
    <s v="Hyporeflexia"/>
    <x v="0"/>
    <n v="1"/>
  </r>
  <r>
    <s v="Quality Of Life Decreased"/>
    <x v="4"/>
    <n v="1"/>
  </r>
  <r>
    <s v="Atrial Tachycardia"/>
    <x v="7"/>
    <n v="1"/>
  </r>
  <r>
    <s v="Restrictive Cardiomyopathy"/>
    <x v="7"/>
    <n v="1"/>
  </r>
  <r>
    <s v="Cardiac Amyloidosis"/>
    <x v="7"/>
    <n v="1"/>
  </r>
  <r>
    <s v="Endometrial Hyperplasia"/>
    <x v="6"/>
    <n v="5"/>
  </r>
  <r>
    <s v="Uterine Polypectomy"/>
    <x v="6"/>
    <n v="1"/>
  </r>
  <r>
    <s v="Biopsy Endometrium"/>
    <x v="6"/>
    <n v="1"/>
  </r>
  <r>
    <s v="Hysteroscopy"/>
    <x v="6"/>
    <n v="3"/>
  </r>
  <r>
    <s v="Myocardial Ischaemia"/>
    <x v="7"/>
    <n v="2"/>
  </r>
  <r>
    <s v="Vascular Encephalopathy"/>
    <x v="0"/>
    <n v="1"/>
  </r>
  <r>
    <s v="Endocervical Curettage"/>
    <x v="6"/>
    <n v="2"/>
  </r>
  <r>
    <s v="Hysterectomy"/>
    <x v="6"/>
    <n v="5"/>
  </r>
  <r>
    <s v="Endometrial Hypertrophy"/>
    <x v="6"/>
    <n v="2"/>
  </r>
  <r>
    <s v="Polypectomy"/>
    <x v="4"/>
    <n v="2"/>
  </r>
  <r>
    <s v="Ovarian Cyst"/>
    <x v="6"/>
    <n v="5"/>
  </r>
  <r>
    <s v="Salpingo-Oophorectomy Bilateral"/>
    <x v="6"/>
    <n v="4"/>
  </r>
  <r>
    <s v="Endometrial Atrophy"/>
    <x v="6"/>
    <n v="2"/>
  </r>
  <r>
    <s v="Tracheal Ulcer"/>
    <x v="10"/>
    <n v="1"/>
  </r>
  <r>
    <s v="Coronary Artery Embolism"/>
    <x v="7"/>
    <n v="1"/>
  </r>
  <r>
    <s v="Coronary Artery Thrombosis"/>
    <x v="7"/>
    <n v="2"/>
  </r>
  <r>
    <s v="Pulmonary Haemorrhage"/>
    <x v="10"/>
    <n v="1"/>
  </r>
  <r>
    <s v="Cardiogenic Shock"/>
    <x v="7"/>
    <n v="1"/>
  </r>
  <r>
    <s v="Coronary Artery Occlusion"/>
    <x v="7"/>
    <n v="1"/>
  </r>
  <r>
    <s v="Coronary Angioplasty"/>
    <x v="7"/>
    <n v="1"/>
  </r>
  <r>
    <s v="Ventricular Fibrillation"/>
    <x v="7"/>
    <n v="1"/>
  </r>
  <r>
    <s v="Angioplasty"/>
    <x v="7"/>
    <n v="1"/>
  </r>
  <r>
    <s v="Cardioversion"/>
    <x v="7"/>
    <n v="1"/>
  </r>
  <r>
    <s v="Adnexa Uteri Cyst"/>
    <x v="6"/>
    <n v="1"/>
  </r>
  <r>
    <s v="Concomitant Disease Progression"/>
    <x v="4"/>
    <n v="2"/>
  </r>
  <r>
    <s v="Uterine Prolapse"/>
    <x v="6"/>
    <n v="2"/>
  </r>
  <r>
    <s v="Cervicitis Human Papilloma Virus"/>
    <x v="6"/>
    <n v="1"/>
  </r>
  <r>
    <s v="Mastectomy"/>
    <x v="6"/>
    <n v="1"/>
  </r>
  <r>
    <s v="Tumour Excision"/>
    <x v="4"/>
    <n v="1"/>
  </r>
  <r>
    <s v="Coronary Artery Stenosis"/>
    <x v="7"/>
    <n v="1"/>
  </r>
  <r>
    <s v="Arteriosclerosis Coronary Artery"/>
    <x v="7"/>
    <n v="1"/>
  </r>
  <r>
    <s v="Joint Arthroplasty"/>
    <x v="1"/>
    <n v="1"/>
  </r>
  <r>
    <s v="Ovarian Adenoma"/>
    <x v="6"/>
    <n v="1"/>
  </r>
  <r>
    <s v="Cataract Operation"/>
    <x v="19"/>
    <n v="2"/>
  </r>
  <r>
    <s v="Intraocular Lens Implant"/>
    <x v="19"/>
    <n v="1"/>
  </r>
  <r>
    <s v="Cystocele"/>
    <x v="15"/>
    <n v="1"/>
  </r>
  <r>
    <s v="Prolapse Repair"/>
    <x v="4"/>
    <n v="1"/>
  </r>
  <r>
    <s v="Stress Urinary Incontinence"/>
    <x v="15"/>
    <n v="1"/>
  </r>
  <r>
    <s v="Callus Formation Delayed"/>
    <x v="1"/>
    <n v="1"/>
  </r>
  <r>
    <s v="Adhesiolysis"/>
    <x v="4"/>
    <n v="1"/>
  </r>
  <r>
    <s v="Bladder Dilatation"/>
    <x v="15"/>
    <n v="1"/>
  </r>
  <r>
    <s v="Wrist Surgery"/>
    <x v="1"/>
    <n v="1"/>
  </r>
  <r>
    <s v="Cerebrovascular Disorder"/>
    <x v="0"/>
    <n v="1"/>
  </r>
  <r>
    <s v="Pancreatitis Necrotising"/>
    <x v="29"/>
    <n v="1"/>
  </r>
  <r>
    <s v="Wheezing"/>
    <x v="10"/>
    <n v="1"/>
  </r>
  <r>
    <s v="Microangiopathic Haemolytic Anaemia"/>
    <x v="5"/>
    <n v="2"/>
  </r>
  <r>
    <s v="Anaemia Of Malignant Disease"/>
    <x v="5"/>
    <n v="1"/>
  </r>
  <r>
    <s v="Blood Alkaline Phosphatase"/>
    <x v="2"/>
    <n v="1"/>
  </r>
  <r>
    <s v="Altered State Of Consciousness"/>
    <x v="0"/>
    <n v="1"/>
  </r>
  <r>
    <s v="Cognitive Disorder"/>
    <x v="0"/>
    <n v="2"/>
  </r>
  <r>
    <s v="Hypotonia"/>
    <x v="0"/>
    <n v="1"/>
  </r>
  <r>
    <s v="Thrombotic Thrombocytopenic Purpura"/>
    <x v="5"/>
    <n v="1"/>
  </r>
  <r>
    <s v="Lipase Increased"/>
    <x v="29"/>
    <n v="1"/>
  </r>
  <r>
    <s v="Amylase Increased"/>
    <x v="29"/>
    <n v="1"/>
  </r>
  <r>
    <s v="Cholecystectomy"/>
    <x v="20"/>
    <n v="2"/>
  </r>
  <r>
    <s v="Biliary Colic"/>
    <x v="20"/>
    <n v="1"/>
  </r>
  <r>
    <s v="Ventricular Hypokinesia"/>
    <x v="7"/>
    <n v="1"/>
  </r>
  <r>
    <s v="Left Atrial Dilatation"/>
    <x v="7"/>
    <n v="1"/>
  </r>
  <r>
    <s v="Ocular Hyperaemia"/>
    <x v="19"/>
    <n v="2"/>
  </r>
  <r>
    <s v="Iridocyclitis"/>
    <x v="19"/>
    <n v="2"/>
  </r>
  <r>
    <s v="Uterine Disorder"/>
    <x v="6"/>
    <n v="1"/>
  </r>
  <r>
    <s v="Wound Decomposition"/>
    <x v="4"/>
    <n v="1"/>
  </r>
  <r>
    <s v="Dental Prosthesis Placement"/>
    <x v="14"/>
    <n v="1"/>
  </r>
  <r>
    <s v="Osteonecrosis"/>
    <x v="1"/>
    <n v="5"/>
  </r>
  <r>
    <s v="Oral Discharge"/>
    <x v="14"/>
    <n v="1"/>
  </r>
  <r>
    <s v="Vein Disorder"/>
    <x v="21"/>
    <n v="1"/>
  </r>
  <r>
    <s v="Myositis"/>
    <x v="11"/>
    <n v="1"/>
  </r>
  <r>
    <s v="Echocardiogram Abnormal"/>
    <x v="7"/>
    <n v="1"/>
  </r>
  <r>
    <s v="Stridor"/>
    <x v="10"/>
    <n v="1"/>
  </r>
  <r>
    <s v="Eosinophil Count Decreased"/>
    <x v="5"/>
    <n v="1"/>
  </r>
  <r>
    <s v="Endodontic Procedure"/>
    <x v="14"/>
    <n v="1"/>
  </r>
  <r>
    <s v="Sequestrectomy"/>
    <x v="1"/>
    <n v="1"/>
  </r>
  <r>
    <s v="Mouth Ulceration"/>
    <x v="14"/>
    <n v="1"/>
  </r>
  <r>
    <s v="Mass"/>
    <x v="4"/>
    <n v="1"/>
  </r>
  <r>
    <s v="Oedema Mouth"/>
    <x v="14"/>
    <n v="1"/>
  </r>
  <r>
    <s v="Paraesthesia Oral"/>
    <x v="0"/>
    <n v="1"/>
  </r>
  <r>
    <s v="Paradoxical Embolism"/>
    <x v="21"/>
    <n v="1"/>
  </r>
  <r>
    <s v="Electrocardiogram Ambulatory Abnormal"/>
    <x v="7"/>
    <n v="1"/>
  </r>
  <r>
    <s v="Nystagmus"/>
    <x v="0"/>
    <n v="1"/>
  </r>
  <r>
    <s v="Facial Paresis"/>
    <x v="0"/>
    <n v="1"/>
  </r>
  <r>
    <s v="Iiird Nerve Disorder"/>
    <x v="0"/>
    <n v="1"/>
  </r>
  <r>
    <s v="Carpal Tunnel Decompression"/>
    <x v="1"/>
    <n v="2"/>
  </r>
  <r>
    <s v="Pemphigoid"/>
    <x v="9"/>
    <n v="1"/>
  </r>
  <r>
    <s v="Pruritus Genital"/>
    <x v="6"/>
    <n v="1"/>
  </r>
  <r>
    <s v="Skin Lesion"/>
    <x v="9"/>
    <n v="2"/>
  </r>
  <r>
    <s v="Diverticulum"/>
    <x v="3"/>
    <n v="1"/>
  </r>
  <r>
    <s v="Lower Gastrointestinal Haemorrhage"/>
    <x v="3"/>
    <n v="1"/>
  </r>
  <r>
    <s v="Bradycardia"/>
    <x v="7"/>
    <n v="1"/>
  </r>
  <r>
    <s v="Hypercholesterolaemia"/>
    <x v="13"/>
    <n v="1"/>
  </r>
  <r>
    <s v="Post Herpetic Neuralgia"/>
    <x v="0"/>
    <n v="1"/>
  </r>
  <r>
    <s v="Ophthalmic Herpes Zoster"/>
    <x v="8"/>
    <n v="1"/>
  </r>
  <r>
    <s v="Road Traffic Accident"/>
    <x v="4"/>
    <n v="1"/>
  </r>
  <r>
    <s v="Optic Nerve Infarction"/>
    <x v="19"/>
    <n v="1"/>
  </r>
  <r>
    <s v="Atrophy"/>
    <x v="4"/>
    <n v="1"/>
  </r>
  <r>
    <s v="Colitis Ischaemic"/>
    <x v="3"/>
    <n v="1"/>
  </r>
  <r>
    <s v="Hilar Lymphadenopathy"/>
    <x v="16"/>
    <n v="1"/>
  </r>
  <r>
    <s v="Anal Skin Tag Excision"/>
    <x v="4"/>
    <n v="1"/>
  </r>
  <r>
    <s v="Exostosis"/>
    <x v="1"/>
    <n v="1"/>
  </r>
  <r>
    <s v="Muscle Strain"/>
    <x v="11"/>
    <n v="1"/>
  </r>
  <r>
    <s v="Obesity"/>
    <x v="13"/>
    <n v="1"/>
  </r>
  <r>
    <s v="Arthropod Bite"/>
    <x v="4"/>
    <n v="1"/>
  </r>
  <r>
    <s v="Myelodysplastic Syndrome"/>
    <x v="5"/>
    <n v="1"/>
  </r>
  <r>
    <s v="Epstein-Barr Virus Antibody Positive"/>
    <x v="8"/>
    <n v="1"/>
  </r>
  <r>
    <s v="Bone Fragmentation"/>
    <x v="1"/>
    <n v="1"/>
  </r>
  <r>
    <s v="Potentiating Drug Interaction"/>
    <x v="4"/>
    <n v="1"/>
  </r>
  <r>
    <s v="Pharyngeal Oedema"/>
    <x v="10"/>
    <n v="1"/>
  </r>
  <r>
    <s v="Anaphylactic Reaction"/>
    <x v="23"/>
    <n v="1"/>
  </r>
  <r>
    <s v="Soft Tissue Disorder"/>
    <x v="1"/>
    <n v="1"/>
  </r>
  <r>
    <s v="Dementia Alzheimer's Type"/>
    <x v="0"/>
    <n v="1"/>
  </r>
  <r>
    <s v="Cerebral Atrophy"/>
    <x v="0"/>
    <n v="1"/>
  </r>
  <r>
    <s v="Magnetic Resonance Imaging Abnormal"/>
    <x v="4"/>
    <n v="1"/>
  </r>
  <r>
    <s v="Dementia"/>
    <x v="0"/>
    <n v="1"/>
  </r>
  <r>
    <s v="Hyperkeratosis"/>
    <x v="9"/>
    <n v="2"/>
  </r>
  <r>
    <s v="Wisdom Teeth Removal"/>
    <x v="14"/>
    <n v="1"/>
  </r>
  <r>
    <s v="Tumour Lysis Syndrome"/>
    <x v="4"/>
    <n v="1"/>
  </r>
  <r>
    <s v="Peripheral Sensory Neuropathy"/>
    <x v="0"/>
    <n v="1"/>
  </r>
  <r>
    <s v="Visual Field Defect"/>
    <x v="19"/>
    <n v="2"/>
  </r>
  <r>
    <s v="Renal Cell Carcinoma"/>
    <x v="17"/>
    <n v="1"/>
  </r>
  <r>
    <s v="Haemorrhage Urinary Tract"/>
    <x v="15"/>
    <n v="1"/>
  </r>
  <r>
    <s v="Myofascial Pain Syndrome"/>
    <x v="1"/>
    <n v="1"/>
  </r>
  <r>
    <s v="Blood Prolactin Increased"/>
    <x v="12"/>
    <n v="1"/>
  </r>
  <r>
    <s v="Autoimmune Disorder"/>
    <x v="22"/>
    <n v="1"/>
  </r>
  <r>
    <s v="Crest Syndrome"/>
    <x v="4"/>
    <n v="1"/>
  </r>
  <r>
    <s v="Autoantibody Positive"/>
    <x v="22"/>
    <n v="1"/>
  </r>
  <r>
    <s v="Blood Creatine Phosphokinase Mb"/>
    <x v="11"/>
    <n v="1"/>
  </r>
  <r>
    <s v="Autoimmune Haemolytic Anaemia"/>
    <x v="5"/>
    <n v="1"/>
  </r>
  <r>
    <s v="Coombs Test Positive"/>
    <x v="5"/>
    <n v="1"/>
  </r>
  <r>
    <s v="Haptoglobin Decreased"/>
    <x v="5"/>
    <n v="1"/>
  </r>
  <r>
    <s v="Reticulocyte Percentage Increased"/>
    <x v="5"/>
    <n v="1"/>
  </r>
  <r>
    <s v="Ultrasound Scan Abnormal"/>
    <x v="4"/>
    <n v="1"/>
  </r>
  <r>
    <s v="Breast Cancer Female"/>
    <x v="6"/>
    <n v="1"/>
  </r>
  <r>
    <s v="Chronic Myeloid Leukaemia"/>
    <x v="5"/>
    <n v="1"/>
  </r>
  <r>
    <s v="Erythema Multiforme"/>
    <x v="9"/>
    <n v="2"/>
  </r>
  <r>
    <s v="Hypomania"/>
    <x v="18"/>
    <n v="1"/>
  </r>
  <r>
    <s v="Aspergillus Infection"/>
    <x v="8"/>
    <n v="1"/>
  </r>
  <r>
    <s v="Influenza Like Illness"/>
    <x v="8"/>
    <n v="3"/>
  </r>
  <r>
    <s v="Cytomegalovirus Infection"/>
    <x v="8"/>
    <n v="1"/>
  </r>
  <r>
    <s v="Tenolysis"/>
    <x v="1"/>
    <n v="1"/>
  </r>
  <r>
    <s v="Pericarditis"/>
    <x v="7"/>
    <n v="1"/>
  </r>
  <r>
    <s v="Anterior Chamber Inflammation"/>
    <x v="19"/>
    <n v="1"/>
  </r>
  <r>
    <s v="Intraocular Pressure Increased"/>
    <x v="19"/>
    <n v="2"/>
  </r>
  <r>
    <s v="Creatinine Renal Clearance Decreased"/>
    <x v="17"/>
    <n v="1"/>
  </r>
  <r>
    <s v="Face Oedema"/>
    <x v="4"/>
    <n v="2"/>
  </r>
  <r>
    <s v="Chronic Lymphocytic Leukaemia"/>
    <x v="5"/>
    <n v="1"/>
  </r>
  <r>
    <s v="Lenticular Opacities"/>
    <x v="19"/>
    <n v="1"/>
  </r>
  <r>
    <s v="Low Cardiac Output Syndrome"/>
    <x v="7"/>
    <n v="1"/>
  </r>
  <r>
    <s v="Crepitations"/>
    <x v="10"/>
    <n v="1"/>
  </r>
  <r>
    <s v="Exercise Electrocardiogram Abnormal"/>
    <x v="7"/>
    <n v="1"/>
  </r>
  <r>
    <s v="Ejection Fraction Abnormal"/>
    <x v="7"/>
    <n v="1"/>
  </r>
  <r>
    <s v="Pleural Infection"/>
    <x v="10"/>
    <n v="1"/>
  </r>
  <r>
    <s v="Blood Chloride Decreased"/>
    <x v="13"/>
    <n v="1"/>
  </r>
  <r>
    <s v="Adrenal Insufficiency"/>
    <x v="12"/>
    <n v="1"/>
  </r>
  <r>
    <s v="Blood Aldosterone Increased"/>
    <x v="12"/>
    <n v="1"/>
  </r>
  <r>
    <s v="Renin Increased"/>
    <x v="12"/>
    <n v="1"/>
  </r>
  <r>
    <s v="Carcinoid Tumour Of The Gastrointestinal Tract"/>
    <x v="3"/>
    <n v="1"/>
  </r>
  <r>
    <s v="Hyperaldosteronism"/>
    <x v="12"/>
    <n v="1"/>
  </r>
  <r>
    <s v="Fat Tissue Increased"/>
    <x v="13"/>
    <n v="1"/>
  </r>
  <r>
    <s v="Lip Disorder"/>
    <x v="14"/>
    <n v="1"/>
  </r>
  <r>
    <s v="Intestinal Ischaemia"/>
    <x v="3"/>
    <n v="1"/>
  </r>
  <r>
    <s v="Fibrin Degradation Products Increased"/>
    <x v="5"/>
    <n v="1"/>
  </r>
  <r>
    <s v="Prothrombin Level Decreased"/>
    <x v="5"/>
    <n v="1"/>
  </r>
  <r>
    <s v="Blood Fibrinogen Decreased"/>
    <x v="5"/>
    <n v="1"/>
  </r>
  <r>
    <s v="Cortisol Decreased"/>
    <x v="12"/>
    <n v="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Arthralgia"/>
    <x v="0"/>
    <n v="2"/>
  </r>
  <r>
    <s v="Asthenia"/>
    <x v="1"/>
    <n v="1"/>
  </r>
  <r>
    <s v="Brain Fog"/>
    <x v="2"/>
    <n v="1"/>
  </r>
  <r>
    <s v="Insomnia"/>
    <x v="2"/>
    <n v="1"/>
  </r>
  <r>
    <s v="Fatigue"/>
    <x v="1"/>
    <n v="1"/>
  </r>
  <r>
    <s v="Alopecia"/>
    <x v="3"/>
    <n v="1"/>
  </r>
  <r>
    <s v="Blood Glucose Increased"/>
    <x v="4"/>
    <n v="1"/>
  </r>
  <r>
    <s v="Anxiety"/>
    <x v="5"/>
    <n v="1"/>
  </r>
  <r>
    <s v="Lung Disorder"/>
    <x v="6"/>
    <n v="1"/>
  </r>
  <r>
    <s v="Dizziness"/>
    <x v="2"/>
    <n v="1"/>
  </r>
  <r>
    <s v="Neuropathy Peripheral"/>
    <x v="2"/>
    <n v="1"/>
  </r>
  <r>
    <s v="Nausea"/>
    <x v="7"/>
    <n v="1"/>
  </r>
  <r>
    <s v="Palmar-Plantar Erythrodysaesthesia Syndrome"/>
    <x v="3"/>
    <n v="1"/>
  </r>
  <r>
    <s v="Vomiting"/>
    <x v="7"/>
    <n v="1"/>
  </r>
  <r>
    <s v="Anaemia"/>
    <x v="8"/>
    <n v="1"/>
  </r>
  <r>
    <s v="Constipation"/>
    <x v="7"/>
    <n v="1"/>
  </r>
  <r>
    <s v="Blood Pressure Increased"/>
    <x v="9"/>
    <n v="1"/>
  </r>
  <r>
    <s v="Diarrhoea"/>
    <x v="7"/>
    <n v="1"/>
  </r>
  <r>
    <s v="Paraesthesia"/>
    <x v="2"/>
    <n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1">
  <r>
    <s v="Pyrexia"/>
    <x v="0"/>
    <n v="22"/>
  </r>
  <r>
    <s v="Blood Bilirubin Increased"/>
    <x v="1"/>
    <n v="5"/>
  </r>
  <r>
    <s v="Cholangitis"/>
    <x v="2"/>
    <n v="2"/>
  </r>
  <r>
    <s v="Presyncope"/>
    <x v="3"/>
    <n v="1"/>
  </r>
  <r>
    <s v="Muscular Weakness"/>
    <x v="4"/>
    <n v="3"/>
  </r>
  <r>
    <s v="Hypokalaemia"/>
    <x v="5"/>
    <n v="1"/>
  </r>
  <r>
    <s v="Diarrhoea"/>
    <x v="6"/>
    <n v="63"/>
  </r>
  <r>
    <s v="Hepatic Enzyme Increased"/>
    <x v="1"/>
    <n v="2"/>
  </r>
  <r>
    <s v="Abdominal Pain Lower"/>
    <x v="6"/>
    <n v="9"/>
  </r>
  <r>
    <s v="Depressed Mood"/>
    <x v="7"/>
    <n v="13"/>
  </r>
  <r>
    <s v="Nausea"/>
    <x v="6"/>
    <n v="75"/>
  </r>
  <r>
    <s v="Palpitations"/>
    <x v="3"/>
    <n v="10"/>
  </r>
  <r>
    <s v="Vomiting"/>
    <x v="6"/>
    <n v="43"/>
  </r>
  <r>
    <s v="Ascites"/>
    <x v="6"/>
    <n v="11"/>
  </r>
  <r>
    <s v="General Physical Health Deterioration"/>
    <x v="0"/>
    <n v="13"/>
  </r>
  <r>
    <s v="Spinal Pain"/>
    <x v="8"/>
    <n v="13"/>
  </r>
  <r>
    <s v="Fluid Retention"/>
    <x v="0"/>
    <n v="8"/>
  </r>
  <r>
    <s v="Erysipelas"/>
    <x v="9"/>
    <n v="6"/>
  </r>
  <r>
    <s v="Superficial Vein Thrombosis"/>
    <x v="10"/>
    <n v="5"/>
  </r>
  <r>
    <s v="Restless Legs Syndrome"/>
    <x v="11"/>
    <n v="11"/>
  </r>
  <r>
    <s v="Depression"/>
    <x v="7"/>
    <n v="17"/>
  </r>
  <r>
    <s v="Arthralgia"/>
    <x v="8"/>
    <n v="57"/>
  </r>
  <r>
    <s v="Febrile Infection"/>
    <x v="12"/>
    <n v="13"/>
  </r>
  <r>
    <s v="Neutropenia"/>
    <x v="13"/>
    <n v="68"/>
  </r>
  <r>
    <s v="Pneumonia"/>
    <x v="14"/>
    <n v="27"/>
  </r>
  <r>
    <s v="C-Reactive Protein Increased"/>
    <x v="15"/>
    <n v="16"/>
  </r>
  <r>
    <s v="Leukopenia"/>
    <x v="13"/>
    <n v="27"/>
  </r>
  <r>
    <s v="Calcium Deficiency"/>
    <x v="5"/>
    <n v="10"/>
  </r>
  <r>
    <s v="Weight Increased"/>
    <x v="16"/>
    <n v="8"/>
  </r>
  <r>
    <s v="Anaemia"/>
    <x v="13"/>
    <n v="32"/>
  </r>
  <r>
    <s v="Upper Respiratory Tract Infection"/>
    <x v="14"/>
    <n v="13"/>
  </r>
  <r>
    <s v="Electrocardiogram Qt Prolonged"/>
    <x v="3"/>
    <n v="13"/>
  </r>
  <r>
    <s v="Off Label Use"/>
    <x v="0"/>
    <n v="7"/>
  </r>
  <r>
    <s v="Product Substitution Issue"/>
    <x v="0"/>
    <n v="4"/>
  </r>
  <r>
    <s v="Deep Vein Thrombosis"/>
    <x v="10"/>
    <n v="6"/>
  </r>
  <r>
    <s v="Pulmonary Embolism"/>
    <x v="14"/>
    <n v="14"/>
  </r>
  <r>
    <s v="Asthenia"/>
    <x v="0"/>
    <n v="20"/>
  </r>
  <r>
    <s v="Decreased Appetite"/>
    <x v="16"/>
    <n v="12"/>
  </r>
  <r>
    <s v="Fatigue"/>
    <x v="0"/>
    <n v="58"/>
  </r>
  <r>
    <s v="Full Blood Count Abnormal"/>
    <x v="13"/>
    <n v="2"/>
  </r>
  <r>
    <s v="Product Use Issue"/>
    <x v="0"/>
    <n v="1"/>
  </r>
  <r>
    <s v="White Blood Cell Count Decreased"/>
    <x v="13"/>
    <n v="18"/>
  </r>
  <r>
    <s v="Mood Swings"/>
    <x v="7"/>
    <n v="2"/>
  </r>
  <r>
    <s v="Alopecia"/>
    <x v="9"/>
    <n v="21"/>
  </r>
  <r>
    <s v="Immunodeficiency"/>
    <x v="17"/>
    <n v="1"/>
  </r>
  <r>
    <s v="Nasopharyngitis"/>
    <x v="14"/>
    <n v="2"/>
  </r>
  <r>
    <s v="Pneumonitis"/>
    <x v="14"/>
    <n v="11"/>
  </r>
  <r>
    <s v="Burning Sensation"/>
    <x v="11"/>
    <n v="7"/>
  </r>
  <r>
    <s v="Pain In Extremity"/>
    <x v="8"/>
    <n v="31"/>
  </r>
  <r>
    <s v="Visual Field Defect"/>
    <x v="18"/>
    <n v="3"/>
  </r>
  <r>
    <s v="Neurotoxicity"/>
    <x v="11"/>
    <n v="2"/>
  </r>
  <r>
    <s v="Headache"/>
    <x v="11"/>
    <n v="39"/>
  </r>
  <r>
    <s v="Pancytopenia"/>
    <x v="13"/>
    <n v="16"/>
  </r>
  <r>
    <s v="Graves' Disease"/>
    <x v="5"/>
    <n v="2"/>
  </r>
  <r>
    <s v="Hepatotoxicity"/>
    <x v="1"/>
    <n v="14"/>
  </r>
  <r>
    <s v="Thrombocytopenia"/>
    <x v="13"/>
    <n v="17"/>
  </r>
  <r>
    <s v="Alanine Aminotransferase Increased"/>
    <x v="1"/>
    <n v="21"/>
  </r>
  <r>
    <s v="Macrocytosis"/>
    <x v="13"/>
    <n v="3"/>
  </r>
  <r>
    <s v="Malignant Neoplasm Progression"/>
    <x v="0"/>
    <n v="23"/>
  </r>
  <r>
    <s v="Pik3ca-Activated Mutation"/>
    <x v="19"/>
    <n v="2"/>
  </r>
  <r>
    <s v="Anisocytosis"/>
    <x v="13"/>
    <n v="3"/>
  </r>
  <r>
    <s v="Invasive Ductal Breast Carcinoma"/>
    <x v="20"/>
    <n v="3"/>
  </r>
  <r>
    <s v="Monocyte Count Increased"/>
    <x v="13"/>
    <n v="2"/>
  </r>
  <r>
    <s v="Metastases To Lymph Nodes"/>
    <x v="21"/>
    <n v="3"/>
  </r>
  <r>
    <s v="Red Cell Distribution Width Increased"/>
    <x v="13"/>
    <n v="3"/>
  </r>
  <r>
    <s v="Basophil Count Increased"/>
    <x v="13"/>
    <n v="7"/>
  </r>
  <r>
    <s v="Haematocrit Decreased"/>
    <x v="13"/>
    <n v="5"/>
  </r>
  <r>
    <s v="Bilirubin Conjugated Increased"/>
    <x v="1"/>
    <n v="3"/>
  </r>
  <r>
    <s v="Aspartate Aminotransferase Increased"/>
    <x v="1"/>
    <n v="21"/>
  </r>
  <r>
    <s v="Lymphocyte Morphology Abnormal"/>
    <x v="13"/>
    <n v="2"/>
  </r>
  <r>
    <s v="Platelet Count Decreased"/>
    <x v="13"/>
    <n v="10"/>
  </r>
  <r>
    <s v="Haemoglobin Decreased"/>
    <x v="13"/>
    <n v="10"/>
  </r>
  <r>
    <s v="Red Blood Cell Count Decreased"/>
    <x v="13"/>
    <n v="11"/>
  </r>
  <r>
    <s v="Globulins Decreased"/>
    <x v="16"/>
    <n v="2"/>
  </r>
  <r>
    <s v="Mean Cell Haemoglobin Increased"/>
    <x v="13"/>
    <n v="3"/>
  </r>
  <r>
    <s v="Post Herpetic Neuralgia"/>
    <x v="11"/>
    <n v="7"/>
  </r>
  <r>
    <s v="Renal Vascular Thrombosis"/>
    <x v="10"/>
    <n v="4"/>
  </r>
  <r>
    <s v="Heart Failure With Reduced Ejection Fraction"/>
    <x v="3"/>
    <n v="5"/>
  </r>
  <r>
    <s v="Sudden Hearing Loss"/>
    <x v="22"/>
    <n v="2"/>
  </r>
  <r>
    <s v="Vena Cava Thrombosis"/>
    <x v="10"/>
    <n v="2"/>
  </r>
  <r>
    <s v="Pleural Effusion"/>
    <x v="14"/>
    <n v="22"/>
  </r>
  <r>
    <s v="Vulvovaginal Inflammation"/>
    <x v="20"/>
    <n v="4"/>
  </r>
  <r>
    <s v="Inappropriate Schedule Of Product Administration"/>
    <x v="0"/>
    <n v="5"/>
  </r>
  <r>
    <s v="White Blood Cell Count Increased"/>
    <x v="13"/>
    <n v="2"/>
  </r>
  <r>
    <s v="Stomatitis"/>
    <x v="23"/>
    <n v="25"/>
  </r>
  <r>
    <s v="Musculoskeletal Stiffness"/>
    <x v="8"/>
    <n v="14"/>
  </r>
  <r>
    <s v="Condition Aggravated"/>
    <x v="0"/>
    <n v="6"/>
  </r>
  <r>
    <s v="Pulmonary Mass"/>
    <x v="14"/>
    <n v="4"/>
  </r>
  <r>
    <s v="Paraesthesia"/>
    <x v="11"/>
    <n v="6"/>
  </r>
  <r>
    <s v="Somnolence"/>
    <x v="11"/>
    <n v="6"/>
  </r>
  <r>
    <s v="Bone Disorder"/>
    <x v="8"/>
    <n v="8"/>
  </r>
  <r>
    <s v="Osteoporosis"/>
    <x v="8"/>
    <n v="4"/>
  </r>
  <r>
    <s v="Back Pain"/>
    <x v="8"/>
    <n v="25"/>
  </r>
  <r>
    <s v="Aphasia"/>
    <x v="11"/>
    <n v="2"/>
  </r>
  <r>
    <s v="Confusional State"/>
    <x v="11"/>
    <n v="3"/>
  </r>
  <r>
    <s v="Atelectasis"/>
    <x v="14"/>
    <n v="2"/>
  </r>
  <r>
    <s v="Inflammation"/>
    <x v="0"/>
    <n v="4"/>
  </r>
  <r>
    <s v="Lymphadenitis"/>
    <x v="21"/>
    <n v="1"/>
  </r>
  <r>
    <s v="Dyspnoea"/>
    <x v="14"/>
    <n v="14"/>
  </r>
  <r>
    <s v="Agranulocytosis"/>
    <x v="13"/>
    <n v="7"/>
  </r>
  <r>
    <s v="Radiation Pneumonitis"/>
    <x v="14"/>
    <n v="1"/>
  </r>
  <r>
    <s v="Embolism Venous"/>
    <x v="10"/>
    <n v="1"/>
  </r>
  <r>
    <s v="Abdominal Pain"/>
    <x v="6"/>
    <n v="16"/>
  </r>
  <r>
    <s v="Hypoxia"/>
    <x v="14"/>
    <n v="2"/>
  </r>
  <r>
    <s v="Abdominal Distension"/>
    <x v="6"/>
    <n v="6"/>
  </r>
  <r>
    <s v="Cholecystitis Acute"/>
    <x v="2"/>
    <n v="2"/>
  </r>
  <r>
    <s v="Oxygen Saturation Decreased"/>
    <x v="14"/>
    <n v="2"/>
  </r>
  <r>
    <s v="Leukocytosis"/>
    <x v="13"/>
    <n v="1"/>
  </r>
  <r>
    <s v="Pericardial Effusion"/>
    <x v="3"/>
    <n v="8"/>
  </r>
  <r>
    <s v="Respiratory Failure"/>
    <x v="14"/>
    <n v="3"/>
  </r>
  <r>
    <s v="Aspergillus Infection"/>
    <x v="12"/>
    <n v="1"/>
  </r>
  <r>
    <s v="Electrolyte Imbalance"/>
    <x v="16"/>
    <n v="1"/>
  </r>
  <r>
    <s v="Loss Of Consciousness"/>
    <x v="11"/>
    <n v="3"/>
  </r>
  <r>
    <s v="Mastitis"/>
    <x v="20"/>
    <n v="1"/>
  </r>
  <r>
    <s v="Death"/>
    <x v="0"/>
    <n v="14"/>
  </r>
  <r>
    <s v="Constipation"/>
    <x v="6"/>
    <n v="17"/>
  </r>
  <r>
    <s v="Fall"/>
    <x v="0"/>
    <n v="13"/>
  </r>
  <r>
    <s v="Traumatic Fracture"/>
    <x v="8"/>
    <n v="2"/>
  </r>
  <r>
    <s v="Peripheral Swelling"/>
    <x v="0"/>
    <n v="3"/>
  </r>
  <r>
    <s v="Soft Tissue Swelling"/>
    <x v="0"/>
    <n v="1"/>
  </r>
  <r>
    <s v="Toxic Skin Eruption"/>
    <x v="9"/>
    <n v="3"/>
  </r>
  <r>
    <s v="Pneumonia Bacterial"/>
    <x v="14"/>
    <n v="2"/>
  </r>
  <r>
    <s v="Left Atrial Volume Abnormal"/>
    <x v="3"/>
    <n v="1"/>
  </r>
  <r>
    <s v="Breast Cancer"/>
    <x v="20"/>
    <n v="16"/>
  </r>
  <r>
    <s v="Atrioventricular Block First Degree"/>
    <x v="3"/>
    <n v="1"/>
  </r>
  <r>
    <s v="Pleural Thickening"/>
    <x v="14"/>
    <n v="3"/>
  </r>
  <r>
    <s v="Bone Pain"/>
    <x v="8"/>
    <n v="24"/>
  </r>
  <r>
    <s v="Gamma-Glutamyltransferase Increased"/>
    <x v="1"/>
    <n v="7"/>
  </r>
  <r>
    <s v="Lymphadenopathy"/>
    <x v="21"/>
    <n v="2"/>
  </r>
  <r>
    <s v="Blood Creatinine Increased"/>
    <x v="24"/>
    <n v="4"/>
  </r>
  <r>
    <s v="Hypertriglyceridaemia"/>
    <x v="16"/>
    <n v="2"/>
  </r>
  <r>
    <s v="Capripox Viral Infection"/>
    <x v="12"/>
    <n v="1"/>
  </r>
  <r>
    <s v="Electrocardiogram St-T Segment Abnormal"/>
    <x v="3"/>
    <n v="1"/>
  </r>
  <r>
    <s v="Cystic Lung Disease"/>
    <x v="14"/>
    <n v="1"/>
  </r>
  <r>
    <s v="Hyperuricaemia"/>
    <x v="16"/>
    <n v="2"/>
  </r>
  <r>
    <s v="Metabolic Alkalosis"/>
    <x v="16"/>
    <n v="1"/>
  </r>
  <r>
    <s v="Influenza Like Illness"/>
    <x v="12"/>
    <n v="10"/>
  </r>
  <r>
    <s v="Amenorrhoea"/>
    <x v="20"/>
    <n v="10"/>
  </r>
  <r>
    <s v="Rash"/>
    <x v="9"/>
    <n v="24"/>
  </r>
  <r>
    <s v="Gait Disturbance"/>
    <x v="11"/>
    <n v="14"/>
  </r>
  <r>
    <s v="Dyspepsia"/>
    <x v="6"/>
    <n v="9"/>
  </r>
  <r>
    <s v="Libido Decreased"/>
    <x v="20"/>
    <n v="10"/>
  </r>
  <r>
    <s v="Selenium Deficiency"/>
    <x v="16"/>
    <n v="7"/>
  </r>
  <r>
    <s v="Dry Skin"/>
    <x v="9"/>
    <n v="15"/>
  </r>
  <r>
    <s v="Vitamin B Complex Deficiency"/>
    <x v="16"/>
    <n v="7"/>
  </r>
  <r>
    <s v="Mucosal Inflammation"/>
    <x v="0"/>
    <n v="19"/>
  </r>
  <r>
    <s v="Coronavirus Infection"/>
    <x v="12"/>
    <n v="8"/>
  </r>
  <r>
    <s v="Myalgia"/>
    <x v="4"/>
    <n v="18"/>
  </r>
  <r>
    <s v="Disturbance In Attention"/>
    <x v="11"/>
    <n v="9"/>
  </r>
  <r>
    <s v="Dysuria"/>
    <x v="25"/>
    <n v="21"/>
  </r>
  <r>
    <s v="Rash Pustular"/>
    <x v="9"/>
    <n v="7"/>
  </r>
  <r>
    <s v="Pathological Fracture"/>
    <x v="8"/>
    <n v="7"/>
  </r>
  <r>
    <s v="Neutrophil Count Decreased"/>
    <x v="13"/>
    <n v="10"/>
  </r>
  <r>
    <s v="Lenticular Opacities"/>
    <x v="18"/>
    <n v="1"/>
  </r>
  <r>
    <s v="Vision Blurred"/>
    <x v="18"/>
    <n v="6"/>
  </r>
  <r>
    <s v="Visual Impairment"/>
    <x v="18"/>
    <n v="3"/>
  </r>
  <r>
    <s v="Cataract"/>
    <x v="18"/>
    <n v="2"/>
  </r>
  <r>
    <s v="Conjunctival Hyperaemia"/>
    <x v="18"/>
    <n v="1"/>
  </r>
  <r>
    <s v="Visual Acuity Reduced"/>
    <x v="18"/>
    <n v="2"/>
  </r>
  <r>
    <s v="Scar"/>
    <x v="9"/>
    <n v="1"/>
  </r>
  <r>
    <s v="Corneal Oedema"/>
    <x v="18"/>
    <n v="1"/>
  </r>
  <r>
    <s v="Thrombophlebitis"/>
    <x v="10"/>
    <n v="2"/>
  </r>
  <r>
    <s v="Nervous System Disorder"/>
    <x v="11"/>
    <n v="3"/>
  </r>
  <r>
    <s v="Blood Pressure Diastolic Increased"/>
    <x v="3"/>
    <n v="3"/>
  </r>
  <r>
    <s v="Oedema Peripheral"/>
    <x v="0"/>
    <n v="7"/>
  </r>
  <r>
    <s v="Stress"/>
    <x v="7"/>
    <n v="4"/>
  </r>
  <r>
    <s v="Tremor"/>
    <x v="11"/>
    <n v="9"/>
  </r>
  <r>
    <s v="Neck Pain"/>
    <x v="8"/>
    <n v="2"/>
  </r>
  <r>
    <s v="Hypoaesthesia"/>
    <x v="11"/>
    <n v="7"/>
  </r>
  <r>
    <s v="Swelling"/>
    <x v="0"/>
    <n v="5"/>
  </r>
  <r>
    <s v="Nocturnal Dyspnoea"/>
    <x v="14"/>
    <n v="2"/>
  </r>
  <r>
    <s v="Pelvic Pain"/>
    <x v="20"/>
    <n v="1"/>
  </r>
  <r>
    <s v="Intentional Product Misuse"/>
    <x v="0"/>
    <n v="2"/>
  </r>
  <r>
    <s v="Dysgeusia"/>
    <x v="0"/>
    <n v="12"/>
  </r>
  <r>
    <s v="Haemolytic Uraemic Syndrome"/>
    <x v="24"/>
    <n v="4"/>
  </r>
  <r>
    <s v="Cerebrovascular Accident"/>
    <x v="11"/>
    <n v="5"/>
  </r>
  <r>
    <s v="Drug-Induced Liver Injury"/>
    <x v="1"/>
    <n v="6"/>
  </r>
  <r>
    <s v="Febrile Neutropenia"/>
    <x v="13"/>
    <n v="24"/>
  </r>
  <r>
    <s v="Covid-19"/>
    <x v="12"/>
    <n v="7"/>
  </r>
  <r>
    <s v="Transient Ischaemic Attack"/>
    <x v="11"/>
    <n v="1"/>
  </r>
  <r>
    <s v="Breast Pain"/>
    <x v="20"/>
    <n v="7"/>
  </r>
  <r>
    <s v="Hepatic Cytolysis"/>
    <x v="1"/>
    <n v="9"/>
  </r>
  <r>
    <s v="Urosepsis"/>
    <x v="12"/>
    <n v="1"/>
  </r>
  <r>
    <s v="Cough"/>
    <x v="14"/>
    <n v="28"/>
  </r>
  <r>
    <s v="Chronic Hepatitis B"/>
    <x v="1"/>
    <n v="1"/>
  </r>
  <r>
    <s v="Blood Alkaline Phosphatase Increased"/>
    <x v="1"/>
    <n v="3"/>
  </r>
  <r>
    <s v="Benign Lymph Node Neoplasm"/>
    <x v="21"/>
    <n v="1"/>
  </r>
  <r>
    <s v="Pulse Absent"/>
    <x v="3"/>
    <n v="1"/>
  </r>
  <r>
    <s v="Electrocardiogram T Wave Abnormal"/>
    <x v="3"/>
    <n v="1"/>
  </r>
  <r>
    <s v="Weight Decreased"/>
    <x v="16"/>
    <n v="10"/>
  </r>
  <r>
    <s v="Electrocardiogram Abnormal"/>
    <x v="3"/>
    <n v="2"/>
  </r>
  <r>
    <s v="Respiratory Arrest"/>
    <x v="14"/>
    <n v="1"/>
  </r>
  <r>
    <s v="Tachypnoea"/>
    <x v="14"/>
    <n v="2"/>
  </r>
  <r>
    <s v="Hypocalcaemia"/>
    <x v="5"/>
    <n v="2"/>
  </r>
  <r>
    <s v="Urinary Tract Infection"/>
    <x v="25"/>
    <n v="8"/>
  </r>
  <r>
    <s v="Lymphoedema"/>
    <x v="21"/>
    <n v="2"/>
  </r>
  <r>
    <s v="Hypermagnesaemia"/>
    <x v="16"/>
    <n v="1"/>
  </r>
  <r>
    <s v="Blood Urine Present"/>
    <x v="24"/>
    <n v="2"/>
  </r>
  <r>
    <s v="Pain"/>
    <x v="0"/>
    <n v="25"/>
  </r>
  <r>
    <s v="Myelosuppression"/>
    <x v="13"/>
    <n v="4"/>
  </r>
  <r>
    <s v="Cardiac Arrest"/>
    <x v="3"/>
    <n v="3"/>
  </r>
  <r>
    <s v="Protein Urine Present"/>
    <x v="24"/>
    <n v="1"/>
  </r>
  <r>
    <s v="Poor Quality Sleep"/>
    <x v="11"/>
    <n v="2"/>
  </r>
  <r>
    <s v="Hypochloraemia"/>
    <x v="16"/>
    <n v="1"/>
  </r>
  <r>
    <s v="Metastases To Liver"/>
    <x v="1"/>
    <n v="8"/>
  </r>
  <r>
    <s v="Hypoproteinaemia"/>
    <x v="16"/>
    <n v="1"/>
  </r>
  <r>
    <s v="Sinus Tachycardia"/>
    <x v="3"/>
    <n v="1"/>
  </r>
  <r>
    <s v="Type V Hyperlipidaemia"/>
    <x v="16"/>
    <n v="1"/>
  </r>
  <r>
    <s v="Coagulopathy"/>
    <x v="13"/>
    <n v="1"/>
  </r>
  <r>
    <s v="Hyponatraemia"/>
    <x v="16"/>
    <n v="2"/>
  </r>
  <r>
    <s v="Arrhythmia"/>
    <x v="3"/>
    <n v="7"/>
  </r>
  <r>
    <s v="Eye Pain"/>
    <x v="18"/>
    <n v="2"/>
  </r>
  <r>
    <s v="Viral Infection"/>
    <x v="12"/>
    <n v="1"/>
  </r>
  <r>
    <s v="Sleep Disorder"/>
    <x v="11"/>
    <n v="3"/>
  </r>
  <r>
    <s v="Blood Glucose Increased"/>
    <x v="5"/>
    <n v="10"/>
  </r>
  <r>
    <s v="Eosinophil Count Decreased"/>
    <x v="13"/>
    <n v="4"/>
  </r>
  <r>
    <s v="Blood Iron Increased"/>
    <x v="13"/>
    <n v="3"/>
  </r>
  <r>
    <s v="Epistaxis"/>
    <x v="13"/>
    <n v="12"/>
  </r>
  <r>
    <s v="Blood Potassium Decreased"/>
    <x v="5"/>
    <n v="5"/>
  </r>
  <r>
    <s v="Lymphocyte Count Increased"/>
    <x v="13"/>
    <n v="3"/>
  </r>
  <r>
    <s v="Colitis"/>
    <x v="6"/>
    <n v="8"/>
  </r>
  <r>
    <s v="Colitis Ischaemic"/>
    <x v="6"/>
    <n v="6"/>
  </r>
  <r>
    <s v="Acute Kidney Injury"/>
    <x v="24"/>
    <n v="9"/>
  </r>
  <r>
    <s v="Neutropenic Sepsis"/>
    <x v="12"/>
    <n v="6"/>
  </r>
  <r>
    <s v="Second Primary Malignancy"/>
    <x v="0"/>
    <n v="3"/>
  </r>
  <r>
    <s v="Hepatic Cancer"/>
    <x v="1"/>
    <n v="1"/>
  </r>
  <r>
    <s v="Ischaemic Stroke"/>
    <x v="11"/>
    <n v="2"/>
  </r>
  <r>
    <s v="Tinnitus"/>
    <x v="22"/>
    <n v="5"/>
  </r>
  <r>
    <s v="Tenosynovitis Stenosans"/>
    <x v="8"/>
    <n v="3"/>
  </r>
  <r>
    <s v="Deafness"/>
    <x v="22"/>
    <n v="3"/>
  </r>
  <r>
    <s v="Steatohepatitis"/>
    <x v="1"/>
    <n v="2"/>
  </r>
  <r>
    <s v="Hot Flush"/>
    <x v="5"/>
    <n v="27"/>
  </r>
  <r>
    <s v="Hepatobiliary Disease"/>
    <x v="26"/>
    <n v="1"/>
  </r>
  <r>
    <s v="Affect Lability"/>
    <x v="7"/>
    <n v="2"/>
  </r>
  <r>
    <s v="Red Blood Cell Abnormality"/>
    <x v="13"/>
    <n v="1"/>
  </r>
  <r>
    <s v="Swelling Face"/>
    <x v="0"/>
    <n v="2"/>
  </r>
  <r>
    <s v="Ovarian Cyst"/>
    <x v="20"/>
    <n v="2"/>
  </r>
  <r>
    <s v="Bronchitis"/>
    <x v="14"/>
    <n v="2"/>
  </r>
  <r>
    <s v="Anxiety Disorder"/>
    <x v="7"/>
    <n v="1"/>
  </r>
  <r>
    <s v="Meningioma"/>
    <x v="11"/>
    <n v="1"/>
  </r>
  <r>
    <s v="Peritonitis"/>
    <x v="27"/>
    <n v="6"/>
  </r>
  <r>
    <s v="Perforation"/>
    <x v="0"/>
    <n v="5"/>
  </r>
  <r>
    <s v="Syncope"/>
    <x v="11"/>
    <n v="6"/>
  </r>
  <r>
    <s v="Abdominal Pain Upper"/>
    <x v="6"/>
    <n v="14"/>
  </r>
  <r>
    <s v="Skin Reaction"/>
    <x v="9"/>
    <n v="3"/>
  </r>
  <r>
    <s v="Anaphylactic Reaction"/>
    <x v="28"/>
    <n v="6"/>
  </r>
  <r>
    <s v="Vertigo"/>
    <x v="11"/>
    <n v="13"/>
  </r>
  <r>
    <s v="Hepatic Failure"/>
    <x v="1"/>
    <n v="5"/>
  </r>
  <r>
    <s v="Lividity"/>
    <x v="0"/>
    <n v="5"/>
  </r>
  <r>
    <s v="Breast Cancer Metastatic"/>
    <x v="20"/>
    <n v="14"/>
  </r>
  <r>
    <s v="Post Procedural Complication"/>
    <x v="0"/>
    <n v="1"/>
  </r>
  <r>
    <s v="Blood Calcium Increased"/>
    <x v="5"/>
    <n v="1"/>
  </r>
  <r>
    <s v="Metastases To Bone"/>
    <x v="8"/>
    <n v="7"/>
  </r>
  <r>
    <s v="Renal Impairment"/>
    <x v="24"/>
    <n v="2"/>
  </r>
  <r>
    <s v="Cellulitis"/>
    <x v="9"/>
    <n v="7"/>
  </r>
  <r>
    <s v="Dehydration"/>
    <x v="16"/>
    <n v="4"/>
  </r>
  <r>
    <s v="Atrioventricular Block Second Degree"/>
    <x v="3"/>
    <n v="1"/>
  </r>
  <r>
    <s v="Overdose"/>
    <x v="0"/>
    <n v="2"/>
  </r>
  <r>
    <s v="Metastasis"/>
    <x v="0"/>
    <n v="3"/>
  </r>
  <r>
    <s v="Transaminases Increased"/>
    <x v="1"/>
    <n v="3"/>
  </r>
  <r>
    <s v="Transaminases Abnormal"/>
    <x v="1"/>
    <n v="1"/>
  </r>
  <r>
    <s v="Nerve Injury"/>
    <x v="11"/>
    <n v="1"/>
  </r>
  <r>
    <s v="Irritable Bowel Syndrome"/>
    <x v="6"/>
    <n v="1"/>
  </r>
  <r>
    <s v="Gastritis"/>
    <x v="6"/>
    <n v="3"/>
  </r>
  <r>
    <s v="Contusion"/>
    <x v="9"/>
    <n v="2"/>
  </r>
  <r>
    <s v="Haemorrhage"/>
    <x v="13"/>
    <n v="5"/>
  </r>
  <r>
    <s v="Blood Pressure Fluctuation"/>
    <x v="3"/>
    <n v="1"/>
  </r>
  <r>
    <s v="Eye Haemorrhage"/>
    <x v="18"/>
    <n v="1"/>
  </r>
  <r>
    <s v="Injection Site Erythema"/>
    <x v="9"/>
    <n v="1"/>
  </r>
  <r>
    <s v="Disease Progression"/>
    <x v="0"/>
    <n v="19"/>
  </r>
  <r>
    <s v="Affective Disorder"/>
    <x v="7"/>
    <n v="4"/>
  </r>
  <r>
    <s v="Osteoarthritis"/>
    <x v="8"/>
    <n v="3"/>
  </r>
  <r>
    <s v="Migraine"/>
    <x v="11"/>
    <n v="2"/>
  </r>
  <r>
    <s v="Urticaria"/>
    <x v="9"/>
    <n v="2"/>
  </r>
  <r>
    <s v="Body Temperature Increased"/>
    <x v="0"/>
    <n v="1"/>
  </r>
  <r>
    <s v="Hepatitis Acute"/>
    <x v="1"/>
    <n v="2"/>
  </r>
  <r>
    <s v="Mood Altered"/>
    <x v="7"/>
    <n v="4"/>
  </r>
  <r>
    <s v="Seborrhoeic Dermatitis"/>
    <x v="9"/>
    <n v="1"/>
  </r>
  <r>
    <s v="Nephrolithiasis"/>
    <x v="25"/>
    <n v="5"/>
  </r>
  <r>
    <s v="Hepatic Steatosis"/>
    <x v="1"/>
    <n v="2"/>
  </r>
  <r>
    <s v="Blood Immunoglobulin E Increased"/>
    <x v="17"/>
    <n v="1"/>
  </r>
  <r>
    <s v="Pancreatitis Acute"/>
    <x v="29"/>
    <n v="2"/>
  </r>
  <r>
    <s v="Renal Cyst"/>
    <x v="24"/>
    <n v="1"/>
  </r>
  <r>
    <s v="Hyperamylasaemia"/>
    <x v="29"/>
    <n v="1"/>
  </r>
  <r>
    <s v="Flank Pain"/>
    <x v="8"/>
    <n v="1"/>
  </r>
  <r>
    <s v="Abdominal Tenderness"/>
    <x v="6"/>
    <n v="1"/>
  </r>
  <r>
    <s v="Chest Pain"/>
    <x v="3"/>
    <n v="4"/>
  </r>
  <r>
    <s v="Crepitations"/>
    <x v="14"/>
    <n v="1"/>
  </r>
  <r>
    <s v="Capsular Contracture Associated With Implant"/>
    <x v="9"/>
    <n v="1"/>
  </r>
  <r>
    <s v="Wound Infection"/>
    <x v="9"/>
    <n v="1"/>
  </r>
  <r>
    <s v="Wound Dehiscence"/>
    <x v="9"/>
    <n v="2"/>
  </r>
  <r>
    <s v="Infection"/>
    <x v="12"/>
    <n v="5"/>
  </r>
  <r>
    <s v="Appendicitis"/>
    <x v="6"/>
    <n v="1"/>
  </r>
  <r>
    <s v="Hormone Receptor Positive Her2 Negative Breast Cancer"/>
    <x v="20"/>
    <n v="1"/>
  </r>
  <r>
    <s v="Oedema"/>
    <x v="0"/>
    <n v="4"/>
  </r>
  <r>
    <s v="Tumour Pain"/>
    <x v="11"/>
    <n v="3"/>
  </r>
  <r>
    <s v="Suicidal Ideation"/>
    <x v="7"/>
    <n v="5"/>
  </r>
  <r>
    <s v="Muscle Atrophy"/>
    <x v="4"/>
    <n v="2"/>
  </r>
  <r>
    <s v="Hepatic Lesion"/>
    <x v="1"/>
    <n v="2"/>
  </r>
  <r>
    <s v="Chromaturia"/>
    <x v="25"/>
    <n v="1"/>
  </r>
  <r>
    <s v="Interstitial Lung Disease"/>
    <x v="14"/>
    <n v="3"/>
  </r>
  <r>
    <s v="Hepatic Mass"/>
    <x v="1"/>
    <n v="1"/>
  </r>
  <r>
    <s v="Mental Status Changes"/>
    <x v="11"/>
    <n v="2"/>
  </r>
  <r>
    <s v="Pruritus"/>
    <x v="9"/>
    <n v="9"/>
  </r>
  <r>
    <s v="Hepatic Cirrhosis"/>
    <x v="1"/>
    <n v="1"/>
  </r>
  <r>
    <s v="Osteosclerosis"/>
    <x v="8"/>
    <n v="1"/>
  </r>
  <r>
    <s v="Treatment Failure"/>
    <x v="0"/>
    <n v="3"/>
  </r>
  <r>
    <s v="Jaundice"/>
    <x v="1"/>
    <n v="5"/>
  </r>
  <r>
    <s v="Metastases To Peritoneum"/>
    <x v="27"/>
    <n v="1"/>
  </r>
  <r>
    <s v="Lung Consolidation"/>
    <x v="14"/>
    <n v="1"/>
  </r>
  <r>
    <s v="Drug Ineffective"/>
    <x v="0"/>
    <n v="5"/>
  </r>
  <r>
    <s v="Bone Lesion"/>
    <x v="8"/>
    <n v="3"/>
  </r>
  <r>
    <s v="Laboratory Test Abnormal"/>
    <x v="0"/>
    <n v="1"/>
  </r>
  <r>
    <s v="Blood Bilirubin Abnormal"/>
    <x v="1"/>
    <n v="1"/>
  </r>
  <r>
    <s v="Hepatic Encephalopathy"/>
    <x v="11"/>
    <n v="1"/>
  </r>
  <r>
    <s v="Malaise"/>
    <x v="0"/>
    <n v="20"/>
  </r>
  <r>
    <s v="Decreased Immune Responsiveness"/>
    <x v="17"/>
    <n v="7"/>
  </r>
  <r>
    <s v="Discouragement"/>
    <x v="7"/>
    <n v="1"/>
  </r>
  <r>
    <s v="Osteonecrosis Of Jaw"/>
    <x v="8"/>
    <n v="10"/>
  </r>
  <r>
    <s v="Cardiac Failure Congestive"/>
    <x v="3"/>
    <n v="1"/>
  </r>
  <r>
    <s v="Breast Cancer Stage Iv"/>
    <x v="20"/>
    <n v="1"/>
  </r>
  <r>
    <s v="Speech Disorder"/>
    <x v="11"/>
    <n v="2"/>
  </r>
  <r>
    <s v="Incorrect Route Of Product Administration"/>
    <x v="0"/>
    <n v="1"/>
  </r>
  <r>
    <s v="Tumour Marker Increased"/>
    <x v="0"/>
    <n v="3"/>
  </r>
  <r>
    <s v="Taste Disorder"/>
    <x v="0"/>
    <n v="4"/>
  </r>
  <r>
    <s v="Hypothyroidism"/>
    <x v="5"/>
    <n v="5"/>
  </r>
  <r>
    <s v="Vitamin D Increased"/>
    <x v="5"/>
    <n v="1"/>
  </r>
  <r>
    <s v="Hyperglycaemia"/>
    <x v="5"/>
    <n v="2"/>
  </r>
  <r>
    <s v="Iron Deficiency"/>
    <x v="13"/>
    <n v="2"/>
  </r>
  <r>
    <s v="Polymerase Chain Reaction Positive"/>
    <x v="12"/>
    <n v="2"/>
  </r>
  <r>
    <s v="Tumour Inflammation"/>
    <x v="0"/>
    <n v="2"/>
  </r>
  <r>
    <s v="Feeling Cold"/>
    <x v="0"/>
    <n v="2"/>
  </r>
  <r>
    <s v="Bone Neoplasm"/>
    <x v="8"/>
    <n v="2"/>
  </r>
  <r>
    <s v="Faeces Soft"/>
    <x v="6"/>
    <n v="2"/>
  </r>
  <r>
    <s v="Madarosis"/>
    <x v="9"/>
    <n v="4"/>
  </r>
  <r>
    <s v="Skin Burning Sensation"/>
    <x v="9"/>
    <n v="2"/>
  </r>
  <r>
    <s v="Crying"/>
    <x v="7"/>
    <n v="3"/>
  </r>
  <r>
    <s v="Insomnia"/>
    <x v="11"/>
    <n v="4"/>
  </r>
  <r>
    <s v="Hyperhidrosis"/>
    <x v="9"/>
    <n v="2"/>
  </r>
  <r>
    <s v="Breast Swelling"/>
    <x v="20"/>
    <n v="2"/>
  </r>
  <r>
    <s v="Application Site Injury"/>
    <x v="9"/>
    <n v="2"/>
  </r>
  <r>
    <s v="Erythema"/>
    <x v="9"/>
    <n v="5"/>
  </r>
  <r>
    <s v="Sensory Loss"/>
    <x v="11"/>
    <n v="2"/>
  </r>
  <r>
    <s v="Application Site Discolouration"/>
    <x v="9"/>
    <n v="2"/>
  </r>
  <r>
    <s v="Nodule"/>
    <x v="9"/>
    <n v="3"/>
  </r>
  <r>
    <s v="Therapy Non-Responder"/>
    <x v="0"/>
    <n v="3"/>
  </r>
  <r>
    <s v="Nervousness"/>
    <x v="7"/>
    <n v="4"/>
  </r>
  <r>
    <s v="Hair Growth Abnormal"/>
    <x v="9"/>
    <n v="2"/>
  </r>
  <r>
    <s v="Blood Triglycerides Increased"/>
    <x v="16"/>
    <n v="5"/>
  </r>
  <r>
    <s v="Anal Incontinence"/>
    <x v="6"/>
    <n v="2"/>
  </r>
  <r>
    <s v="Blood Pressure Increased"/>
    <x v="3"/>
    <n v="3"/>
  </r>
  <r>
    <s v="Ear Pain"/>
    <x v="22"/>
    <n v="2"/>
  </r>
  <r>
    <s v="Cardiac Disorder"/>
    <x v="3"/>
    <n v="2"/>
  </r>
  <r>
    <s v="Feeling Abnormal"/>
    <x v="7"/>
    <n v="5"/>
  </r>
  <r>
    <s v="Skin Exfoliation"/>
    <x v="9"/>
    <n v="4"/>
  </r>
  <r>
    <s v="Dry Mouth"/>
    <x v="23"/>
    <n v="2"/>
  </r>
  <r>
    <s v="Application Site Oedema"/>
    <x v="9"/>
    <n v="2"/>
  </r>
  <r>
    <s v="Neoplasm Recurrence"/>
    <x v="0"/>
    <n v="2"/>
  </r>
  <r>
    <s v="Irritability"/>
    <x v="7"/>
    <n v="3"/>
  </r>
  <r>
    <s v="Blood Cholesterol Increased"/>
    <x v="16"/>
    <n v="4"/>
  </r>
  <r>
    <s v="Feeling Hot"/>
    <x v="0"/>
    <n v="2"/>
  </r>
  <r>
    <s v="Hormone Level Abnormal"/>
    <x v="5"/>
    <n v="2"/>
  </r>
  <r>
    <s v="Gene Mutation"/>
    <x v="19"/>
    <n v="2"/>
  </r>
  <r>
    <s v="Vaginal Haemorrhage"/>
    <x v="20"/>
    <n v="3"/>
  </r>
  <r>
    <s v="Menstrual Disorder"/>
    <x v="20"/>
    <n v="3"/>
  </r>
  <r>
    <s v="Pyelonephritis"/>
    <x v="25"/>
    <n v="3"/>
  </r>
  <r>
    <s v="Bone Swelling"/>
    <x v="8"/>
    <n v="1"/>
  </r>
  <r>
    <s v="Diabetes Mellitus"/>
    <x v="5"/>
    <n v="1"/>
  </r>
  <r>
    <s v="Haematochezia"/>
    <x v="6"/>
    <n v="3"/>
  </r>
  <r>
    <s v="Neoplasm Progression"/>
    <x v="0"/>
    <n v="6"/>
  </r>
  <r>
    <s v="Dizziness"/>
    <x v="11"/>
    <n v="7"/>
  </r>
  <r>
    <s v="Pneumonia Viral"/>
    <x v="14"/>
    <n v="1"/>
  </r>
  <r>
    <s v="Palmar-Plantar Erythrodysaesthesia Syndrome"/>
    <x v="9"/>
    <n v="1"/>
  </r>
  <r>
    <s v="Emotional Disorder"/>
    <x v="7"/>
    <n v="3"/>
  </r>
  <r>
    <s v="Photopsia"/>
    <x v="18"/>
    <n v="1"/>
  </r>
  <r>
    <s v="Libido Disorder"/>
    <x v="20"/>
    <n v="1"/>
  </r>
  <r>
    <s v="Bradykinesia"/>
    <x v="11"/>
    <n v="1"/>
  </r>
  <r>
    <s v="Neutrophil Count Abnormal"/>
    <x v="13"/>
    <n v="2"/>
  </r>
  <r>
    <s v="Drug Interaction"/>
    <x v="0"/>
    <n v="2"/>
  </r>
  <r>
    <s v="Metastases To Breast"/>
    <x v="20"/>
    <n v="1"/>
  </r>
  <r>
    <s v="Blister"/>
    <x v="9"/>
    <n v="1"/>
  </r>
  <r>
    <s v="Burns Third Degree"/>
    <x v="9"/>
    <n v="1"/>
  </r>
  <r>
    <s v="Synovial Cyst"/>
    <x v="8"/>
    <n v="1"/>
  </r>
  <r>
    <s v="Movement Disorder"/>
    <x v="11"/>
    <n v="4"/>
  </r>
  <r>
    <s v="Breast Injury"/>
    <x v="20"/>
    <n v="1"/>
  </r>
  <r>
    <s v="Supraventricular Tachycardia"/>
    <x v="3"/>
    <n v="1"/>
  </r>
  <r>
    <s v="Gingivitis"/>
    <x v="23"/>
    <n v="1"/>
  </r>
  <r>
    <s v="Gingival Bleeding"/>
    <x v="23"/>
    <n v="1"/>
  </r>
  <r>
    <s v="Gastrooesophageal Reflux Disease"/>
    <x v="6"/>
    <n v="4"/>
  </r>
  <r>
    <s v="Ureterolithiasis"/>
    <x v="25"/>
    <n v="1"/>
  </r>
  <r>
    <s v="Electrocardiogram T Wave Inversion"/>
    <x v="3"/>
    <n v="1"/>
  </r>
  <r>
    <s v="Memory Impairment"/>
    <x v="11"/>
    <n v="15"/>
  </r>
  <r>
    <s v="Electrocardiogram Qt Interval Abnormal"/>
    <x v="3"/>
    <n v="1"/>
  </r>
  <r>
    <s v="Dermal Cyst"/>
    <x v="9"/>
    <n v="1"/>
  </r>
  <r>
    <s v="Ludwig Angina"/>
    <x v="23"/>
    <n v="1"/>
  </r>
  <r>
    <s v="Type Iv Hypersensitivity Reaction"/>
    <x v="28"/>
    <n v="1"/>
  </r>
  <r>
    <s v="Abscess"/>
    <x v="0"/>
    <n v="2"/>
  </r>
  <r>
    <s v="Liver Injury"/>
    <x v="1"/>
    <n v="1"/>
  </r>
  <r>
    <s v="Hypovitaminosis"/>
    <x v="16"/>
    <n v="1"/>
  </r>
  <r>
    <s v="Periorbital Pain"/>
    <x v="18"/>
    <n v="1"/>
  </r>
  <r>
    <s v="Device Related Infection"/>
    <x v="0"/>
    <n v="1"/>
  </r>
  <r>
    <s v="Breast Discolouration"/>
    <x v="9"/>
    <n v="1"/>
  </r>
  <r>
    <s v="Feeding Disorder"/>
    <x v="6"/>
    <n v="1"/>
  </r>
  <r>
    <s v="Psychiatric Symptom"/>
    <x v="7"/>
    <n v="1"/>
  </r>
  <r>
    <s v="Breast Disorder"/>
    <x v="20"/>
    <n v="1"/>
  </r>
  <r>
    <s v="Impaired Work Ability"/>
    <x v="0"/>
    <n v="1"/>
  </r>
  <r>
    <s v="Skin Plaque"/>
    <x v="9"/>
    <n v="1"/>
  </r>
  <r>
    <s v="Poisoning"/>
    <x v="0"/>
    <n v="1"/>
  </r>
  <r>
    <s v="Tooth Disorder"/>
    <x v="23"/>
    <n v="1"/>
  </r>
  <r>
    <s v="Tongue Exfoliation"/>
    <x v="23"/>
    <n v="1"/>
  </r>
  <r>
    <s v="Hypokinesia"/>
    <x v="11"/>
    <n v="1"/>
  </r>
  <r>
    <s v="Neuralgia"/>
    <x v="11"/>
    <n v="2"/>
  </r>
  <r>
    <s v="Self Esteem Decreased"/>
    <x v="7"/>
    <n v="2"/>
  </r>
  <r>
    <s v="Skin Lesion"/>
    <x v="9"/>
    <n v="2"/>
  </r>
  <r>
    <s v="Neoplasm"/>
    <x v="0"/>
    <n v="1"/>
  </r>
  <r>
    <s v="Skin Injury"/>
    <x v="9"/>
    <n v="1"/>
  </r>
  <r>
    <s v="Aphthous Ulcer"/>
    <x v="23"/>
    <n v="1"/>
  </r>
  <r>
    <s v="General Physical Condition Abnormal"/>
    <x v="0"/>
    <n v="1"/>
  </r>
  <r>
    <s v="Drug Intolerance"/>
    <x v="0"/>
    <n v="1"/>
  </r>
  <r>
    <s v="Metastases To Spine"/>
    <x v="8"/>
    <n v="1"/>
  </r>
  <r>
    <s v="Breast Mass"/>
    <x v="20"/>
    <n v="1"/>
  </r>
  <r>
    <s v="Femoral Neck Fracture"/>
    <x v="8"/>
    <n v="1"/>
  </r>
  <r>
    <s v="Dermatitis Acneiform"/>
    <x v="9"/>
    <n v="1"/>
  </r>
  <r>
    <s v="Face Oedema"/>
    <x v="0"/>
    <n v="2"/>
  </r>
  <r>
    <s v="Decreased Activity"/>
    <x v="0"/>
    <n v="1"/>
  </r>
  <r>
    <s v="Eating Disorder"/>
    <x v="7"/>
    <n v="2"/>
  </r>
  <r>
    <s v="Joint Swelling"/>
    <x v="8"/>
    <n v="1"/>
  </r>
  <r>
    <s v="Pollakiuria"/>
    <x v="25"/>
    <n v="1"/>
  </r>
  <r>
    <s v="Vulvovaginal Discomfort"/>
    <x v="20"/>
    <n v="2"/>
  </r>
  <r>
    <s v="Dyskinesia"/>
    <x v="11"/>
    <n v="6"/>
  </r>
  <r>
    <s v="Periodic Limb Movement Disorder"/>
    <x v="11"/>
    <n v="6"/>
  </r>
  <r>
    <s v="Formication"/>
    <x v="11"/>
    <n v="6"/>
  </r>
  <r>
    <s v="Muscle Twitching"/>
    <x v="4"/>
    <n v="7"/>
  </r>
  <r>
    <s v="Dysaesthesia"/>
    <x v="11"/>
    <n v="5"/>
  </r>
  <r>
    <s v="Vertigo Positional"/>
    <x v="11"/>
    <n v="6"/>
  </r>
  <r>
    <s v="Anxiety"/>
    <x v="7"/>
    <n v="4"/>
  </r>
  <r>
    <s v="Lung Opacity"/>
    <x v="14"/>
    <n v="1"/>
  </r>
  <r>
    <s v="Dysstasia"/>
    <x v="11"/>
    <n v="2"/>
  </r>
  <r>
    <s v="Pulmonary Pain"/>
    <x v="14"/>
    <n v="1"/>
  </r>
  <r>
    <s v="Musculoskeletal Chest Pain"/>
    <x v="8"/>
    <n v="4"/>
  </r>
  <r>
    <s v="Product Dose Omission Issue"/>
    <x v="0"/>
    <n v="4"/>
  </r>
  <r>
    <s v="Lung Disorder"/>
    <x v="14"/>
    <n v="5"/>
  </r>
  <r>
    <s v="Discomfort"/>
    <x v="0"/>
    <n v="5"/>
  </r>
  <r>
    <s v="Illness"/>
    <x v="0"/>
    <n v="2"/>
  </r>
  <r>
    <s v="Spondylitis"/>
    <x v="8"/>
    <n v="1"/>
  </r>
  <r>
    <s v="Carpal Tunnel Syndrome"/>
    <x v="11"/>
    <n v="5"/>
  </r>
  <r>
    <s v="Sensory Disturbance"/>
    <x v="11"/>
    <n v="1"/>
  </r>
  <r>
    <s v="Limb Discomfort"/>
    <x v="8"/>
    <n v="1"/>
  </r>
  <r>
    <s v="Vaginal Cyst"/>
    <x v="20"/>
    <n v="1"/>
  </r>
  <r>
    <s v="Hepatorenal Failure"/>
    <x v="1"/>
    <n v="6"/>
  </r>
  <r>
    <s v="Acute Hepatic Failure"/>
    <x v="1"/>
    <n v="7"/>
  </r>
  <r>
    <s v="Hypoglycaemia"/>
    <x v="5"/>
    <n v="6"/>
  </r>
  <r>
    <s v="Rash Erythematous"/>
    <x v="9"/>
    <n v="2"/>
  </r>
  <r>
    <s v="Chills"/>
    <x v="0"/>
    <n v="1"/>
  </r>
  <r>
    <s v="Soft Tissue Infection"/>
    <x v="9"/>
    <n v="2"/>
  </r>
  <r>
    <s v="Streptococcal Infection"/>
    <x v="12"/>
    <n v="1"/>
  </r>
  <r>
    <s v="Abdominal Discomfort"/>
    <x v="6"/>
    <n v="4"/>
  </r>
  <r>
    <s v="Hypersomnia"/>
    <x v="11"/>
    <n v="1"/>
  </r>
  <r>
    <s v="Application Site Inflammation"/>
    <x v="9"/>
    <n v="1"/>
  </r>
  <r>
    <s v="Brain Neoplasm"/>
    <x v="11"/>
    <n v="1"/>
  </r>
  <r>
    <s v="Spinal Fracture"/>
    <x v="8"/>
    <n v="1"/>
  </r>
  <r>
    <s v="Urine Output Decreased"/>
    <x v="24"/>
    <n v="1"/>
  </r>
  <r>
    <s v="Musculoskeletal Discomfort"/>
    <x v="8"/>
    <n v="1"/>
  </r>
  <r>
    <s v="Tetany"/>
    <x v="5"/>
    <n v="1"/>
  </r>
  <r>
    <s v="Purulent Discharge"/>
    <x v="0"/>
    <n v="1"/>
  </r>
  <r>
    <s v="Blood Electrolytes Decreased"/>
    <x v="16"/>
    <n v="1"/>
  </r>
  <r>
    <s v="Metastases To Lung"/>
    <x v="14"/>
    <n v="6"/>
  </r>
  <r>
    <s v="Bone Fissure"/>
    <x v="8"/>
    <n v="1"/>
  </r>
  <r>
    <s v="Muscle Spasms"/>
    <x v="4"/>
    <n v="4"/>
  </r>
  <r>
    <s v="Agitation"/>
    <x v="7"/>
    <n v="2"/>
  </r>
  <r>
    <s v="Micturition Urgency"/>
    <x v="25"/>
    <n v="1"/>
  </r>
  <r>
    <s v="Abnormal Behaviour"/>
    <x v="7"/>
    <n v="1"/>
  </r>
  <r>
    <s v="Fracture"/>
    <x v="8"/>
    <n v="1"/>
  </r>
  <r>
    <s v="Shoulder Fracture"/>
    <x v="8"/>
    <n v="1"/>
  </r>
  <r>
    <s v="Metastases To Central Nervous System"/>
    <x v="11"/>
    <n v="1"/>
  </r>
  <r>
    <s v="Abdominal Injury"/>
    <x v="6"/>
    <n v="1"/>
  </r>
  <r>
    <s v="Abdominal Mass"/>
    <x v="6"/>
    <n v="1"/>
  </r>
  <r>
    <s v="Application Site Reaction"/>
    <x v="9"/>
    <n v="1"/>
  </r>
  <r>
    <s v="Dysphonia"/>
    <x v="0"/>
    <n v="1"/>
  </r>
  <r>
    <s v="Metastases To Meninges"/>
    <x v="11"/>
    <n v="1"/>
  </r>
  <r>
    <s v="Optic Nerve Injury"/>
    <x v="18"/>
    <n v="1"/>
  </r>
  <r>
    <s v="Balance Disorder"/>
    <x v="11"/>
    <n v="1"/>
  </r>
  <r>
    <s v="Candida Infection"/>
    <x v="12"/>
    <n v="2"/>
  </r>
  <r>
    <s v="Muscle Tightness"/>
    <x v="4"/>
    <n v="1"/>
  </r>
  <r>
    <s v="Anger"/>
    <x v="7"/>
    <n v="1"/>
  </r>
  <r>
    <s v="Laryngeal Oedema"/>
    <x v="14"/>
    <n v="2"/>
  </r>
  <r>
    <s v="Skin Toxicity"/>
    <x v="9"/>
    <n v="2"/>
  </r>
  <r>
    <s v="Rash Macular"/>
    <x v="9"/>
    <n v="2"/>
  </r>
  <r>
    <s v="Non-Cardiac Chest Pain"/>
    <x v="3"/>
    <n v="2"/>
  </r>
  <r>
    <s v="Lymphocyte Count Decreased"/>
    <x v="13"/>
    <n v="2"/>
  </r>
  <r>
    <s v="Focal Dyscognitive Seizures"/>
    <x v="11"/>
    <n v="1"/>
  </r>
  <r>
    <s v="Brain Oedema"/>
    <x v="11"/>
    <n v="1"/>
  </r>
  <r>
    <s v="Brain Neoplasm Malignant"/>
    <x v="11"/>
    <n v="1"/>
  </r>
  <r>
    <s v="Epilepsy"/>
    <x v="11"/>
    <n v="1"/>
  </r>
  <r>
    <s v="Central Nervous System Lesion"/>
    <x v="11"/>
    <n v="1"/>
  </r>
  <r>
    <s v="Hypotonia"/>
    <x v="11"/>
    <n v="1"/>
  </r>
  <r>
    <s v="Seizure"/>
    <x v="11"/>
    <n v="1"/>
  </r>
  <r>
    <s v="Resorption Bone Increased"/>
    <x v="8"/>
    <n v="1"/>
  </r>
  <r>
    <s v="Thirst"/>
    <x v="0"/>
    <n v="1"/>
  </r>
  <r>
    <s v="Hypercalcaemia"/>
    <x v="5"/>
    <n v="3"/>
  </r>
  <r>
    <s v="Food Allergy"/>
    <x v="28"/>
    <n v="1"/>
  </r>
  <r>
    <s v="Withdrawal Syndrome"/>
    <x v="0"/>
    <n v="1"/>
  </r>
  <r>
    <s v="Cerebral Venous Sinus Thrombosis"/>
    <x v="10"/>
    <n v="4"/>
  </r>
  <r>
    <s v="Biliary Sepsis"/>
    <x v="12"/>
    <n v="1"/>
  </r>
  <r>
    <s v="Faeces Discoloured"/>
    <x v="6"/>
    <n v="1"/>
  </r>
  <r>
    <s v="Renal Injury"/>
    <x v="24"/>
    <n v="1"/>
  </r>
  <r>
    <s v="Incontinence"/>
    <x v="25"/>
    <n v="1"/>
  </r>
  <r>
    <s v="Hepatitis"/>
    <x v="1"/>
    <n v="2"/>
  </r>
  <r>
    <s v="Intra-Abdominal Fluid Collection"/>
    <x v="6"/>
    <n v="1"/>
  </r>
  <r>
    <s v="Pelvic Fluid Collection"/>
    <x v="20"/>
    <n v="1"/>
  </r>
  <r>
    <s v="Liver Function Test Abnormal"/>
    <x v="1"/>
    <n v="4"/>
  </r>
  <r>
    <s v="Hyperthyroidism"/>
    <x v="5"/>
    <n v="5"/>
  </r>
  <r>
    <s v="Suicide Attempt"/>
    <x v="7"/>
    <n v="1"/>
  </r>
  <r>
    <s v="Hepatic Function Abnormal"/>
    <x v="1"/>
    <n v="2"/>
  </r>
  <r>
    <s v="Hypophosphataemia"/>
    <x v="16"/>
    <n v="1"/>
  </r>
  <r>
    <s v="Hypomagnesaemia"/>
    <x v="16"/>
    <n v="1"/>
  </r>
  <r>
    <s v="Breast Cancer Recurrent"/>
    <x v="20"/>
    <n v="4"/>
  </r>
  <r>
    <s v="Influenza"/>
    <x v="12"/>
    <n v="2"/>
  </r>
  <r>
    <s v="Product Use In Unapproved Indication"/>
    <x v="0"/>
    <n v="1"/>
  </r>
  <r>
    <s v="Deafness Unilateral"/>
    <x v="22"/>
    <n v="1"/>
  </r>
  <r>
    <s v="Ear Discomfort"/>
    <x v="22"/>
    <n v="1"/>
  </r>
  <r>
    <s v="Excessive Cerumen Production"/>
    <x v="22"/>
    <n v="1"/>
  </r>
  <r>
    <s v="Diverticulitis"/>
    <x v="6"/>
    <n v="1"/>
  </r>
  <r>
    <s v="Small Intestinal Obstruction"/>
    <x v="6"/>
    <n v="2"/>
  </r>
  <r>
    <s v="Full Blood Count Decreased"/>
    <x v="13"/>
    <n v="1"/>
  </r>
  <r>
    <s v="Lung Neoplasm"/>
    <x v="14"/>
    <n v="1"/>
  </r>
  <r>
    <s v="Macule"/>
    <x v="9"/>
    <n v="1"/>
  </r>
  <r>
    <s v="Pain Of Skin"/>
    <x v="9"/>
    <n v="1"/>
  </r>
  <r>
    <s v="Skin Hypertrophy"/>
    <x v="9"/>
    <n v="1"/>
  </r>
  <r>
    <s v="Lip Dry"/>
    <x v="23"/>
    <n v="1"/>
  </r>
  <r>
    <s v="Wound Haemorrhage"/>
    <x v="13"/>
    <n v="1"/>
  </r>
  <r>
    <s v="Skin Disorder"/>
    <x v="9"/>
    <n v="1"/>
  </r>
  <r>
    <s v="Autoimmune Colitis"/>
    <x v="6"/>
    <n v="1"/>
  </r>
  <r>
    <s v="Female Genital Tract Fistula"/>
    <x v="20"/>
    <n v="1"/>
  </r>
  <r>
    <s v="Hepatic Neoplasm"/>
    <x v="1"/>
    <n v="1"/>
  </r>
  <r>
    <s v="Encephalopathy"/>
    <x v="11"/>
    <n v="2"/>
  </r>
  <r>
    <s v="Cystatin C Increased"/>
    <x v="24"/>
    <n v="2"/>
  </r>
  <r>
    <s v="Blood Urea Increased"/>
    <x v="24"/>
    <n v="3"/>
  </r>
  <r>
    <s v="Blood Albumin Decreased"/>
    <x v="16"/>
    <n v="1"/>
  </r>
  <r>
    <s v="Haemorrhagic Stroke"/>
    <x v="11"/>
    <n v="1"/>
  </r>
  <r>
    <s v="Blindness"/>
    <x v="18"/>
    <n v="2"/>
  </r>
  <r>
    <s v="Keratitis"/>
    <x v="18"/>
    <n v="1"/>
  </r>
  <r>
    <s v="Blood Chloride Increased"/>
    <x v="16"/>
    <n v="1"/>
  </r>
  <r>
    <s v="Protein Urine"/>
    <x v="24"/>
    <n v="1"/>
  </r>
  <r>
    <s v="Mass"/>
    <x v="0"/>
    <n v="1"/>
  </r>
  <r>
    <s v="Tendonitis"/>
    <x v="8"/>
    <n v="4"/>
  </r>
  <r>
    <s v="Pancreatitis"/>
    <x v="29"/>
    <n v="1"/>
  </r>
  <r>
    <s v="Sepsis"/>
    <x v="12"/>
    <n v="1"/>
  </r>
  <r>
    <s v="Red Cell Distribution Width Decreased"/>
    <x v="13"/>
    <n v="1"/>
  </r>
  <r>
    <s v="Procalcitonin Decreased"/>
    <x v="15"/>
    <n v="1"/>
  </r>
  <r>
    <s v="Mean Cell Haemoglobin Decreased"/>
    <x v="13"/>
    <n v="1"/>
  </r>
  <r>
    <s v="Mean Cell Volume Increased"/>
    <x v="13"/>
    <n v="2"/>
  </r>
  <r>
    <s v="Monocyte Count Abnormal"/>
    <x v="13"/>
    <n v="1"/>
  </r>
  <r>
    <s v="Drug Level Increased"/>
    <x v="0"/>
    <n v="1"/>
  </r>
  <r>
    <s v="Cytomegalovirus Test Positive"/>
    <x v="12"/>
    <n v="1"/>
  </r>
  <r>
    <s v="Mean Cell Haemoglobin Concentration Increased"/>
    <x v="13"/>
    <n v="1"/>
  </r>
  <r>
    <s v="Platelet Count Increased"/>
    <x v="13"/>
    <n v="1"/>
  </r>
  <r>
    <s v="Haemoglobin Increased"/>
    <x v="13"/>
    <n v="2"/>
  </r>
  <r>
    <s v="Lymphocyte Count Abnormal"/>
    <x v="13"/>
    <n v="1"/>
  </r>
  <r>
    <s v="Apathy"/>
    <x v="7"/>
    <n v="2"/>
  </r>
  <r>
    <s v="Dysarthria"/>
    <x v="11"/>
    <n v="1"/>
  </r>
  <r>
    <s v="Cerebral Haemorrhage"/>
    <x v="11"/>
    <n v="1"/>
  </r>
  <r>
    <s v="Reaction To Excipient"/>
    <x v="0"/>
    <n v="1"/>
  </r>
  <r>
    <s v="Insurance Issue"/>
    <x v="0"/>
    <n v="1"/>
  </r>
  <r>
    <s v="Glossodynia"/>
    <x v="23"/>
    <n v="1"/>
  </r>
  <r>
    <s v="Chest Discomfort"/>
    <x v="3"/>
    <n v="5"/>
  </r>
  <r>
    <s v="Pharyngitis"/>
    <x v="14"/>
    <n v="3"/>
  </r>
  <r>
    <s v="Hyperthermia"/>
    <x v="0"/>
    <n v="5"/>
  </r>
  <r>
    <s v="Sinusitis"/>
    <x v="14"/>
    <n v="3"/>
  </r>
  <r>
    <s v="Bacteraemia"/>
    <x v="12"/>
    <n v="2"/>
  </r>
  <r>
    <s v="Mixed Anxiety And Depressive Disorder"/>
    <x v="7"/>
    <n v="1"/>
  </r>
  <r>
    <s v="Joint Stiffness"/>
    <x v="8"/>
    <n v="2"/>
  </r>
  <r>
    <s v="Hepatitis B"/>
    <x v="1"/>
    <n v="1"/>
  </r>
  <r>
    <s v="Acute Coronary Syndrome"/>
    <x v="3"/>
    <n v="1"/>
  </r>
  <r>
    <s v="Dry Eye"/>
    <x v="18"/>
    <n v="1"/>
  </r>
  <r>
    <s v="Night Sweats"/>
    <x v="0"/>
    <n v="1"/>
  </r>
  <r>
    <s v="Loss Of Personal Independence In Daily Activities"/>
    <x v="0"/>
    <n v="4"/>
  </r>
  <r>
    <s v="Pallor"/>
    <x v="0"/>
    <n v="1"/>
  </r>
  <r>
    <s v="Eye Swelling"/>
    <x v="18"/>
    <n v="1"/>
  </r>
  <r>
    <s v="Photosensitivity Reaction"/>
    <x v="9"/>
    <n v="2"/>
  </r>
  <r>
    <s v="Heart Rate Increased"/>
    <x v="3"/>
    <n v="4"/>
  </r>
  <r>
    <s v="Eye Pruritus"/>
    <x v="18"/>
    <n v="1"/>
  </r>
  <r>
    <s v="Rash Pruritic"/>
    <x v="9"/>
    <n v="1"/>
  </r>
  <r>
    <s v="Hypertension"/>
    <x v="3"/>
    <n v="3"/>
  </r>
  <r>
    <s v="Neuropathy Peripheral"/>
    <x v="11"/>
    <n v="4"/>
  </r>
  <r>
    <s v="Rectal Haemorrhage"/>
    <x v="6"/>
    <n v="2"/>
  </r>
  <r>
    <s v="Pain In Jaw"/>
    <x v="8"/>
    <n v="1"/>
  </r>
  <r>
    <s v="Ocular Hyperaemia"/>
    <x v="18"/>
    <n v="1"/>
  </r>
  <r>
    <s v="Hordeolum"/>
    <x v="18"/>
    <n v="1"/>
  </r>
  <r>
    <s v="Diplopia"/>
    <x v="18"/>
    <n v="1"/>
  </r>
  <r>
    <s v="Faeces Hard"/>
    <x v="6"/>
    <n v="1"/>
  </r>
  <r>
    <s v="Liver Function Test Increased"/>
    <x v="1"/>
    <n v="1"/>
  </r>
  <r>
    <s v="Renal Failure"/>
    <x v="24"/>
    <n v="1"/>
  </r>
  <r>
    <s v="Lymphadenopathy Mediastinal"/>
    <x v="21"/>
    <n v="5"/>
  </r>
  <r>
    <s v="Thrombosis"/>
    <x v="10"/>
    <n v="2"/>
  </r>
  <r>
    <s v="Vulval Oedema"/>
    <x v="20"/>
    <n v="1"/>
  </r>
  <r>
    <s v="Genital Swelling"/>
    <x v="20"/>
    <n v="1"/>
  </r>
  <r>
    <s v="Renal Pain"/>
    <x v="24"/>
    <n v="1"/>
  </r>
  <r>
    <s v="Tenderness"/>
    <x v="0"/>
    <n v="1"/>
  </r>
  <r>
    <s v="Neutrophil Count Increased"/>
    <x v="13"/>
    <n v="1"/>
  </r>
  <r>
    <s v="Eosinophil Count Increased"/>
    <x v="13"/>
    <n v="1"/>
  </r>
  <r>
    <s v="Red Blood Cell Count Increased"/>
    <x v="13"/>
    <n v="1"/>
  </r>
  <r>
    <s v="Haematocrit Increased"/>
    <x v="13"/>
    <n v="1"/>
  </r>
  <r>
    <s v="Elliptocytosis"/>
    <x v="13"/>
    <n v="1"/>
  </r>
  <r>
    <s v="Poikilocytosis"/>
    <x v="13"/>
    <n v="1"/>
  </r>
  <r>
    <s v="Circulatory Collapse"/>
    <x v="3"/>
    <n v="1"/>
  </r>
  <r>
    <s v="Wheezing"/>
    <x v="14"/>
    <n v="1"/>
  </r>
  <r>
    <s v="Skin Papilloma"/>
    <x v="9"/>
    <n v="1"/>
  </r>
  <r>
    <s v="Productive Cough"/>
    <x v="14"/>
    <n v="2"/>
  </r>
  <r>
    <s v="Skin Infection"/>
    <x v="9"/>
    <n v="1"/>
  </r>
  <r>
    <s v="Lyme Disease"/>
    <x v="12"/>
    <n v="1"/>
  </r>
  <r>
    <s v="Onychomycosis"/>
    <x v="9"/>
    <n v="1"/>
  </r>
  <r>
    <s v="Aphonia"/>
    <x v="0"/>
    <n v="1"/>
  </r>
  <r>
    <s v="Appetite Disorder"/>
    <x v="16"/>
    <n v="1"/>
  </r>
  <r>
    <s v="Bone Tuberculosis"/>
    <x v="8"/>
    <n v="1"/>
  </r>
  <r>
    <s v="Emphysema"/>
    <x v="14"/>
    <n v="1"/>
  </r>
  <r>
    <s v="Haemoptysis"/>
    <x v="14"/>
    <n v="1"/>
  </r>
  <r>
    <s v="Infective Exacerbation Of Bronchiectasis"/>
    <x v="14"/>
    <n v="1"/>
  </r>
  <r>
    <s v="Pulmonary Tuberculosis"/>
    <x v="14"/>
    <n v="1"/>
  </r>
  <r>
    <s v="Trigger Finger"/>
    <x v="8"/>
    <n v="2"/>
  </r>
  <r>
    <s v="Osteopenia"/>
    <x v="8"/>
    <n v="2"/>
  </r>
  <r>
    <s v="Dyspareunia"/>
    <x v="20"/>
    <n v="2"/>
  </r>
  <r>
    <s v="Vulvovaginal Dryness"/>
    <x v="20"/>
    <n v="2"/>
  </r>
  <r>
    <s v="Body Temperature Decreased"/>
    <x v="0"/>
    <n v="1"/>
  </r>
  <r>
    <s v="Wrist Fracture"/>
    <x v="8"/>
    <n v="1"/>
  </r>
  <r>
    <s v="Body Mass Index Increased"/>
    <x v="16"/>
    <n v="1"/>
  </r>
  <r>
    <s v="Feeling Of Relaxation"/>
    <x v="7"/>
    <n v="1"/>
  </r>
  <r>
    <s v="Postoperative Wound Complication"/>
    <x v="0"/>
    <n v="1"/>
  </r>
  <r>
    <s v="Chest Wall Tumour"/>
    <x v="14"/>
    <n v="1"/>
  </r>
  <r>
    <s v="Unevaluable Event"/>
    <x v="0"/>
    <n v="1"/>
  </r>
  <r>
    <s v="Metastases To Gallbladder"/>
    <x v="2"/>
    <n v="1"/>
  </r>
  <r>
    <s v="Hypophagia"/>
    <x v="16"/>
    <n v="4"/>
  </r>
  <r>
    <s v="Gastrointestinal Disorder"/>
    <x v="6"/>
    <n v="1"/>
  </r>
  <r>
    <s v="Follicular Thyroid Cancer"/>
    <x v="5"/>
    <n v="1"/>
  </r>
  <r>
    <s v="Atrial Fibrillation"/>
    <x v="3"/>
    <n v="1"/>
  </r>
  <r>
    <s v="Procedural Complication"/>
    <x v="0"/>
    <n v="1"/>
  </r>
  <r>
    <s v="Type 1 Diabetes Mellitus"/>
    <x v="5"/>
    <n v="1"/>
  </r>
  <r>
    <s v="Herpes Simplex"/>
    <x v="12"/>
    <n v="1"/>
  </r>
  <r>
    <s v="Diastolic Dysfunction"/>
    <x v="3"/>
    <n v="1"/>
  </r>
  <r>
    <s v="Dyspnoea Exertional"/>
    <x v="14"/>
    <n v="2"/>
  </r>
  <r>
    <s v="Recurrent Cancer"/>
    <x v="0"/>
    <n v="1"/>
  </r>
  <r>
    <s v="Blood Potassium Increased"/>
    <x v="5"/>
    <n v="1"/>
  </r>
  <r>
    <s v="Escherichia Infection"/>
    <x v="12"/>
    <n v="1"/>
  </r>
  <r>
    <s v="Haematuria"/>
    <x v="25"/>
    <n v="1"/>
  </r>
  <r>
    <s v="Hypertransaminasaemia"/>
    <x v="1"/>
    <n v="1"/>
  </r>
  <r>
    <s v="Cardiac Failure"/>
    <x v="3"/>
    <n v="1"/>
  </r>
  <r>
    <s v="Pulmonary Oedema"/>
    <x v="14"/>
    <n v="1"/>
  </r>
  <r>
    <s v="Ecchymosis"/>
    <x v="9"/>
    <n v="1"/>
  </r>
  <r>
    <s v="Fear"/>
    <x v="7"/>
    <n v="1"/>
  </r>
  <r>
    <s v="Fibrin D Dimer Increased"/>
    <x v="13"/>
    <n v="1"/>
  </r>
  <r>
    <s v="Amnesia"/>
    <x v="11"/>
    <n v="2"/>
  </r>
  <r>
    <s v="Groin Pain"/>
    <x v="8"/>
    <n v="1"/>
  </r>
  <r>
    <s v="Angina Unstable"/>
    <x v="3"/>
    <n v="1"/>
  </r>
  <r>
    <s v="Arnold-Chiari Malformation"/>
    <x v="11"/>
    <n v="1"/>
  </r>
  <r>
    <s v="Blood Follicle Stimulating Hormone Increased"/>
    <x v="5"/>
    <n v="1"/>
  </r>
  <r>
    <s v="Blood Luteinising Hormone Increased"/>
    <x v="5"/>
    <n v="1"/>
  </r>
  <r>
    <s v="Pernicious Anaemia"/>
    <x v="13"/>
    <n v="1"/>
  </r>
  <r>
    <s v="Intervertebral Disc Degeneration"/>
    <x v="8"/>
    <n v="1"/>
  </r>
  <r>
    <s v="Musculoskeletal Disorder"/>
    <x v="8"/>
    <n v="1"/>
  </r>
  <r>
    <s v="Uterine Haemorrhage"/>
    <x v="20"/>
    <n v="1"/>
  </r>
  <r>
    <s v="Ovarian Haemorrhage"/>
    <x v="20"/>
    <n v="1"/>
  </r>
  <r>
    <s v="Vulvovaginal Pain"/>
    <x v="20"/>
    <n v="1"/>
  </r>
  <r>
    <s v="Polyarthritis"/>
    <x v="8"/>
    <n v="1"/>
  </r>
  <r>
    <s v="Bone Density Decreased"/>
    <x v="8"/>
    <n v="2"/>
  </r>
  <r>
    <s v="Rib Fracture"/>
    <x v="8"/>
    <n v="1"/>
  </r>
  <r>
    <s v="Uveitis"/>
    <x v="18"/>
    <n v="3"/>
  </r>
  <r>
    <s v="Emotional Distress"/>
    <x v="7"/>
    <n v="3"/>
  </r>
  <r>
    <s v="Product Quality Issue"/>
    <x v="0"/>
    <n v="1"/>
  </r>
  <r>
    <s v="Disease Recurrence"/>
    <x v="0"/>
    <n v="1"/>
  </r>
  <r>
    <s v="Endometriosis"/>
    <x v="20"/>
    <n v="1"/>
  </r>
  <r>
    <s v="Skin Warm"/>
    <x v="9"/>
    <n v="1"/>
  </r>
  <r>
    <s v="Dilated Cardiomyopathy"/>
    <x v="3"/>
    <n v="1"/>
  </r>
  <r>
    <s v="Gastrointestinal Haemorrhage"/>
    <x v="6"/>
    <n v="1"/>
  </r>
  <r>
    <s v="Melaena"/>
    <x v="6"/>
    <n v="1"/>
  </r>
  <r>
    <s v="Neoplasm Malignant"/>
    <x v="0"/>
    <n v="3"/>
  </r>
  <r>
    <s v="Stress Cardiomyopathy"/>
    <x v="3"/>
    <n v="1"/>
  </r>
  <r>
    <s v="Proteinuria"/>
    <x v="24"/>
    <n v="1"/>
  </r>
  <r>
    <s v="Internal Fixation Of Fracture"/>
    <x v="8"/>
    <n v="1"/>
  </r>
  <r>
    <s v="Lower Limb Fracture"/>
    <x v="8"/>
    <n v="1"/>
  </r>
  <r>
    <s v="Cardiac Infection"/>
    <x v="3"/>
    <n v="1"/>
  </r>
  <r>
    <s v="Hypoperfusion"/>
    <x v="0"/>
    <n v="1"/>
  </r>
  <r>
    <s v="Disseminated Intravascular Coagulation"/>
    <x v="13"/>
    <n v="1"/>
  </r>
  <r>
    <s v="Multiple Organ Dysfunction Syndrome"/>
    <x v="0"/>
    <n v="1"/>
  </r>
  <r>
    <s v="External Fixation Of Fracture"/>
    <x v="8"/>
    <n v="1"/>
  </r>
  <r>
    <s v="Radius Fracture"/>
    <x v="8"/>
    <n v="1"/>
  </r>
  <r>
    <s v="Fracture Reduction"/>
    <x v="8"/>
    <n v="1"/>
  </r>
  <r>
    <s v="Renal Colic"/>
    <x v="25"/>
    <n v="1"/>
  </r>
  <r>
    <s v="Red Blood Cells Urine"/>
    <x v="24"/>
    <n v="1"/>
  </r>
  <r>
    <s v="Pyelocaliectasis"/>
    <x v="25"/>
    <n v="1"/>
  </r>
  <r>
    <s v="Maternal Exposure During Pregnancy"/>
    <x v="20"/>
    <n v="1"/>
  </r>
  <r>
    <s v="Pregnancy"/>
    <x v="20"/>
    <n v="1"/>
  </r>
  <r>
    <s v="Uterine Leiomyoma"/>
    <x v="20"/>
    <n v="1"/>
  </r>
  <r>
    <s v="Hysterectomy"/>
    <x v="20"/>
    <n v="1"/>
  </r>
  <r>
    <s v="Oophorectomy"/>
    <x v="20"/>
    <n v="2"/>
  </r>
  <r>
    <s v="Endometrial Hyperplasia"/>
    <x v="20"/>
    <n v="1"/>
  </r>
  <r>
    <s v="Hyperplasia"/>
    <x v="0"/>
    <n v="1"/>
  </r>
  <r>
    <s v="Lymphangiosis Carcinomatosa"/>
    <x v="21"/>
    <n v="1"/>
  </r>
  <r>
    <s v="Chest X-Ray Abnormal"/>
    <x v="14"/>
    <n v="1"/>
  </r>
  <r>
    <s v="Intervertebral Disc Protrusion"/>
    <x v="8"/>
    <n v="1"/>
  </r>
  <r>
    <s v="Gait Inability"/>
    <x v="11"/>
    <n v="1"/>
  </r>
  <r>
    <s v="Erythema Nodosum"/>
    <x v="9"/>
    <n v="1"/>
  </r>
  <r>
    <s v="Magnetic Resonance Imaging Abnormal"/>
    <x v="0"/>
    <n v="1"/>
  </r>
  <r>
    <s v="Polydipsia"/>
    <x v="5"/>
    <n v="1"/>
  </r>
  <r>
    <s v="Hypothalamo-Pituitary Disorder"/>
    <x v="5"/>
    <n v="1"/>
  </r>
  <r>
    <s v="Diabetes Insipidus"/>
    <x v="5"/>
    <n v="1"/>
  </r>
  <r>
    <s v="Polyuria"/>
    <x v="25"/>
    <n v="1"/>
  </r>
  <r>
    <s v="Sexual Dysfunction"/>
    <x v="20"/>
    <n v="1"/>
  </r>
  <r>
    <s v="Depressed Level Of Consciousness"/>
    <x v="11"/>
    <n v="2"/>
  </r>
  <r>
    <s v="Seizure Anoxic"/>
    <x v="11"/>
    <n v="1"/>
  </r>
  <r>
    <s v="Hypomania"/>
    <x v="7"/>
    <n v="1"/>
  </r>
  <r>
    <s v="Bipolar Disorder"/>
    <x v="7"/>
    <n v="1"/>
  </r>
  <r>
    <s v="Lethargy"/>
    <x v="11"/>
    <n v="1"/>
  </r>
  <r>
    <s v="Renal Tubular Acidosis"/>
    <x v="24"/>
    <n v="1"/>
  </r>
  <r>
    <s v="Hyperkalaemia"/>
    <x v="5"/>
    <n v="1"/>
  </r>
  <r>
    <s v="Hypovolaemia"/>
    <x v="0"/>
    <n v="1"/>
  </r>
  <r>
    <s v="Acidosis"/>
    <x v="16"/>
    <n v="1"/>
  </r>
  <r>
    <s v="Cutaneous Lupus Erythematosus"/>
    <x v="9"/>
    <n v="1"/>
  </r>
  <r>
    <s v="Arthritis"/>
    <x v="8"/>
    <n v="1"/>
  </r>
  <r>
    <s v="Bursitis"/>
    <x v="8"/>
    <n v="1"/>
  </r>
  <r>
    <s v="Bone Marrow Failure"/>
    <x v="13"/>
    <n v="1"/>
  </r>
  <r>
    <s v="Haemoglobin Abnormal"/>
    <x v="13"/>
    <n v="1"/>
  </r>
  <r>
    <s v="Erythropoiesis Abnormal"/>
    <x v="13"/>
    <n v="1"/>
  </r>
  <r>
    <s v="Mean Cell Haemoglobin"/>
    <x v="13"/>
    <n v="1"/>
  </r>
  <r>
    <s v="Platelet Disorder"/>
    <x v="13"/>
    <n v="1"/>
  </r>
  <r>
    <s v="Biopsy Bone Marrow Abnormal"/>
    <x v="13"/>
    <n v="1"/>
  </r>
  <r>
    <s v="Megakaryocytes Decreased"/>
    <x v="13"/>
    <n v="1"/>
  </r>
  <r>
    <s v="Sleep Apnoea Syndrome"/>
    <x v="14"/>
    <n v="1"/>
  </r>
  <r>
    <s v="Debridement"/>
    <x v="0"/>
    <n v="1"/>
  </r>
  <r>
    <s v="Osteomyelitis"/>
    <x v="8"/>
    <n v="1"/>
  </r>
  <r>
    <s v="Breast Conserving Surgery"/>
    <x v="20"/>
    <n v="1"/>
  </r>
  <r>
    <s v="Biopsy Lymph Gland"/>
    <x v="21"/>
    <n v="1"/>
  </r>
  <r>
    <s v="Macular Degeneration"/>
    <x v="18"/>
    <n v="1"/>
  </r>
  <r>
    <s v="Breast Prosthesis Removal"/>
    <x v="20"/>
    <n v="1"/>
  </r>
  <r>
    <s v="Dermatitis Contact"/>
    <x v="9"/>
    <n v="1"/>
  </r>
  <r>
    <s v="Skin Necrosis"/>
    <x v="9"/>
    <n v="1"/>
  </r>
  <r>
    <s v="Rash Vesicular"/>
    <x v="9"/>
    <n v="1"/>
  </r>
  <r>
    <s v="Tooth Erosion"/>
    <x v="23"/>
    <n v="1"/>
  </r>
  <r>
    <s v="Restrictive Cardiomyopathy"/>
    <x v="3"/>
    <n v="1"/>
  </r>
  <r>
    <s v="Periorbital Oedema"/>
    <x v="0"/>
    <n v="1"/>
  </r>
  <r>
    <s v="Aspiration Pleural Cavity"/>
    <x v="14"/>
    <n v="1"/>
  </r>
  <r>
    <s v="Generalised Oedema"/>
    <x v="0"/>
    <n v="1"/>
  </r>
  <r>
    <s v="Catheterisation Cardiac"/>
    <x v="3"/>
    <n v="1"/>
  </r>
  <r>
    <s v="Retinal Haemorrhage"/>
    <x v="18"/>
    <n v="1"/>
  </r>
  <r>
    <s v="Macular Oedema"/>
    <x v="18"/>
    <n v="1"/>
  </r>
  <r>
    <s v="Visual Field Tests Abnormal"/>
    <x v="18"/>
    <n v="1"/>
  </r>
  <r>
    <s v="Angiogram Retina"/>
    <x v="18"/>
    <n v="1"/>
  </r>
  <r>
    <s v="Fundoscopy"/>
    <x v="18"/>
    <n v="1"/>
  </r>
  <r>
    <s v="Retinal Vein Occlusion"/>
    <x v="18"/>
    <n v="1"/>
  </r>
  <r>
    <s v="Granuloma"/>
    <x v="0"/>
    <n v="1"/>
  </r>
  <r>
    <s v="Organising Pneumonia"/>
    <x v="14"/>
    <n v="1"/>
  </r>
  <r>
    <s v="Post Procedural Fever"/>
    <x v="0"/>
    <n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Blood Thyroid Stimulating Hormone Decreased"/>
    <x v="0"/>
    <n v="1"/>
  </r>
  <r>
    <s v="Toxicity To Various Agents"/>
    <x v="1"/>
    <n v="1"/>
  </r>
  <r>
    <s v="Mitral Valve Incompetence"/>
    <x v="2"/>
    <n v="1"/>
  </r>
  <r>
    <s v="Staphylococcus Test Positive"/>
    <x v="3"/>
    <n v="1"/>
  </r>
  <r>
    <s v="Tricuspid Valve Incompetence"/>
    <x v="2"/>
    <n v="1"/>
  </r>
  <r>
    <s v="Aortic Valve Incompetence"/>
    <x v="2"/>
    <n v="1"/>
  </r>
  <r>
    <s v="Hepatic Mass"/>
    <x v="4"/>
    <n v="1"/>
  </r>
  <r>
    <s v="Blood Luteinising Hormone Decreased"/>
    <x v="0"/>
    <n v="1"/>
  </r>
  <r>
    <s v="Rhabdomyolysis"/>
    <x v="5"/>
    <n v="2"/>
  </r>
  <r>
    <s v="Cardiac Failure"/>
    <x v="2"/>
    <n v="1"/>
  </r>
  <r>
    <s v="Dilated Cardiomyopathy"/>
    <x v="2"/>
    <n v="1"/>
  </r>
  <r>
    <s v="Off Label Use"/>
    <x v="1"/>
    <n v="1"/>
  </r>
  <r>
    <s v="Blood Follicle Stimulating Hormone Decreased"/>
    <x v="0"/>
    <n v="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1">
  <r>
    <s v="Cataract"/>
    <x v="0"/>
    <n v="13"/>
  </r>
  <r>
    <s v="Dental Fistula"/>
    <x v="1"/>
    <n v="7"/>
  </r>
  <r>
    <s v="Spinal Pain"/>
    <x v="2"/>
    <n v="8"/>
  </r>
  <r>
    <s v="Chills"/>
    <x v="3"/>
    <n v="12"/>
  </r>
  <r>
    <s v="Night Sweats"/>
    <x v="4"/>
    <n v="8"/>
  </r>
  <r>
    <s v="Nasopharyngitis"/>
    <x v="5"/>
    <n v="7"/>
  </r>
  <r>
    <s v="Vision Blurred"/>
    <x v="0"/>
    <n v="11"/>
  </r>
  <r>
    <s v="Diarrhoea"/>
    <x v="6"/>
    <n v="26"/>
  </r>
  <r>
    <s v="Pruritus"/>
    <x v="7"/>
    <n v="8"/>
  </r>
  <r>
    <s v="Alopecia"/>
    <x v="7"/>
    <n v="18"/>
  </r>
  <r>
    <s v="Paraesthesia"/>
    <x v="2"/>
    <n v="5"/>
  </r>
  <r>
    <s v="Dizziness"/>
    <x v="2"/>
    <n v="9"/>
  </r>
  <r>
    <s v="Fatigue"/>
    <x v="8"/>
    <n v="22"/>
  </r>
  <r>
    <s v="Dry Skin"/>
    <x v="7"/>
    <n v="5"/>
  </r>
  <r>
    <s v="Suicidal Ideation"/>
    <x v="9"/>
    <n v="11"/>
  </r>
  <r>
    <s v="Oral Mucosal Blistering"/>
    <x v="1"/>
    <n v="3"/>
  </r>
  <r>
    <s v="Depressed Mood"/>
    <x v="9"/>
    <n v="3"/>
  </r>
  <r>
    <s v="Increased Appetite"/>
    <x v="10"/>
    <n v="3"/>
  </r>
  <r>
    <s v="Muscular Weakness"/>
    <x v="11"/>
    <n v="3"/>
  </r>
  <r>
    <s v="Myalgia"/>
    <x v="11"/>
    <n v="9"/>
  </r>
  <r>
    <s v="Ovarian Cancer Recurrent"/>
    <x v="12"/>
    <n v="1"/>
  </r>
  <r>
    <s v="Breast Tenderness"/>
    <x v="12"/>
    <n v="2"/>
  </r>
  <r>
    <s v="Off Label Use"/>
    <x v="8"/>
    <n v="9"/>
  </r>
  <r>
    <s v="Erythema"/>
    <x v="7"/>
    <n v="4"/>
  </r>
  <r>
    <s v="Irritability"/>
    <x v="9"/>
    <n v="6"/>
  </r>
  <r>
    <s v="Decreased Activity"/>
    <x v="8"/>
    <n v="4"/>
  </r>
  <r>
    <s v="Weight Decreased"/>
    <x v="13"/>
    <n v="6"/>
  </r>
  <r>
    <s v="Influenza Like Illness"/>
    <x v="3"/>
    <n v="4"/>
  </r>
  <r>
    <s v="Feeling Hot"/>
    <x v="8"/>
    <n v="5"/>
  </r>
  <r>
    <s v="Sleep Disorder"/>
    <x v="2"/>
    <n v="4"/>
  </r>
  <r>
    <s v="Hypoaesthesia"/>
    <x v="2"/>
    <n v="5"/>
  </r>
  <r>
    <s v="Injection Site Pain"/>
    <x v="11"/>
    <n v="4"/>
  </r>
  <r>
    <s v="Carpal Tunnel Syndrome"/>
    <x v="2"/>
    <n v="5"/>
  </r>
  <r>
    <s v="Decreased Appetite"/>
    <x v="13"/>
    <n v="17"/>
  </r>
  <r>
    <s v="Gastrointestinal Disorder"/>
    <x v="6"/>
    <n v="4"/>
  </r>
  <r>
    <s v="Abdominal Pain"/>
    <x v="6"/>
    <n v="13"/>
  </r>
  <r>
    <s v="Bronchospasm"/>
    <x v="5"/>
    <n v="4"/>
  </r>
  <r>
    <s v="Back Pain"/>
    <x v="14"/>
    <n v="13"/>
  </r>
  <r>
    <s v="Ocular Hyperaemia"/>
    <x v="0"/>
    <n v="4"/>
  </r>
  <r>
    <s v="Injection Site Inflammation"/>
    <x v="7"/>
    <n v="4"/>
  </r>
  <r>
    <s v="Muscle Twitching"/>
    <x v="11"/>
    <n v="4"/>
  </r>
  <r>
    <s v="Abdominal Discomfort"/>
    <x v="6"/>
    <n v="6"/>
  </r>
  <r>
    <s v="Rash"/>
    <x v="7"/>
    <n v="6"/>
  </r>
  <r>
    <s v="Headache"/>
    <x v="2"/>
    <n v="12"/>
  </r>
  <r>
    <s v="Oedema Peripheral"/>
    <x v="15"/>
    <n v="4"/>
  </r>
  <r>
    <s v="Chest Pain"/>
    <x v="16"/>
    <n v="10"/>
  </r>
  <r>
    <s v="Nervousness"/>
    <x v="9"/>
    <n v="4"/>
  </r>
  <r>
    <s v="Asthenia"/>
    <x v="8"/>
    <n v="17"/>
  </r>
  <r>
    <s v="Peripheral Swelling"/>
    <x v="15"/>
    <n v="9"/>
  </r>
  <r>
    <s v="Tremor"/>
    <x v="2"/>
    <n v="4"/>
  </r>
  <r>
    <s v="Joint Swelling"/>
    <x v="14"/>
    <n v="4"/>
  </r>
  <r>
    <s v="Coordination Abnormal"/>
    <x v="2"/>
    <n v="4"/>
  </r>
  <r>
    <s v="Sensory Disturbance"/>
    <x v="2"/>
    <n v="4"/>
  </r>
  <r>
    <s v="Chromaturia"/>
    <x v="17"/>
    <n v="4"/>
  </r>
  <r>
    <s v="Skin Reaction"/>
    <x v="7"/>
    <n v="4"/>
  </r>
  <r>
    <s v="Bone Pain"/>
    <x v="14"/>
    <n v="11"/>
  </r>
  <r>
    <s v="Cough"/>
    <x v="5"/>
    <n v="6"/>
  </r>
  <r>
    <s v="General Physical Health Deterioration"/>
    <x v="8"/>
    <n v="5"/>
  </r>
  <r>
    <s v="Depression"/>
    <x v="9"/>
    <n v="8"/>
  </r>
  <r>
    <s v="Anxiety"/>
    <x v="9"/>
    <n v="12"/>
  </r>
  <r>
    <s v="Feeling Abnormal"/>
    <x v="9"/>
    <n v="7"/>
  </r>
  <r>
    <s v="Oropharyngeal Pain"/>
    <x v="1"/>
    <n v="5"/>
  </r>
  <r>
    <s v="Somnolence"/>
    <x v="2"/>
    <n v="5"/>
  </r>
  <r>
    <s v="Respiratory Rate Decreased"/>
    <x v="5"/>
    <n v="4"/>
  </r>
  <r>
    <s v="Nerve Injury"/>
    <x v="2"/>
    <n v="6"/>
  </r>
  <r>
    <s v="Lacrimation Increased"/>
    <x v="0"/>
    <n v="4"/>
  </r>
  <r>
    <s v="Eye Irritation"/>
    <x v="0"/>
    <n v="4"/>
  </r>
  <r>
    <s v="Rhinorrhoea"/>
    <x v="5"/>
    <n v="4"/>
  </r>
  <r>
    <s v="Feeling Cold"/>
    <x v="8"/>
    <n v="4"/>
  </r>
  <r>
    <s v="Urticaria"/>
    <x v="7"/>
    <n v="6"/>
  </r>
  <r>
    <s v="Photophobia"/>
    <x v="0"/>
    <n v="4"/>
  </r>
  <r>
    <s v="Gait Disturbance"/>
    <x v="2"/>
    <n v="10"/>
  </r>
  <r>
    <s v="Pollakiuria"/>
    <x v="17"/>
    <n v="4"/>
  </r>
  <r>
    <s v="Chest Discomfort"/>
    <x v="16"/>
    <n v="7"/>
  </r>
  <r>
    <s v="Dyspepsia"/>
    <x v="6"/>
    <n v="4"/>
  </r>
  <r>
    <s v="Vertigo"/>
    <x v="2"/>
    <n v="5"/>
  </r>
  <r>
    <s v="Skin Exfoliation"/>
    <x v="7"/>
    <n v="4"/>
  </r>
  <r>
    <s v="Hypersensitivity"/>
    <x v="3"/>
    <n v="4"/>
  </r>
  <r>
    <s v="Muscle Tightness"/>
    <x v="11"/>
    <n v="5"/>
  </r>
  <r>
    <s v="Mucosal Dryness"/>
    <x v="1"/>
    <n v="4"/>
  </r>
  <r>
    <s v="Arthralgia"/>
    <x v="14"/>
    <n v="15"/>
  </r>
  <r>
    <s v="Dyspnoea"/>
    <x v="5"/>
    <n v="16"/>
  </r>
  <r>
    <s v="Hyperaesthesia"/>
    <x v="2"/>
    <n v="4"/>
  </r>
  <r>
    <s v="Abdominal Pain Upper"/>
    <x v="6"/>
    <n v="5"/>
  </r>
  <r>
    <s v="Hot Flush"/>
    <x v="10"/>
    <n v="8"/>
  </r>
  <r>
    <s v="Nausea"/>
    <x v="6"/>
    <n v="16"/>
  </r>
  <r>
    <s v="Affective Disorder"/>
    <x v="9"/>
    <n v="4"/>
  </r>
  <r>
    <s v="Constipation"/>
    <x v="6"/>
    <n v="10"/>
  </r>
  <r>
    <s v="Malaise"/>
    <x v="8"/>
    <n v="9"/>
  </r>
  <r>
    <s v="Thirst"/>
    <x v="10"/>
    <n v="4"/>
  </r>
  <r>
    <s v="Balance Disorder"/>
    <x v="2"/>
    <n v="4"/>
  </r>
  <r>
    <s v="Taste Disorder"/>
    <x v="2"/>
    <n v="5"/>
  </r>
  <r>
    <s v="Sedation"/>
    <x v="2"/>
    <n v="4"/>
  </r>
  <r>
    <s v="Conjunctivitis"/>
    <x v="0"/>
    <n v="4"/>
  </r>
  <r>
    <s v="Hyperhidrosis"/>
    <x v="18"/>
    <n v="4"/>
  </r>
  <r>
    <s v="Muscle Spasms"/>
    <x v="11"/>
    <n v="4"/>
  </r>
  <r>
    <s v="Lymphadenopathy"/>
    <x v="3"/>
    <n v="6"/>
  </r>
  <r>
    <s v="Movement Disorder"/>
    <x v="2"/>
    <n v="4"/>
  </r>
  <r>
    <s v="Pain"/>
    <x v="19"/>
    <n v="13"/>
  </r>
  <r>
    <s v="Dry Eye"/>
    <x v="0"/>
    <n v="6"/>
  </r>
  <r>
    <s v="Pain In Extremity"/>
    <x v="14"/>
    <n v="10"/>
  </r>
  <r>
    <s v="Dry Mouth"/>
    <x v="1"/>
    <n v="4"/>
  </r>
  <r>
    <s v="Febrile Neutropenia"/>
    <x v="20"/>
    <n v="13"/>
  </r>
  <r>
    <s v="Abdominal Distension"/>
    <x v="6"/>
    <n v="7"/>
  </r>
  <r>
    <s v="Ovarian Hyperstimulation Syndrome"/>
    <x v="12"/>
    <n v="13"/>
  </r>
  <r>
    <s v="Vomiting"/>
    <x v="6"/>
    <n v="11"/>
  </r>
  <r>
    <s v="Platelet Count Decreased"/>
    <x v="21"/>
    <n v="4"/>
  </r>
  <r>
    <s v="Neutrophil Count Decreased"/>
    <x v="21"/>
    <n v="5"/>
  </r>
  <r>
    <s v="White Blood Cell Count Decreased"/>
    <x v="21"/>
    <n v="7"/>
  </r>
  <r>
    <s v="Epilepsy"/>
    <x v="2"/>
    <n v="14"/>
  </r>
  <r>
    <s v="Urine Analysis Abnormal"/>
    <x v="17"/>
    <n v="4"/>
  </r>
  <r>
    <s v="Pharyngitis"/>
    <x v="5"/>
    <n v="3"/>
  </r>
  <r>
    <s v="Respiratory Tract Infection"/>
    <x v="5"/>
    <n v="3"/>
  </r>
  <r>
    <s v="Viral Infection"/>
    <x v="3"/>
    <n v="3"/>
  </r>
  <r>
    <s v="Diabetes Insipidus"/>
    <x v="22"/>
    <n v="2"/>
  </r>
  <r>
    <s v="Vulvovaginal Dryness"/>
    <x v="12"/>
    <n v="2"/>
  </r>
  <r>
    <s v="Hair Growth Abnormal"/>
    <x v="7"/>
    <n v="1"/>
  </r>
  <r>
    <s v="Drug-Induced Liver Injury"/>
    <x v="23"/>
    <n v="2"/>
  </r>
  <r>
    <s v="Decreased Immune Responsiveness"/>
    <x v="3"/>
    <n v="1"/>
  </r>
  <r>
    <s v="Pain of Skin"/>
    <x v="7"/>
    <n v="1"/>
  </r>
  <r>
    <s v="Tachycardia"/>
    <x v="16"/>
    <n v="2"/>
  </r>
  <r>
    <s v="Insomnia"/>
    <x v="2"/>
    <n v="1"/>
  </r>
  <r>
    <s v="Transaminases Increased"/>
    <x v="23"/>
    <n v="2"/>
  </r>
  <r>
    <s v="Neutropenia"/>
    <x v="21"/>
    <n v="2"/>
  </r>
  <r>
    <s v="Liver Injury"/>
    <x v="23"/>
    <n v="2"/>
  </r>
  <r>
    <s v="Maternal Exposure During Pregnancy"/>
    <x v="12"/>
    <n v="1"/>
  </r>
  <r>
    <s v="Pelvic Inflammatory Disease"/>
    <x v="12"/>
    <n v="1"/>
  </r>
  <r>
    <s v="Femoral Neck Fracture"/>
    <x v="14"/>
    <n v="1"/>
  </r>
  <r>
    <s v="Palpitations"/>
    <x v="16"/>
    <n v="1"/>
  </r>
  <r>
    <s v="Personality Change"/>
    <x v="2"/>
    <n v="1"/>
  </r>
  <r>
    <s v="Dysmenorrhea"/>
    <x v="12"/>
    <n v="1"/>
  </r>
  <r>
    <s v="Tinnitus"/>
    <x v="24"/>
    <n v="1"/>
  </r>
  <r>
    <s v="Breast Injury"/>
    <x v="7"/>
    <n v="1"/>
  </r>
  <r>
    <s v="Intermenstrual Bleeding"/>
    <x v="12"/>
    <n v="1"/>
  </r>
  <r>
    <s v="Subdiaphragmatic Abscess"/>
    <x v="6"/>
    <n v="1"/>
  </r>
  <r>
    <s v="Hypokalemia"/>
    <x v="22"/>
    <n v="1"/>
  </r>
  <r>
    <s v="Acute Myeloid Leukemia"/>
    <x v="21"/>
    <n v="1"/>
  </r>
  <r>
    <s v="Dilated Cardiomyopathy"/>
    <x v="16"/>
    <n v="1"/>
  </r>
  <r>
    <s v="Oliguria"/>
    <x v="17"/>
    <n v="1"/>
  </r>
  <r>
    <s v="Neutrophil Count Increased"/>
    <x v="21"/>
    <n v="1"/>
  </r>
  <r>
    <s v="Hepatitis Failure"/>
    <x v="23"/>
    <n v="1"/>
  </r>
  <r>
    <s v="Metastases To Liver"/>
    <x v="23"/>
    <n v="1"/>
  </r>
  <r>
    <s v="Hepatitis Acute"/>
    <x v="23"/>
    <n v="1"/>
  </r>
  <r>
    <s v="Acute Kidney Injury"/>
    <x v="25"/>
    <n v="1"/>
  </r>
  <r>
    <s v="Portal Hypertension"/>
    <x v="23"/>
    <n v="1"/>
  </r>
  <r>
    <s v="Hepatocellular Injury"/>
    <x v="23"/>
    <n v="1"/>
  </r>
  <r>
    <s v="Hepatitis Fulminant"/>
    <x v="23"/>
    <n v="1"/>
  </r>
  <r>
    <s v="Hepatomegaly"/>
    <x v="23"/>
    <n v="1"/>
  </r>
  <r>
    <s v="Blood Urea Increased"/>
    <x v="25"/>
    <n v="1"/>
  </r>
  <r>
    <s v="Blood Phosphorus Increased"/>
    <x v="22"/>
    <n v="1"/>
  </r>
  <r>
    <s v="White Blood Cell Count Increased"/>
    <x v="21"/>
    <n v="1"/>
  </r>
  <r>
    <s v="Cataract Operation"/>
    <x v="0"/>
    <n v="1"/>
  </r>
  <r>
    <s v="Tachypnoea"/>
    <x v="5"/>
    <n v="2"/>
  </r>
  <r>
    <s v="Insomnia"/>
    <x v="2"/>
    <n v="2"/>
  </r>
  <r>
    <s v="Transaminases Increased"/>
    <x v="23"/>
    <n v="4"/>
  </r>
  <r>
    <s v="Metastases To Bone"/>
    <x v="14"/>
    <n v="7"/>
  </r>
  <r>
    <s v="Therapy Partial Responder"/>
    <x v="8"/>
    <n v="2"/>
  </r>
  <r>
    <s v="General Physical Condition Abnormal"/>
    <x v="8"/>
    <n v="2"/>
  </r>
  <r>
    <s v="Premature Menopause"/>
    <x v="12"/>
    <n v="2"/>
  </r>
  <r>
    <s v="Injury"/>
    <x v="8"/>
    <n v="2"/>
  </r>
  <r>
    <s v="Hypokinesia"/>
    <x v="2"/>
    <n v="2"/>
  </r>
  <r>
    <s v="Sensitive Skin"/>
    <x v="7"/>
    <n v="2"/>
  </r>
  <r>
    <s v="Metastasis"/>
    <x v="8"/>
    <n v="8"/>
  </r>
  <r>
    <s v="Neutropenia"/>
    <x v="21"/>
    <n v="6"/>
  </r>
  <r>
    <s v="Liver Injury"/>
    <x v="23"/>
    <n v="3"/>
  </r>
  <r>
    <s v="Maternal Exposure During Pregnancy"/>
    <x v="12"/>
    <n v="8"/>
  </r>
  <r>
    <s v="Intra-Abdominal Fluid Collection"/>
    <x v="6"/>
    <n v="1"/>
  </r>
  <r>
    <s v="Pelvic Inflammatory Disease"/>
    <x v="12"/>
    <n v="1"/>
  </r>
  <r>
    <s v="Cholelithiasis"/>
    <x v="26"/>
    <n v="4"/>
  </r>
  <r>
    <s v="Product Use In Unapproved Indication"/>
    <x v="8"/>
    <n v="8"/>
  </r>
  <r>
    <s v="Haematotoxicity"/>
    <x v="21"/>
    <n v="1"/>
  </r>
  <r>
    <s v="Femoral Neck Fracture"/>
    <x v="14"/>
    <n v="2"/>
  </r>
  <r>
    <s v="Infection"/>
    <x v="3"/>
    <n v="3"/>
  </r>
  <r>
    <s v="Palpitations"/>
    <x v="16"/>
    <n v="2"/>
  </r>
  <r>
    <s v="Suicide Attempt"/>
    <x v="9"/>
    <n v="1"/>
  </r>
  <r>
    <s v="Personality Change"/>
    <x v="9"/>
    <n v="1"/>
  </r>
  <r>
    <s v="Dysmenorrhoea"/>
    <x v="12"/>
    <n v="1"/>
  </r>
  <r>
    <s v="Viiith Nerve Injury"/>
    <x v="2"/>
    <n v="1"/>
  </r>
  <r>
    <s v="Deafness Permanent"/>
    <x v="24"/>
    <n v="1"/>
  </r>
  <r>
    <s v="Tinnitus"/>
    <x v="24"/>
    <n v="1"/>
  </r>
  <r>
    <s v="Breast Injury"/>
    <x v="7"/>
    <n v="1"/>
  </r>
  <r>
    <s v="Intermenstrual Bleeding"/>
    <x v="12"/>
    <n v="2"/>
  </r>
  <r>
    <s v="Hepatic Cytolysis"/>
    <x v="23"/>
    <n v="14"/>
  </r>
  <r>
    <s v="Jaundice"/>
    <x v="23"/>
    <n v="6"/>
  </r>
  <r>
    <s v="Gastric Fistula"/>
    <x v="6"/>
    <n v="1"/>
  </r>
  <r>
    <s v="Subdiaphragmatic Abscess"/>
    <x v="6"/>
    <n v="1"/>
  </r>
  <r>
    <s v="Hypokalaemia"/>
    <x v="22"/>
    <n v="1"/>
  </r>
  <r>
    <s v="Acute Myeloid Leukaemia"/>
    <x v="21"/>
    <n v="2"/>
  </r>
  <r>
    <s v="Dilated Cardiomyopathy"/>
    <x v="16"/>
    <n v="6"/>
  </r>
  <r>
    <s v="Oliguria"/>
    <x v="25"/>
    <n v="1"/>
  </r>
  <r>
    <s v="Neutrophil Count Increased"/>
    <x v="21"/>
    <n v="8"/>
  </r>
  <r>
    <s v="Generalised Oedema"/>
    <x v="15"/>
    <n v="9"/>
  </r>
  <r>
    <s v="Hepatic Failure"/>
    <x v="23"/>
    <n v="9"/>
  </r>
  <r>
    <s v="Metastases To Liver"/>
    <x v="23"/>
    <n v="15"/>
  </r>
  <r>
    <s v="Blood Urea Increased"/>
    <x v="25"/>
    <n v="8"/>
  </r>
  <r>
    <s v="Hepatitis Acute"/>
    <x v="23"/>
    <n v="8"/>
  </r>
  <r>
    <s v="Acute Kidney Injury"/>
    <x v="25"/>
    <n v="10"/>
  </r>
  <r>
    <s v="Portal Hypertension"/>
    <x v="23"/>
    <n v="8"/>
  </r>
  <r>
    <s v="Hepatocellular Injury"/>
    <x v="23"/>
    <n v="6"/>
  </r>
  <r>
    <s v="C-Reactive Protein Increased"/>
    <x v="3"/>
    <n v="8"/>
  </r>
  <r>
    <s v="Hepatitis Fulminant"/>
    <x v="23"/>
    <n v="9"/>
  </r>
  <r>
    <s v="Hepatomegaly"/>
    <x v="23"/>
    <n v="9"/>
  </r>
  <r>
    <s v="Cell Death"/>
    <x v="8"/>
    <n v="9"/>
  </r>
  <r>
    <s v="Haemolytic Anaemia"/>
    <x v="21"/>
    <n v="1"/>
  </r>
  <r>
    <s v="Post Procedural Infection"/>
    <x v="3"/>
    <n v="1"/>
  </r>
  <r>
    <s v="Blood Potassium Increased"/>
    <x v="22"/>
    <n v="1"/>
  </r>
  <r>
    <s v="Lipase Increased"/>
    <x v="27"/>
    <n v="1"/>
  </r>
  <r>
    <s v="Blood Phosphorus Increased"/>
    <x v="22"/>
    <n v="1"/>
  </r>
  <r>
    <s v="Blood Bicarbonate Decreased"/>
    <x v="13"/>
    <n v="1"/>
  </r>
  <r>
    <s v="White Blood Cell Count Increased"/>
    <x v="21"/>
    <n v="1"/>
  </r>
  <r>
    <s v="Blood Calcium Decreased"/>
    <x v="22"/>
    <n v="3"/>
  </r>
  <r>
    <s v="Neoplasm Progression"/>
    <x v="8"/>
    <n v="5"/>
  </r>
  <r>
    <s v="Blood Sodium Decreased"/>
    <x v="22"/>
    <n v="1"/>
  </r>
  <r>
    <s v="Hepatitis E"/>
    <x v="23"/>
    <n v="1"/>
  </r>
  <r>
    <s v="Cardiac Tamponade"/>
    <x v="16"/>
    <n v="1"/>
  </r>
  <r>
    <s v="Caesarean Section"/>
    <x v="12"/>
    <n v="7"/>
  </r>
  <r>
    <s v="Exposure During Pregnancy"/>
    <x v="12"/>
    <n v="7"/>
  </r>
  <r>
    <s v="Foetal Distress Syndrome"/>
    <x v="12"/>
    <n v="1"/>
  </r>
  <r>
    <s v="Cerebrovascular Accident"/>
    <x v="2"/>
    <n v="2"/>
  </r>
  <r>
    <s v="Lung Opacity"/>
    <x v="5"/>
    <n v="9"/>
  </r>
  <r>
    <s v="Interstitial Lung Disease"/>
    <x v="5"/>
    <n v="6"/>
  </r>
  <r>
    <s v="Pericardial Effusion"/>
    <x v="16"/>
    <n v="8"/>
  </r>
  <r>
    <s v="Intestinal Obstruction"/>
    <x v="6"/>
    <n v="4"/>
  </r>
  <r>
    <s v="Neuropathy Peripheral"/>
    <x v="2"/>
    <n v="3"/>
  </r>
  <r>
    <s v="Burning Sensation"/>
    <x v="2"/>
    <n v="1"/>
  </r>
  <r>
    <s v="Hypocalcaemia"/>
    <x v="22"/>
    <n v="1"/>
  </r>
  <r>
    <s v="Hepatic Neoplasm"/>
    <x v="23"/>
    <n v="1"/>
  </r>
  <r>
    <s v="Pulmonary Mass"/>
    <x v="5"/>
    <n v="2"/>
  </r>
  <r>
    <s v="Benign Bone Neoplasm"/>
    <x v="14"/>
    <n v="1"/>
  </r>
  <r>
    <s v="Drug Ineffective"/>
    <x v="8"/>
    <n v="1"/>
  </r>
  <r>
    <s v="Nodule"/>
    <x v="7"/>
    <n v="2"/>
  </r>
  <r>
    <s v="Blood Test Abnormal"/>
    <x v="8"/>
    <n v="1"/>
  </r>
  <r>
    <s v="Toothache"/>
    <x v="1"/>
    <n v="2"/>
  </r>
  <r>
    <s v="Hyperbilirubinaemia"/>
    <x v="23"/>
    <n v="2"/>
  </r>
  <r>
    <s v="Neoplasm Recurrence"/>
    <x v="8"/>
    <n v="1"/>
  </r>
  <r>
    <s v="Wound"/>
    <x v="7"/>
    <n v="1"/>
  </r>
  <r>
    <s v="Procedural Pain"/>
    <x v="2"/>
    <n v="2"/>
  </r>
  <r>
    <s v="Pseudomonas Test Positive"/>
    <x v="28"/>
    <n v="1"/>
  </r>
  <r>
    <s v="Post Procedural Haemorrhage"/>
    <x v="21"/>
    <n v="1"/>
  </r>
  <r>
    <s v="Covid-19"/>
    <x v="5"/>
    <n v="2"/>
  </r>
  <r>
    <s v="Impaired Healing"/>
    <x v="7"/>
    <n v="2"/>
  </r>
  <r>
    <s v="Skin Mass"/>
    <x v="7"/>
    <n v="1"/>
  </r>
  <r>
    <s v="Lung Disorder"/>
    <x v="5"/>
    <n v="1"/>
  </r>
  <r>
    <s v="Acute Coronary Syndrome"/>
    <x v="16"/>
    <n v="7"/>
  </r>
  <r>
    <s v="Ovarian Rupture"/>
    <x v="12"/>
    <n v="5"/>
  </r>
  <r>
    <s v="Haemoperitoneum"/>
    <x v="6"/>
    <n v="6"/>
  </r>
  <r>
    <s v="Leukopenia"/>
    <x v="21"/>
    <n v="3"/>
  </r>
  <r>
    <s v="Ovarian Haemorrhage"/>
    <x v="12"/>
    <n v="3"/>
  </r>
  <r>
    <s v="Electrocardiogram Qt Prolonged"/>
    <x v="16"/>
    <n v="3"/>
  </r>
  <r>
    <s v="Arrhythmia"/>
    <x v="16"/>
    <n v="2"/>
  </r>
  <r>
    <s v="Hypertriglyceridaemia"/>
    <x v="13"/>
    <n v="6"/>
  </r>
  <r>
    <s v="Hypercholesterolaemia"/>
    <x v="13"/>
    <n v="6"/>
  </r>
  <r>
    <s v="Hydronephrosis"/>
    <x v="17"/>
    <n v="4"/>
  </r>
  <r>
    <s v="Terminal State"/>
    <x v="8"/>
    <n v="1"/>
  </r>
  <r>
    <s v="Death"/>
    <x v="8"/>
    <n v="1"/>
  </r>
  <r>
    <s v="Acne"/>
    <x v="7"/>
    <n v="2"/>
  </r>
  <r>
    <s v="Breast Cyst"/>
    <x v="12"/>
    <n v="6"/>
  </r>
  <r>
    <s v="Tracheo-Oesophageal Fistula"/>
    <x v="6"/>
    <n v="1"/>
  </r>
  <r>
    <s v="Oesophageal Atresia"/>
    <x v="6"/>
    <n v="1"/>
  </r>
  <r>
    <s v="Congenital Anomaly"/>
    <x v="8"/>
    <n v="1"/>
  </r>
  <r>
    <s v="Abnormal Behaviour"/>
    <x v="2"/>
    <n v="1"/>
  </r>
  <r>
    <s v="Thrombocytopenia"/>
    <x v="21"/>
    <n v="2"/>
  </r>
  <r>
    <s v="Adverse Drug Reaction"/>
    <x v="8"/>
    <n v="1"/>
  </r>
  <r>
    <s v="Cerebral Infarction"/>
    <x v="2"/>
    <n v="1"/>
  </r>
  <r>
    <s v="Cerebral Artery Occlusion"/>
    <x v="2"/>
    <n v="1"/>
  </r>
  <r>
    <s v="Moyamoya Disease"/>
    <x v="2"/>
    <n v="1"/>
  </r>
  <r>
    <s v="Metastases To Neck"/>
    <x v="8"/>
    <n v="1"/>
  </r>
  <r>
    <s v="Musculoskeletal Stiffness"/>
    <x v="14"/>
    <n v="1"/>
  </r>
  <r>
    <s v="Ear Congestion"/>
    <x v="24"/>
    <n v="1"/>
  </r>
  <r>
    <s v="Cyst"/>
    <x v="8"/>
    <n v="1"/>
  </r>
  <r>
    <s v="Mastitis"/>
    <x v="12"/>
    <n v="1"/>
  </r>
  <r>
    <s v="Metastases To Spine"/>
    <x v="14"/>
    <n v="3"/>
  </r>
  <r>
    <s v="Paralysis"/>
    <x v="2"/>
    <n v="1"/>
  </r>
  <r>
    <s v="Neck Pain"/>
    <x v="14"/>
    <n v="1"/>
  </r>
  <r>
    <s v="Product Dose Omission Issue"/>
    <x v="8"/>
    <n v="1"/>
  </r>
  <r>
    <s v="Hepatitis Cholestatic"/>
    <x v="23"/>
    <n v="1"/>
  </r>
  <r>
    <s v="Oesophagitis"/>
    <x v="6"/>
    <n v="1"/>
  </r>
  <r>
    <s v="Metastases To Lung"/>
    <x v="5"/>
    <n v="2"/>
  </r>
  <r>
    <s v="Metastases To Pelvis"/>
    <x v="8"/>
    <n v="1"/>
  </r>
  <r>
    <s v="Tumour Marker Increased"/>
    <x v="8"/>
    <n v="3"/>
  </r>
  <r>
    <s v="Blepharospasm"/>
    <x v="2"/>
    <n v="1"/>
  </r>
  <r>
    <s v="Maternal Exposure Before Pregnancy"/>
    <x v="12"/>
    <n v="5"/>
  </r>
  <r>
    <s v="Colitis"/>
    <x v="6"/>
    <n v="1"/>
  </r>
  <r>
    <s v="Eczema"/>
    <x v="7"/>
    <n v="1"/>
  </r>
  <r>
    <s v="Herpes Zoster Disseminated"/>
    <x v="7"/>
    <n v="1"/>
  </r>
  <r>
    <s v="Facial Paralysis"/>
    <x v="2"/>
    <n v="1"/>
  </r>
  <r>
    <s v="Staphylococcal Skin Infection"/>
    <x v="7"/>
    <n v="1"/>
  </r>
  <r>
    <s v="Blister"/>
    <x v="7"/>
    <n v="1"/>
  </r>
  <r>
    <s v="Cellulitis"/>
    <x v="7"/>
    <n v="2"/>
  </r>
  <r>
    <s v="Herpes Zoster"/>
    <x v="7"/>
    <n v="2"/>
  </r>
  <r>
    <s v="Rash Vesicular"/>
    <x v="7"/>
    <n v="1"/>
  </r>
  <r>
    <s v="Heart Rate Increased"/>
    <x v="16"/>
    <n v="1"/>
  </r>
  <r>
    <s v="Pleural Effusion"/>
    <x v="5"/>
    <n v="1"/>
  </r>
  <r>
    <s v="Haemorrhagic Disorder"/>
    <x v="21"/>
    <n v="1"/>
  </r>
  <r>
    <s v="Amenorrhoea"/>
    <x v="12"/>
    <n v="2"/>
  </r>
  <r>
    <s v="Immunosuppression"/>
    <x v="3"/>
    <n v="1"/>
  </r>
  <r>
    <s v="Typical Aura Without Headache"/>
    <x v="2"/>
    <n v="1"/>
  </r>
  <r>
    <s v="Upper Respiratory Tract Infection"/>
    <x v="5"/>
    <n v="1"/>
  </r>
  <r>
    <s v="Coronary Artery Disease"/>
    <x v="16"/>
    <n v="1"/>
  </r>
  <r>
    <s v="Large Intestinal Ulcer"/>
    <x v="6"/>
    <n v="1"/>
  </r>
  <r>
    <s v="Restlessness"/>
    <x v="2"/>
    <n v="2"/>
  </r>
  <r>
    <s v="Tumour Pain"/>
    <x v="2"/>
    <n v="1"/>
  </r>
  <r>
    <s v="Pancytopenia"/>
    <x v="21"/>
    <n v="2"/>
  </r>
  <r>
    <s v="Tricuspid Valve Incompetence"/>
    <x v="16"/>
    <n v="2"/>
  </r>
  <r>
    <s v="Hypoxia"/>
    <x v="5"/>
    <n v="2"/>
  </r>
  <r>
    <s v="Pulmonary Hypertension"/>
    <x v="5"/>
    <n v="2"/>
  </r>
  <r>
    <s v="Lymphocyte Count Increased"/>
    <x v="21"/>
    <n v="2"/>
  </r>
  <r>
    <s v="Pulmonary Embolism"/>
    <x v="5"/>
    <n v="3"/>
  </r>
  <r>
    <s v="Diastolic Dysfunction"/>
    <x v="16"/>
    <n v="1"/>
  </r>
  <r>
    <s v="Bronchial Disorder"/>
    <x v="5"/>
    <n v="1"/>
  </r>
  <r>
    <s v="Tachycardia"/>
    <x v="16"/>
    <n v="2"/>
  </r>
  <r>
    <s v="Eosinophil Count Decreased"/>
    <x v="21"/>
    <n v="1"/>
  </r>
  <r>
    <s v="Sinus Tachycardia"/>
    <x v="16"/>
    <n v="1"/>
  </r>
  <r>
    <s v="Macrophages Increased"/>
    <x v="3"/>
    <n v="1"/>
  </r>
  <r>
    <s v="Oedema"/>
    <x v="8"/>
    <n v="1"/>
  </r>
  <r>
    <s v="Urine Odour Abnormal"/>
    <x v="17"/>
    <n v="1"/>
  </r>
  <r>
    <s v="Abortion Spontaneous"/>
    <x v="12"/>
    <n v="11"/>
  </r>
  <r>
    <s v="Blood Bilirubin Increased"/>
    <x v="23"/>
    <n v="1"/>
  </r>
  <r>
    <s v="Swelling"/>
    <x v="8"/>
    <n v="2"/>
  </r>
  <r>
    <s v="Fluid Retention"/>
    <x v="8"/>
    <n v="1"/>
  </r>
  <r>
    <s v="Productive Cough"/>
    <x v="5"/>
    <n v="2"/>
  </r>
  <r>
    <s v="Haemoptysis"/>
    <x v="5"/>
    <n v="1"/>
  </r>
  <r>
    <s v="Large Intestinal Obstruction"/>
    <x v="6"/>
    <n v="1"/>
  </r>
  <r>
    <s v="Breast Mass"/>
    <x v="12"/>
    <n v="1"/>
  </r>
  <r>
    <s v="Rib Fracture"/>
    <x v="14"/>
    <n v="1"/>
  </r>
  <r>
    <s v="Exposure To Radiation"/>
    <x v="8"/>
    <n v="1"/>
  </r>
  <r>
    <s v="Bronchial Wall Thickening"/>
    <x v="5"/>
    <n v="1"/>
  </r>
  <r>
    <s v="Sinus Congestion"/>
    <x v="5"/>
    <n v="1"/>
  </r>
  <r>
    <s v="Obesity"/>
    <x v="13"/>
    <n v="1"/>
  </r>
  <r>
    <s v="Sepsis"/>
    <x v="28"/>
    <n v="1"/>
  </r>
  <r>
    <s v="Arterial Injury"/>
    <x v="29"/>
    <n v="1"/>
  </r>
  <r>
    <s v="Deep Vein Thrombosis"/>
    <x v="29"/>
    <n v="1"/>
  </r>
  <r>
    <s v="Lymphangiosis Carcinomatosa"/>
    <x v="30"/>
    <n v="1"/>
  </r>
  <r>
    <s v="Platelet Count Abnormal"/>
    <x v="21"/>
    <n v="1"/>
  </r>
  <r>
    <s v="Electrocardiogram Abnormal"/>
    <x v="16"/>
    <n v="1"/>
  </r>
  <r>
    <s v="Joint Stiffness"/>
    <x v="14"/>
    <n v="1"/>
  </r>
  <r>
    <s v="Toxicity To Various Agents"/>
    <x v="8"/>
    <n v="1"/>
  </r>
  <r>
    <s v="Wound Complication"/>
    <x v="7"/>
    <n v="1"/>
  </r>
  <r>
    <s v="Foetal Death"/>
    <x v="12"/>
    <n v="1"/>
  </r>
  <r>
    <s v="Abortion Induced"/>
    <x v="12"/>
    <n v="3"/>
  </r>
  <r>
    <s v="Osteochondrodysplasia"/>
    <x v="14"/>
    <n v="1"/>
  </r>
  <r>
    <s v="Maternal Drugs Affecting Foetus"/>
    <x v="12"/>
    <n v="2"/>
  </r>
  <r>
    <s v="Haemorrhoidal Haemorrhage"/>
    <x v="6"/>
    <n v="1"/>
  </r>
  <r>
    <s v="Oesophageal Ulcer"/>
    <x v="6"/>
    <n v="1"/>
  </r>
  <r>
    <s v="Stomatitis"/>
    <x v="1"/>
    <n v="2"/>
  </r>
  <r>
    <s v="Breast Cancer Metastatic"/>
    <x v="12"/>
    <n v="3"/>
  </r>
  <r>
    <s v="Furuncle"/>
    <x v="7"/>
    <n v="1"/>
  </r>
  <r>
    <s v="Hyperglycaemia"/>
    <x v="22"/>
    <n v="1"/>
  </r>
  <r>
    <s v="Breast Pain"/>
    <x v="12"/>
    <n v="1"/>
  </r>
  <r>
    <s v="Staphylococcal Bacteraemia"/>
    <x v="28"/>
    <n v="1"/>
  </r>
  <r>
    <s v="Brain Fog"/>
    <x v="2"/>
    <n v="1"/>
  </r>
  <r>
    <s v="Exposure Via Partner"/>
    <x v="8"/>
    <n v="1"/>
  </r>
  <r>
    <s v="Cognitive Disorder"/>
    <x v="2"/>
    <n v="1"/>
  </r>
  <r>
    <s v="Mass"/>
    <x v="8"/>
    <n v="2"/>
  </r>
  <r>
    <s v="Discomfort"/>
    <x v="8"/>
    <n v="1"/>
  </r>
  <r>
    <s v="Musculoskeletal Chest Pain"/>
    <x v="14"/>
    <n v="2"/>
  </r>
  <r>
    <s v="Ascites"/>
    <x v="6"/>
    <n v="3"/>
  </r>
  <r>
    <s v="Left Ventricular Dysfunction"/>
    <x v="16"/>
    <n v="1"/>
  </r>
  <r>
    <s v="Feeding Disorder"/>
    <x v="6"/>
    <n v="1"/>
  </r>
  <r>
    <s v="Overdose"/>
    <x v="8"/>
    <n v="1"/>
  </r>
  <r>
    <s v="Contraindicated Product Administered"/>
    <x v="8"/>
    <n v="1"/>
  </r>
  <r>
    <s v="Haemorrhage"/>
    <x v="21"/>
    <n v="1"/>
  </r>
  <r>
    <s v="Infertility Female"/>
    <x v="12"/>
    <n v="1"/>
  </r>
  <r>
    <s v="Full Blood Count Decreased"/>
    <x v="21"/>
    <n v="2"/>
  </r>
  <r>
    <s v="Hyperfibrinolysis"/>
    <x v="21"/>
    <n v="1"/>
  </r>
  <r>
    <s v="Throat Tightness"/>
    <x v="5"/>
    <n v="1"/>
  </r>
  <r>
    <s v="Swelling Face"/>
    <x v="7"/>
    <n v="1"/>
  </r>
  <r>
    <s v="Scar"/>
    <x v="7"/>
    <n v="1"/>
  </r>
  <r>
    <s v="Spinal Osteoarthritis"/>
    <x v="14"/>
    <n v="1"/>
  </r>
  <r>
    <s v="Pleural Fibrosis"/>
    <x v="5"/>
    <n v="1"/>
  </r>
  <r>
    <s v="Osteoarthritis"/>
    <x v="14"/>
    <n v="1"/>
  </r>
  <r>
    <s v="Soft Tissue Mass"/>
    <x v="8"/>
    <n v="1"/>
  </r>
  <r>
    <s v="Bone Lesion"/>
    <x v="14"/>
    <n v="2"/>
  </r>
  <r>
    <s v="Breast Cancer Recurrent"/>
    <x v="12"/>
    <n v="1"/>
  </r>
  <r>
    <s v="Gallbladder Enlargement"/>
    <x v="26"/>
    <n v="1"/>
  </r>
  <r>
    <s v="Abdominal Tenderness"/>
    <x v="6"/>
    <n v="1"/>
  </r>
  <r>
    <s v="Fractured Coccyx"/>
    <x v="14"/>
    <n v="1"/>
  </r>
  <r>
    <s v="Lumbar Vertebral Fracture"/>
    <x v="14"/>
    <n v="1"/>
  </r>
  <r>
    <s v="Fall"/>
    <x v="8"/>
    <n v="2"/>
  </r>
  <r>
    <s v="Haematoma"/>
    <x v="21"/>
    <n v="1"/>
  </r>
  <r>
    <s v="Radiculopathy"/>
    <x v="2"/>
    <n v="1"/>
  </r>
  <r>
    <s v="Thrombosis"/>
    <x v="29"/>
    <n v="1"/>
  </r>
  <r>
    <s v="Blindness"/>
    <x v="0"/>
    <n v="1"/>
  </r>
  <r>
    <s v="Eye Disorder"/>
    <x v="0"/>
    <n v="2"/>
  </r>
  <r>
    <s v="Osteoporosis"/>
    <x v="14"/>
    <n v="2"/>
  </r>
  <r>
    <s v="Daydreaming"/>
    <x v="2"/>
    <n v="1"/>
  </r>
  <r>
    <s v="Cardiac Disorder"/>
    <x v="16"/>
    <n v="1"/>
  </r>
  <r>
    <s v="Gout"/>
    <x v="14"/>
    <n v="1"/>
  </r>
  <r>
    <s v="Teratogenicity"/>
    <x v="12"/>
    <n v="1"/>
  </r>
  <r>
    <s v="Pregnancy"/>
    <x v="12"/>
    <n v="2"/>
  </r>
  <r>
    <s v="Drug Exposure Before Pregnancy"/>
    <x v="12"/>
    <n v="1"/>
  </r>
  <r>
    <s v="Maternal Exposure Timing Unspecified"/>
    <x v="12"/>
    <n v="1"/>
  </r>
  <r>
    <s v="Quality Of Life Decreased"/>
    <x v="8"/>
    <n v="1"/>
  </r>
  <r>
    <s v="Fear"/>
    <x v="9"/>
    <n v="1"/>
  </r>
  <r>
    <s v="Tooth Abscess"/>
    <x v="1"/>
    <n v="1"/>
  </r>
  <r>
    <s v="Breath Odour"/>
    <x v="1"/>
    <n v="1"/>
  </r>
  <r>
    <s v="Fungal Infection"/>
    <x v="7"/>
    <n v="1"/>
  </r>
  <r>
    <s v="Osteonecrosis Of Jaw"/>
    <x v="14"/>
    <n v="1"/>
  </r>
  <r>
    <s v="Wound Secretion"/>
    <x v="7"/>
    <n v="1"/>
  </r>
  <r>
    <s v="Intervertebral Disc Protrusion"/>
    <x v="14"/>
    <n v="1"/>
  </r>
  <r>
    <s v="Mucosal Inflammation"/>
    <x v="8"/>
    <n v="1"/>
  </r>
  <r>
    <s v="Hepatic Steatosis"/>
    <x v="23"/>
    <n v="1"/>
  </r>
  <r>
    <s v="Abscess"/>
    <x v="8"/>
    <n v="1"/>
  </r>
  <r>
    <s v="Intervertebral Disc Degeneration"/>
    <x v="14"/>
    <n v="1"/>
  </r>
  <r>
    <s v="Hepatic Cyst"/>
    <x v="23"/>
    <n v="1"/>
  </r>
  <r>
    <s v="Immune System Disorder"/>
    <x v="3"/>
    <n v="1"/>
  </r>
  <r>
    <s v="Gingival Discomfort"/>
    <x v="1"/>
    <n v="1"/>
  </r>
  <r>
    <s v="Hip Fracture"/>
    <x v="14"/>
    <n v="1"/>
  </r>
  <r>
    <s v="Lichen Planus"/>
    <x v="7"/>
    <n v="1"/>
  </r>
  <r>
    <s v="Aspartate Aminotransferase Increased"/>
    <x v="23"/>
    <n v="2"/>
  </r>
  <r>
    <s v="Metastases To Central Nervous System"/>
    <x v="2"/>
    <n v="1"/>
  </r>
  <r>
    <s v="Pathological Fracture"/>
    <x v="14"/>
    <n v="1"/>
  </r>
  <r>
    <s v="Bone Erosion"/>
    <x v="14"/>
    <n v="1"/>
  </r>
  <r>
    <s v="Oral Pain"/>
    <x v="1"/>
    <n v="1"/>
  </r>
  <r>
    <s v="Gingival Disorder"/>
    <x v="1"/>
    <n v="1"/>
  </r>
  <r>
    <s v="Bone Disorder"/>
    <x v="14"/>
    <n v="1"/>
  </r>
  <r>
    <s v="Metastases To Lymph Nodes"/>
    <x v="30"/>
    <n v="1"/>
  </r>
  <r>
    <s v="Nephrolithiasis"/>
    <x v="17"/>
    <n v="1"/>
  </r>
  <r>
    <s v="Neoplasm"/>
    <x v="8"/>
    <n v="1"/>
  </r>
  <r>
    <s v="Chondrosarcoma"/>
    <x v="14"/>
    <n v="1"/>
  </r>
  <r>
    <s v="Uterine Polyp"/>
    <x v="12"/>
    <n v="1"/>
  </r>
  <r>
    <s v="Visual Impairment"/>
    <x v="0"/>
    <n v="1"/>
  </r>
  <r>
    <s v="Peristalsis Visible"/>
    <x v="6"/>
    <n v="1"/>
  </r>
  <r>
    <s v="Ocular Icterus"/>
    <x v="0"/>
    <n v="1"/>
  </r>
  <r>
    <s v="Neoplasm Malignant"/>
    <x v="8"/>
    <n v="1"/>
  </r>
  <r>
    <s v="Hepatic Cancer"/>
    <x v="23"/>
    <n v="1"/>
  </r>
  <r>
    <s v="Product Administration Error"/>
    <x v="8"/>
    <n v="1"/>
  </r>
  <r>
    <s v="Renal Disorder"/>
    <x v="25"/>
    <n v="1"/>
  </r>
  <r>
    <s v="Hypotension"/>
    <x v="16"/>
    <n v="1"/>
  </r>
  <r>
    <s v="Concomitant Disease Progression"/>
    <x v="8"/>
    <n v="1"/>
  </r>
  <r>
    <s v="Cholecystectomy"/>
    <x v="26"/>
    <n v="1"/>
  </r>
  <r>
    <s v="Product Residue Present"/>
    <x v="8"/>
    <n v="1"/>
  </r>
  <r>
    <s v="Clostridium Difficile Colitis"/>
    <x v="6"/>
    <n v="1"/>
  </r>
  <r>
    <s v="Colectomy Total"/>
    <x v="6"/>
    <n v="1"/>
  </r>
  <r>
    <s v="Ileostomy"/>
    <x v="6"/>
    <n v="1"/>
  </r>
  <r>
    <s v="Premature Labour"/>
    <x v="12"/>
    <n v="2"/>
  </r>
  <r>
    <s v="Multiple Pregnancy"/>
    <x v="12"/>
    <n v="1"/>
  </r>
  <r>
    <s v="Uterine Dilation And Curettage"/>
    <x v="12"/>
    <n v="1"/>
  </r>
  <r>
    <s v="Normal Newborn"/>
    <x v="12"/>
    <n v="2"/>
  </r>
  <r>
    <s v="Breech Presentation"/>
    <x v="12"/>
    <n v="1"/>
  </r>
  <r>
    <s v="Amniotic Fluid Volume Decreased"/>
    <x v="12"/>
    <n v="1"/>
  </r>
  <r>
    <s v="Twin Pregnancy"/>
    <x v="12"/>
    <n v="1"/>
  </r>
  <r>
    <s v="Foetal Heart Rate Abnormal"/>
    <x v="12"/>
    <n v="1"/>
  </r>
  <r>
    <s v="Complication Of Pregnancy"/>
    <x v="12"/>
    <n v="1"/>
  </r>
  <r>
    <s v="Arnold-Chiari Malformation"/>
    <x v="2"/>
    <n v="1"/>
  </r>
  <r>
    <s v="Spina Bifida"/>
    <x v="2"/>
    <n v="1"/>
  </r>
  <r>
    <s v="Neural Tube Defect"/>
    <x v="2"/>
    <n v="1"/>
  </r>
  <r>
    <s v="Ectopic Pregnancy"/>
    <x v="12"/>
    <n v="1"/>
  </r>
  <r>
    <s v="Nervous System Disorder"/>
    <x v="2"/>
    <n v="1"/>
  </r>
  <r>
    <s v="Demyelination"/>
    <x v="2"/>
    <n v="1"/>
  </r>
  <r>
    <s v="Ophthalmoplegia"/>
    <x v="2"/>
    <n v="1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Congenital Anomaly"/>
    <x v="0"/>
    <n v="1"/>
  </r>
  <r>
    <s v="Syndactyly"/>
    <x v="1"/>
    <n v="1"/>
  </r>
  <r>
    <s v="Maternal Exposure Before Pregnancy"/>
    <x v="2"/>
    <n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Vomiting"/>
    <x v="0"/>
    <n v="2"/>
  </r>
  <r>
    <s v="Abdominal Distension"/>
    <x v="0"/>
    <n v="2"/>
  </r>
  <r>
    <s v="Ascites"/>
    <x v="0"/>
    <n v="2"/>
  </r>
  <r>
    <s v="Ovarian Hyperstimulation Syndrome"/>
    <x v="1"/>
    <n v="2"/>
  </r>
  <r>
    <s v="Abdominal Pain"/>
    <x v="0"/>
    <n v="2"/>
  </r>
  <r>
    <s v="Nausea"/>
    <x v="0"/>
    <n v="2"/>
  </r>
  <r>
    <s v="Acute Promyelocytic Leukaemia"/>
    <x v="2"/>
    <n v="2"/>
  </r>
  <r>
    <s v="Myelosuppression"/>
    <x v="2"/>
    <n v="2"/>
  </r>
  <r>
    <s v="Product Use In Unapproved Indication"/>
    <x v="3"/>
    <n v="1"/>
  </r>
  <r>
    <s v="Off Label Use"/>
    <x v="3"/>
    <n v="1"/>
  </r>
  <r>
    <s v="Drug Ineffective"/>
    <x v="3"/>
    <n v="1"/>
  </r>
  <r>
    <s v="Migraine"/>
    <x v="4"/>
    <n v="1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Obsessive-Compulsive Symptom"/>
    <x v="0"/>
    <n v="3"/>
  </r>
  <r>
    <s v="Off Label Use"/>
    <x v="1"/>
    <n v="7"/>
  </r>
  <r>
    <s v="Rhabdomyolysis"/>
    <x v="2"/>
    <n v="3"/>
  </r>
  <r>
    <s v="Drug Interaction"/>
    <x v="1"/>
    <n v="3"/>
  </r>
  <r>
    <s v="Stress Fracture"/>
    <x v="2"/>
    <n v="1"/>
  </r>
  <r>
    <s v="Product Administered To Patient Of Inappropriate Age"/>
    <x v="1"/>
    <n v="1"/>
  </r>
  <r>
    <s v="Erectile Dysfunction"/>
    <x v="3"/>
    <n v="1"/>
  </r>
  <r>
    <s v="Paraesthesia"/>
    <x v="0"/>
    <n v="1"/>
  </r>
  <r>
    <s v="Viral Infection"/>
    <x v="1"/>
    <n v="1"/>
  </r>
  <r>
    <s v="Injection Site Pain"/>
    <x v="1"/>
    <n v="1"/>
  </r>
  <r>
    <s v="Muscular Weakness"/>
    <x v="2"/>
    <n v="1"/>
  </r>
  <r>
    <s v="Facial Paralysis"/>
    <x v="0"/>
    <n v="1"/>
  </r>
  <r>
    <s v="Lack Of Injection Site Rotation"/>
    <x v="1"/>
    <n v="1"/>
  </r>
  <r>
    <s v="Dyspnoea"/>
    <x v="4"/>
    <n v="1"/>
  </r>
  <r>
    <s v="Neuritis"/>
    <x v="0"/>
    <n v="1"/>
  </r>
  <r>
    <s v="Epiphysiolysis"/>
    <x v="2"/>
    <n v="4"/>
  </r>
  <r>
    <s v="Gait Disturbance"/>
    <x v="0"/>
    <n v="1"/>
  </r>
  <r>
    <s v="Product Use In Unapproved Indication"/>
    <x v="1"/>
    <n v="1"/>
  </r>
  <r>
    <s v="Arthralgia"/>
    <x v="2"/>
    <n v="2"/>
  </r>
  <r>
    <s v="Decreased Activity"/>
    <x v="1"/>
    <n v="1"/>
  </r>
  <r>
    <s v="Raynaud's Phenomenon"/>
    <x v="5"/>
    <n v="1"/>
  </r>
  <r>
    <s v="Hot Flush"/>
    <x v="1"/>
    <n v="1"/>
  </r>
  <r>
    <s v="Cyanosis"/>
    <x v="1"/>
    <n v="1"/>
  </r>
  <r>
    <s v="Autonomic Nervous System Imbalance"/>
    <x v="0"/>
    <n v="1"/>
  </r>
  <r>
    <s v="Rash Pruritic"/>
    <x v="6"/>
    <n v="1"/>
  </r>
  <r>
    <s v="Urticaria"/>
    <x v="6"/>
    <n v="1"/>
  </r>
  <r>
    <s v="Ventricular Hypertrophy"/>
    <x v="5"/>
    <n v="1"/>
  </r>
  <r>
    <s v="Hypertension"/>
    <x v="5"/>
    <n v="1"/>
  </r>
  <r>
    <s v="Myocardial Necrosis Marker Increased"/>
    <x v="5"/>
    <n v="1"/>
  </r>
  <r>
    <s v="Troponin Increased"/>
    <x v="5"/>
    <n v="1"/>
  </r>
  <r>
    <s v="Pain In Extremity"/>
    <x v="2"/>
    <n v="1"/>
  </r>
  <r>
    <s v="Myocardial Infarction"/>
    <x v="5"/>
    <n v="1"/>
  </r>
  <r>
    <s v="Arteriospasm Coronary"/>
    <x v="5"/>
    <n v="1"/>
  </r>
  <r>
    <s v="Blood Creatine Phosphokinase Mb Increased"/>
    <x v="2"/>
    <n v="1"/>
  </r>
  <r>
    <s v="Cardiac Failure"/>
    <x v="5"/>
    <n v="1"/>
  </r>
  <r>
    <s v="Headache"/>
    <x v="0"/>
    <n v="1"/>
  </r>
  <r>
    <s v="Anticonvulsant Drug Level Above Therapeutic"/>
    <x v="0"/>
    <n v="1"/>
  </r>
  <r>
    <s v="Cerebrovascular Accident"/>
    <x v="0"/>
    <n v="1"/>
  </r>
  <r>
    <s v="Artery Dissection"/>
    <x v="5"/>
    <n v="1"/>
  </r>
  <r>
    <s v="Depression"/>
    <x v="0"/>
    <n v="1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Adverse Event"/>
    <x v="0"/>
    <n v="1"/>
  </r>
  <r>
    <s v="Condition Aggravated"/>
    <x v="0"/>
    <n v="1"/>
  </r>
  <r>
    <s v="Eosinophil Count Decreased"/>
    <x v="1"/>
    <n v="1"/>
  </r>
  <r>
    <s v="Mean Cell Volume Increased"/>
    <x v="1"/>
    <n v="1"/>
  </r>
  <r>
    <s v="Blood Potassium Decreased"/>
    <x v="2"/>
    <n v="1"/>
  </r>
  <r>
    <s v="Arthralgia"/>
    <x v="3"/>
    <n v="1"/>
  </r>
  <r>
    <s v="Neutrophil Count Decreased"/>
    <x v="1"/>
    <n v="1"/>
  </r>
  <r>
    <s v="Blood Glucose Increased"/>
    <x v="4"/>
    <n v="1"/>
  </r>
  <r>
    <s v="Blood Albumin Increased"/>
    <x v="2"/>
    <n v="1"/>
  </r>
  <r>
    <s v="Red Blood Cell Count Increased"/>
    <x v="1"/>
    <n v="1"/>
  </r>
  <r>
    <s v="Blood Chloride Decreased"/>
    <x v="2"/>
    <n v="1"/>
  </r>
  <r>
    <s v="Headache"/>
    <x v="5"/>
    <n v="1"/>
  </r>
  <r>
    <s v="Blood Urea Increased"/>
    <x v="6"/>
    <n v="1"/>
  </r>
  <r>
    <s v="Precocious Puberty"/>
    <x v="4"/>
    <n v="1"/>
  </r>
  <r>
    <s v="Blood Thyroid Stimulating Hormone Incr"/>
    <x v="4"/>
    <n v="1"/>
  </r>
  <r>
    <s v="Lymphocyte Count Increased"/>
    <x v="1"/>
    <n v="1"/>
  </r>
  <r>
    <s v="Haemoglobin Increased"/>
    <x v="1"/>
    <n v="1"/>
  </r>
  <r>
    <s v="Hyperprolactinaemia"/>
    <x v="4"/>
    <n v="1"/>
  </r>
  <r>
    <s v="Haematocrit Increased"/>
    <x v="1"/>
    <n v="1"/>
  </r>
  <r>
    <s v="Basophil Count Increased"/>
    <x v="1"/>
    <n v="1"/>
  </r>
  <r>
    <s v="Snoring"/>
    <x v="7"/>
    <n v="1"/>
  </r>
  <r>
    <s v="Pituitary Tumour Benign"/>
    <x v="4"/>
    <n v="1"/>
  </r>
  <r>
    <s v="Product Use In Unapproved Indication"/>
    <x v="0"/>
    <n v="1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Foetal Exposure During Pregnancy"/>
    <x v="0"/>
    <n v="1"/>
  </r>
  <r>
    <s v="Microtia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33951-F5B9-4301-8EF8-2BA269ECB6EC}" name="PivotTable14" cacheId="97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F7" firstHeaderRow="1" firstDataRow="1" firstDataCol="1"/>
  <pivotFields count="3">
    <pivotField showAll="0"/>
    <pivotField axis="axisRow" showAll="0">
      <items count="3">
        <item x="1"/>
        <item x="0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Frequenc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C3326-7EA0-4F3F-919D-1E7CE15BA5F2}" name="PivotTable13" cacheId="97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G13" firstHeaderRow="1" firstDataRow="1" firstDataCol="1"/>
  <pivotFields count="3">
    <pivotField showAll="0"/>
    <pivotField axis="axisRow" showAll="0">
      <items count="9">
        <item x="4"/>
        <item x="0"/>
        <item x="1"/>
        <item x="2"/>
        <item x="3"/>
        <item x="5"/>
        <item x="6"/>
        <item x="7"/>
        <item t="default"/>
      </items>
    </pivotField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Frequenc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1E7E1-A98A-4CE5-B9CC-0888B10535DD}" name="PivotTable12" cacheId="97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G13" firstHeaderRow="1" firstDataRow="1" firstDataCol="1"/>
  <pivotFields count="3">
    <pivotField showAll="0"/>
    <pivotField axis="axisRow" showAll="0">
      <items count="8">
        <item x="5"/>
        <item x="1"/>
        <item x="6"/>
        <item x="2"/>
        <item x="0"/>
        <item x="3"/>
        <item x="4"/>
        <item t="default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Frequenc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AFEE3-77AC-471D-BDEC-7A6A17D5763E}" name="PivotTable11" cacheId="97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G11" firstHeaderRow="1" firstDataRow="1" firstDataCol="1"/>
  <pivotFields count="3"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requenc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6C10B-36EE-42DA-B64D-136AE0CD9EB7}" name="PivotTable10" cacheId="97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G9" firstHeaderRow="1" firstDataRow="1" firstDataCol="1"/>
  <pivotFields count="3"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requenc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669E3-CE62-4866-B83A-65D1529012E0}" name="PivotTable9" cacheId="97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:G18" firstHeaderRow="1" firstDataRow="1" firstDataCol="1"/>
  <pivotFields count="3">
    <pivotField showAll="0"/>
    <pivotField axis="axisRow" showAll="0">
      <items count="32">
        <item h="1" x="24"/>
        <item h="1" x="26"/>
        <item x="16"/>
        <item h="1" x="15"/>
        <item x="22"/>
        <item h="1" x="4"/>
        <item h="1" x="18"/>
        <item h="1" x="10"/>
        <item x="6"/>
        <item h="1" x="8"/>
        <item h="1" x="19"/>
        <item h="1" x="21"/>
        <item h="1" x="20"/>
        <item x="23"/>
        <item h="1" x="3"/>
        <item h="1" x="28"/>
        <item h="1" x="7"/>
        <item h="1" x="30"/>
        <item x="9"/>
        <item h="1" x="13"/>
        <item h="1" x="11"/>
        <item h="1" x="14"/>
        <item x="2"/>
        <item x="0"/>
        <item h="1" x="1"/>
        <item x="27"/>
        <item x="25"/>
        <item h="1" x="12"/>
        <item x="5"/>
        <item x="17"/>
        <item h="1" x="29"/>
        <item t="default"/>
      </items>
    </pivotField>
    <pivotField dataField="1" showAll="0"/>
  </pivotFields>
  <rowFields count="1">
    <field x="1"/>
  </rowFields>
  <rowItems count="12">
    <i>
      <x v="2"/>
    </i>
    <i>
      <x v="4"/>
    </i>
    <i>
      <x v="8"/>
    </i>
    <i>
      <x v="13"/>
    </i>
    <i>
      <x v="18"/>
    </i>
    <i>
      <x v="22"/>
    </i>
    <i>
      <x v="23"/>
    </i>
    <i>
      <x v="25"/>
    </i>
    <i>
      <x v="26"/>
    </i>
    <i>
      <x v="28"/>
    </i>
    <i>
      <x v="29"/>
    </i>
    <i t="grand">
      <x/>
    </i>
  </rowItems>
  <colItems count="1">
    <i/>
  </colItems>
  <dataFields count="1">
    <dataField name="Sum of Frequenc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1F929-6711-4614-AD64-0AAB9BF8BDAF}" name="PivotTable8" cacheId="96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G12" firstHeaderRow="1" firstDataRow="1" firstDataCol="1"/>
  <pivotFields count="3">
    <pivotField showAll="0"/>
    <pivotField axis="axisRow" showAll="0">
      <items count="7">
        <item x="2"/>
        <item x="0"/>
        <item x="1"/>
        <item x="4"/>
        <item x="3"/>
        <item x="5"/>
        <item t="default"/>
      </items>
    </pivotField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Frequenc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7B99C-5F0E-4F49-AC0C-CEDFC2E7C169}" name="PivotTable7" cacheId="96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:G20" firstHeaderRow="1" firstDataRow="1" firstDataCol="1"/>
  <pivotFields count="3">
    <pivotField showAll="0"/>
    <pivotField axis="axisRow" showAll="0">
      <items count="31">
        <item h="1" x="28"/>
        <item h="1" x="22"/>
        <item h="1" x="2"/>
        <item x="3"/>
        <item x="5"/>
        <item x="6"/>
        <item h="1" x="0"/>
        <item h="1" x="19"/>
        <item h="1" x="13"/>
        <item x="1"/>
        <item x="26"/>
        <item h="1" x="17"/>
        <item h="1" x="12"/>
        <item h="1" x="15"/>
        <item h="1" x="9"/>
        <item h="1" x="21"/>
        <item x="7"/>
        <item h="1" x="16"/>
        <item h="1" x="4"/>
        <item h="1" x="8"/>
        <item x="11"/>
        <item x="18"/>
        <item h="1" x="23"/>
        <item x="29"/>
        <item x="27"/>
        <item x="24"/>
        <item h="1" x="20"/>
        <item x="14"/>
        <item x="25"/>
        <item h="1" x="10"/>
        <item t="default"/>
      </items>
    </pivotField>
    <pivotField dataField="1" showAll="0"/>
  </pivotFields>
  <rowFields count="1">
    <field x="1"/>
  </rowFields>
  <rowItems count="14">
    <i>
      <x v="3"/>
    </i>
    <i>
      <x v="4"/>
    </i>
    <i>
      <x v="5"/>
    </i>
    <i>
      <x v="9"/>
    </i>
    <i>
      <x v="10"/>
    </i>
    <i>
      <x v="16"/>
    </i>
    <i>
      <x v="20"/>
    </i>
    <i>
      <x v="21"/>
    </i>
    <i>
      <x v="23"/>
    </i>
    <i>
      <x v="24"/>
    </i>
    <i>
      <x v="25"/>
    </i>
    <i>
      <x v="27"/>
    </i>
    <i>
      <x v="28"/>
    </i>
    <i t="grand">
      <x/>
    </i>
  </rowItems>
  <colItems count="1">
    <i/>
  </colItems>
  <dataFields count="1">
    <dataField name="Sum of Frequenc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C4FBA-6C8F-4814-8213-B0524EC06E25}" name="PivotTable6" cacheId="96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16" firstHeaderRow="1" firstDataRow="1" firstDataCol="1"/>
  <pivotFields count="3">
    <pivotField showAll="0"/>
    <pivotField axis="axisRow" showAll="0">
      <items count="11">
        <item x="9"/>
        <item x="4"/>
        <item x="7"/>
        <item x="1"/>
        <item x="8"/>
        <item x="3"/>
        <item x="5"/>
        <item x="0"/>
        <item x="2"/>
        <item x="6"/>
        <item t="default"/>
      </items>
    </pivotField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Frequenc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172A1-727F-4D96-AB36-E50809B06B04}" name="PivotTable5" cacheId="96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G19" firstHeaderRow="1" firstDataRow="1" firstDataCol="1"/>
  <pivotFields count="3">
    <pivotField showAll="0"/>
    <pivotField axis="axisRow" showAll="0">
      <items count="32">
        <item h="1" x="23"/>
        <item h="1" x="24"/>
        <item h="1" x="20"/>
        <item x="26"/>
        <item x="7"/>
        <item x="12"/>
        <item x="3"/>
        <item h="1" x="4"/>
        <item h="1" x="25"/>
        <item h="1" x="5"/>
        <item x="2"/>
        <item h="1" x="22"/>
        <item h="1" x="8"/>
        <item h="1" x="28"/>
        <item h="1" x="9"/>
        <item h="1" x="16"/>
        <item x="18"/>
        <item h="1" x="13"/>
        <item h="1" x="11"/>
        <item h="1" x="1"/>
        <item x="0"/>
        <item x="19"/>
        <item h="1" x="14"/>
        <item x="29"/>
        <item x="27"/>
        <item x="17"/>
        <item h="1" x="6"/>
        <item x="10"/>
        <item h="1" x="30"/>
        <item x="15"/>
        <item h="1" x="21"/>
        <item t="default"/>
      </items>
    </pivotField>
    <pivotField dataField="1" showAll="0"/>
  </pivotFields>
  <rowFields count="1">
    <field x="1"/>
  </rowFields>
  <rowItems count="14">
    <i>
      <x v="3"/>
    </i>
    <i>
      <x v="4"/>
    </i>
    <i>
      <x v="5"/>
    </i>
    <i>
      <x v="6"/>
    </i>
    <i>
      <x v="10"/>
    </i>
    <i>
      <x v="16"/>
    </i>
    <i>
      <x v="20"/>
    </i>
    <i>
      <x v="21"/>
    </i>
    <i>
      <x v="23"/>
    </i>
    <i>
      <x v="24"/>
    </i>
    <i>
      <x v="25"/>
    </i>
    <i>
      <x v="27"/>
    </i>
    <i>
      <x v="29"/>
    </i>
    <i t="grand">
      <x/>
    </i>
  </rowItems>
  <colItems count="1">
    <i/>
  </colItems>
  <dataFields count="1">
    <dataField name="Sum of Frequenc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BCB5A-2031-4BEB-BE11-CDF854AE0258}" name="PivotTable4" cacheId="96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G18" firstHeaderRow="1" firstDataRow="1" firstDataCol="1"/>
  <pivotFields count="3">
    <pivotField showAll="0"/>
    <pivotField axis="axisRow" showAll="0">
      <items count="13">
        <item x="5"/>
        <item x="0"/>
        <item x="1"/>
        <item x="2"/>
        <item x="8"/>
        <item x="11"/>
        <item x="6"/>
        <item x="4"/>
        <item x="9"/>
        <item x="3"/>
        <item x="7"/>
        <item x="10"/>
        <item t="default"/>
      </items>
    </pivotField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Frequenc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B9EAFB-971A-4018-8BBE-7EAA196C8578}" name="PivotTable3" cacheId="96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F21" firstHeaderRow="1" firstDataRow="1" firstDataCol="1"/>
  <pivotFields count="3">
    <pivotField showAll="0"/>
    <pivotField axis="axisRow" showAll="0">
      <items count="46">
        <item h="1" x="44"/>
        <item h="1" x="30"/>
        <item h="1" x="34"/>
        <item x="4"/>
        <item x="38"/>
        <item x="29"/>
        <item h="1" x="42"/>
        <item x="14"/>
        <item h="1" x="35"/>
        <item x="7"/>
        <item h="1" x="36"/>
        <item h="1" x="0"/>
        <item h="1" x="15"/>
        <item x="8"/>
        <item x="37"/>
        <item x="28"/>
        <item h="1" x="1"/>
        <item x="39"/>
        <item h="1" x="12"/>
        <item h="1" x="5"/>
        <item h="1" x="40"/>
        <item h="1" x="23"/>
        <item h="1" x="11"/>
        <item x="33"/>
        <item h="1" x="16"/>
        <item h="1" x="17"/>
        <item h="1" x="10"/>
        <item h="1" x="41"/>
        <item h="1" x="6"/>
        <item h="1" x="31"/>
        <item h="1" x="19"/>
        <item x="32"/>
        <item x="2"/>
        <item h="1" x="13"/>
        <item h="1" x="24"/>
        <item h="1" x="43"/>
        <item h="1" x="21"/>
        <item x="18"/>
        <item x="25"/>
        <item h="1" x="20"/>
        <item x="9"/>
        <item h="1" x="27"/>
        <item h="1" x="26"/>
        <item h="1" x="22"/>
        <item x="3"/>
        <item t="default"/>
      </items>
    </pivotField>
    <pivotField dataField="1" showAll="0"/>
  </pivotFields>
  <rowFields count="1">
    <field x="1"/>
  </rowFields>
  <rowItems count="17">
    <i>
      <x v="3"/>
    </i>
    <i>
      <x v="4"/>
    </i>
    <i>
      <x v="5"/>
    </i>
    <i>
      <x v="7"/>
    </i>
    <i>
      <x v="9"/>
    </i>
    <i>
      <x v="13"/>
    </i>
    <i>
      <x v="14"/>
    </i>
    <i>
      <x v="15"/>
    </i>
    <i>
      <x v="17"/>
    </i>
    <i>
      <x v="23"/>
    </i>
    <i>
      <x v="31"/>
    </i>
    <i>
      <x v="32"/>
    </i>
    <i>
      <x v="37"/>
    </i>
    <i>
      <x v="38"/>
    </i>
    <i>
      <x v="40"/>
    </i>
    <i>
      <x v="44"/>
    </i>
    <i t="grand">
      <x/>
    </i>
  </rowItems>
  <colItems count="1">
    <i/>
  </colItems>
  <dataFields count="1">
    <dataField name="Sum of Frequenc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A40C0-A2F1-4681-8928-9720D7449F9C}" name="PivotTable2" cacheId="96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20" firstHeaderRow="1" firstDataRow="1" firstDataCol="1"/>
  <pivotFields count="3">
    <pivotField showAll="0"/>
    <pivotField axis="axisRow" showAll="0">
      <items count="17">
        <item x="12"/>
        <item x="1"/>
        <item x="8"/>
        <item x="9"/>
        <item x="10"/>
        <item x="11"/>
        <item x="3"/>
        <item x="4"/>
        <item x="5"/>
        <item x="2"/>
        <item x="6"/>
        <item x="13"/>
        <item x="14"/>
        <item x="0"/>
        <item x="7"/>
        <item x="15"/>
        <item t="default"/>
      </items>
    </pivotField>
    <pivotField dataField="1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Frequenc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04FC4-6484-458E-A4FA-0911EBF3AE6A}" name="PivotTable1" cacheId="96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G16" firstHeaderRow="1" firstDataRow="1" firstDataCol="1"/>
  <pivotFields count="3">
    <pivotField showAll="0"/>
    <pivotField axis="axisRow" showAll="0">
      <items count="30">
        <item h="1" x="20"/>
        <item h="1" x="24"/>
        <item x="2"/>
        <item x="27"/>
        <item h="1" x="17"/>
        <item h="1" x="12"/>
        <item x="25"/>
        <item h="1" x="13"/>
        <item x="1"/>
        <item h="1" x="7"/>
        <item h="1" x="16"/>
        <item h="1" x="15"/>
        <item x="21"/>
        <item h="1" x="23"/>
        <item h="1" x="26"/>
        <item h="1" x="5"/>
        <item h="1" x="11"/>
        <item h="1" x="9"/>
        <item h="1" x="6"/>
        <item x="4"/>
        <item h="1" x="10"/>
        <item x="18"/>
        <item x="3"/>
        <item h="1" x="19"/>
        <item x="0"/>
        <item h="1" x="8"/>
        <item h="1" x="22"/>
        <item h="1" x="28"/>
        <item x="14"/>
        <item t="default"/>
      </items>
    </pivotField>
    <pivotField dataField="1" showAll="0"/>
  </pivotFields>
  <rowFields count="1">
    <field x="1"/>
  </rowFields>
  <rowItems count="11">
    <i>
      <x v="2"/>
    </i>
    <i>
      <x v="3"/>
    </i>
    <i>
      <x v="6"/>
    </i>
    <i>
      <x v="8"/>
    </i>
    <i>
      <x v="12"/>
    </i>
    <i>
      <x v="19"/>
    </i>
    <i>
      <x v="21"/>
    </i>
    <i>
      <x v="22"/>
    </i>
    <i>
      <x v="24"/>
    </i>
    <i>
      <x v="28"/>
    </i>
    <i t="grand">
      <x/>
    </i>
  </rowItems>
  <colItems count="1">
    <i/>
  </colItems>
  <dataFields count="1">
    <dataField name="Sum of Frequenc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tabSelected="1" workbookViewId="0">
      <selection activeCell="H10" sqref="H10"/>
    </sheetView>
  </sheetViews>
  <sheetFormatPr defaultRowHeight="14.45"/>
  <sheetData>
    <row r="1" spans="1:2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3"/>
  <sheetViews>
    <sheetView topLeftCell="B1" workbookViewId="0">
      <selection activeCell="G13" sqref="G13"/>
    </sheetView>
  </sheetViews>
  <sheetFormatPr defaultRowHeight="14.45"/>
  <cols>
    <col min="1" max="1" width="37.85546875" customWidth="1"/>
    <col min="2" max="2" width="15.85546875" customWidth="1"/>
    <col min="5" max="5" width="12.42578125" bestFit="1" customWidth="1"/>
    <col min="6" max="6" width="15.85546875" bestFit="1" customWidth="1"/>
  </cols>
  <sheetData>
    <row r="1" spans="1:8">
      <c r="A1" s="1" t="s">
        <v>0</v>
      </c>
      <c r="B1" s="2" t="s">
        <v>2</v>
      </c>
      <c r="C1" s="1" t="s">
        <v>1</v>
      </c>
    </row>
    <row r="2" spans="1:8">
      <c r="A2" t="s">
        <v>3</v>
      </c>
      <c r="B2" t="s">
        <v>4</v>
      </c>
      <c r="C2">
        <v>1</v>
      </c>
    </row>
    <row r="3" spans="1:8">
      <c r="A3" t="s">
        <v>5</v>
      </c>
      <c r="B3" t="s">
        <v>6</v>
      </c>
      <c r="C3">
        <v>1</v>
      </c>
    </row>
    <row r="4" spans="1:8">
      <c r="E4" s="7" t="s">
        <v>7</v>
      </c>
      <c r="F4" t="s">
        <v>8</v>
      </c>
      <c r="G4" t="s">
        <v>9</v>
      </c>
      <c r="H4" t="s">
        <v>10</v>
      </c>
    </row>
    <row r="5" spans="1:8">
      <c r="A5" s="2" t="s">
        <v>11</v>
      </c>
      <c r="E5" s="8" t="s">
        <v>6</v>
      </c>
      <c r="F5">
        <v>1</v>
      </c>
      <c r="G5">
        <v>1</v>
      </c>
      <c r="H5">
        <v>1</v>
      </c>
    </row>
    <row r="6" spans="1:8">
      <c r="A6" s="2" t="s">
        <v>0</v>
      </c>
      <c r="B6" s="2" t="s">
        <v>1</v>
      </c>
      <c r="C6" s="2"/>
      <c r="E6" s="8" t="s">
        <v>4</v>
      </c>
      <c r="F6">
        <v>1</v>
      </c>
      <c r="G6">
        <v>1</v>
      </c>
      <c r="H6">
        <v>1</v>
      </c>
    </row>
    <row r="7" spans="1:8">
      <c r="A7" t="s">
        <v>3</v>
      </c>
      <c r="B7">
        <v>1</v>
      </c>
      <c r="E7" s="8" t="s">
        <v>12</v>
      </c>
      <c r="F7">
        <v>2</v>
      </c>
    </row>
    <row r="8" spans="1:8">
      <c r="A8" s="2" t="s">
        <v>9</v>
      </c>
      <c r="B8" s="2">
        <v>1</v>
      </c>
    </row>
    <row r="9" spans="1:8">
      <c r="A9" s="2"/>
    </row>
    <row r="10" spans="1:8">
      <c r="A10" s="2" t="s">
        <v>13</v>
      </c>
      <c r="C10" s="2"/>
    </row>
    <row r="11" spans="1:8">
      <c r="A11" s="2" t="s">
        <v>0</v>
      </c>
      <c r="B11" s="2" t="s">
        <v>1</v>
      </c>
    </row>
    <row r="12" spans="1:8">
      <c r="A12" t="s">
        <v>5</v>
      </c>
      <c r="B12">
        <v>1</v>
      </c>
    </row>
    <row r="13" spans="1:8">
      <c r="A13" s="2" t="s">
        <v>9</v>
      </c>
      <c r="B13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79"/>
  <sheetViews>
    <sheetView topLeftCell="C1" workbookViewId="0">
      <selection activeCell="I11" sqref="I11"/>
    </sheetView>
  </sheetViews>
  <sheetFormatPr defaultRowHeight="14.45"/>
  <cols>
    <col min="1" max="1" width="33.85546875" customWidth="1"/>
    <col min="6" max="6" width="14.28515625" bestFit="1" customWidth="1"/>
    <col min="7" max="7" width="15.85546875" bestFit="1" customWidth="1"/>
  </cols>
  <sheetData>
    <row r="1" spans="1:9" s="2" customFormat="1" ht="27" thickBot="1">
      <c r="A1" s="5" t="s">
        <v>14</v>
      </c>
      <c r="B1" s="5" t="s">
        <v>2</v>
      </c>
      <c r="C1" s="5" t="s">
        <v>1</v>
      </c>
    </row>
    <row r="2" spans="1:9" ht="15" thickBot="1">
      <c r="A2" s="3" t="s">
        <v>15</v>
      </c>
      <c r="B2" s="3" t="s">
        <v>16</v>
      </c>
      <c r="C2" s="4">
        <v>1</v>
      </c>
    </row>
    <row r="3" spans="1:9" ht="15" thickBot="1">
      <c r="A3" s="3" t="s">
        <v>17</v>
      </c>
      <c r="B3" s="3" t="s">
        <v>16</v>
      </c>
      <c r="C3" s="4">
        <v>1</v>
      </c>
    </row>
    <row r="4" spans="1:9" ht="26.45" thickBot="1">
      <c r="A4" s="3" t="s">
        <v>18</v>
      </c>
      <c r="B4" s="3" t="s">
        <v>19</v>
      </c>
      <c r="C4" s="4">
        <v>1</v>
      </c>
      <c r="F4" s="7" t="s">
        <v>7</v>
      </c>
      <c r="G4" t="s">
        <v>8</v>
      </c>
      <c r="H4" t="s">
        <v>20</v>
      </c>
      <c r="I4" t="s">
        <v>10</v>
      </c>
    </row>
    <row r="5" spans="1:9" ht="26.45" thickBot="1">
      <c r="A5" s="3" t="s">
        <v>21</v>
      </c>
      <c r="B5" s="3" t="s">
        <v>19</v>
      </c>
      <c r="C5" s="4">
        <v>1</v>
      </c>
      <c r="F5" s="8" t="s">
        <v>22</v>
      </c>
      <c r="G5">
        <v>5</v>
      </c>
      <c r="H5">
        <v>3</v>
      </c>
      <c r="I5">
        <f>G5/H5</f>
        <v>1.6666666666666667</v>
      </c>
    </row>
    <row r="6" spans="1:9" ht="15" thickBot="1">
      <c r="A6" s="3" t="s">
        <v>23</v>
      </c>
      <c r="B6" s="3" t="s">
        <v>24</v>
      </c>
      <c r="C6" s="4">
        <v>1</v>
      </c>
      <c r="F6" s="8" t="s">
        <v>16</v>
      </c>
      <c r="G6">
        <v>3</v>
      </c>
      <c r="H6">
        <v>3</v>
      </c>
      <c r="I6">
        <f t="shared" ref="I6:I12" si="0">G6/H6</f>
        <v>1</v>
      </c>
    </row>
    <row r="7" spans="1:9" ht="26.45" thickBot="1">
      <c r="A7" s="3" t="s">
        <v>25</v>
      </c>
      <c r="B7" s="3" t="s">
        <v>26</v>
      </c>
      <c r="C7" s="4">
        <v>1</v>
      </c>
      <c r="F7" s="8" t="s">
        <v>19</v>
      </c>
      <c r="G7">
        <v>8</v>
      </c>
      <c r="H7">
        <v>3</v>
      </c>
      <c r="I7">
        <f t="shared" si="0"/>
        <v>2.6666666666666665</v>
      </c>
    </row>
    <row r="8" spans="1:9" ht="26.45" thickBot="1">
      <c r="A8" s="3" t="s">
        <v>27</v>
      </c>
      <c r="B8" s="3" t="s">
        <v>19</v>
      </c>
      <c r="C8" s="4">
        <v>1</v>
      </c>
      <c r="F8" s="8" t="s">
        <v>24</v>
      </c>
      <c r="G8">
        <v>3</v>
      </c>
      <c r="H8">
        <v>3</v>
      </c>
      <c r="I8">
        <f t="shared" si="0"/>
        <v>1</v>
      </c>
    </row>
    <row r="9" spans="1:9" ht="15" thickBot="1">
      <c r="A9" s="3" t="s">
        <v>28</v>
      </c>
      <c r="B9" s="3" t="s">
        <v>22</v>
      </c>
      <c r="C9" s="4">
        <v>1</v>
      </c>
      <c r="F9" s="8" t="s">
        <v>26</v>
      </c>
      <c r="G9">
        <v>1</v>
      </c>
      <c r="H9">
        <v>3</v>
      </c>
      <c r="I9">
        <f t="shared" si="0"/>
        <v>0.33333333333333331</v>
      </c>
    </row>
    <row r="10" spans="1:9" ht="15" thickBot="1">
      <c r="A10" s="3" t="s">
        <v>29</v>
      </c>
      <c r="B10" s="3" t="s">
        <v>24</v>
      </c>
      <c r="C10" s="4">
        <v>1</v>
      </c>
      <c r="F10" s="8" t="s">
        <v>30</v>
      </c>
      <c r="G10">
        <v>1</v>
      </c>
      <c r="H10">
        <v>3</v>
      </c>
      <c r="I10">
        <f t="shared" si="0"/>
        <v>0.33333333333333331</v>
      </c>
    </row>
    <row r="11" spans="1:9" ht="26.45" thickBot="1">
      <c r="A11" s="3" t="s">
        <v>31</v>
      </c>
      <c r="B11" s="3" t="s">
        <v>19</v>
      </c>
      <c r="C11" s="4">
        <v>1</v>
      </c>
      <c r="F11" s="8" t="s">
        <v>32</v>
      </c>
      <c r="G11">
        <v>1</v>
      </c>
      <c r="H11">
        <v>3</v>
      </c>
      <c r="I11">
        <f t="shared" si="0"/>
        <v>0.33333333333333331</v>
      </c>
    </row>
    <row r="12" spans="1:9" ht="15" thickBot="1">
      <c r="A12" s="3" t="s">
        <v>33</v>
      </c>
      <c r="B12" s="3" t="s">
        <v>24</v>
      </c>
      <c r="C12" s="4">
        <v>1</v>
      </c>
      <c r="F12" s="8" t="s">
        <v>34</v>
      </c>
      <c r="G12">
        <v>1</v>
      </c>
      <c r="H12">
        <v>3</v>
      </c>
      <c r="I12">
        <f t="shared" si="0"/>
        <v>0.33333333333333331</v>
      </c>
    </row>
    <row r="13" spans="1:9" ht="15" thickBot="1">
      <c r="A13" s="3" t="s">
        <v>35</v>
      </c>
      <c r="B13" s="3" t="s">
        <v>30</v>
      </c>
      <c r="C13" s="4">
        <v>1</v>
      </c>
      <c r="F13" s="8" t="s">
        <v>12</v>
      </c>
      <c r="G13">
        <v>23</v>
      </c>
    </row>
    <row r="14" spans="1:9" ht="15" thickBot="1">
      <c r="A14" s="3" t="s">
        <v>36</v>
      </c>
      <c r="B14" s="3" t="s">
        <v>32</v>
      </c>
      <c r="C14" s="4">
        <v>1</v>
      </c>
    </row>
    <row r="15" spans="1:9" ht="15" thickBot="1">
      <c r="A15" s="3" t="s">
        <v>37</v>
      </c>
      <c r="B15" s="3" t="s">
        <v>22</v>
      </c>
      <c r="C15" s="4">
        <v>1</v>
      </c>
    </row>
    <row r="16" spans="1:9" ht="15" thickBot="1">
      <c r="A16" s="3" t="s">
        <v>38</v>
      </c>
      <c r="B16" s="3" t="s">
        <v>22</v>
      </c>
      <c r="C16" s="4">
        <v>1</v>
      </c>
    </row>
    <row r="17" spans="1:3" ht="26.45" thickBot="1">
      <c r="A17" s="3" t="s">
        <v>39</v>
      </c>
      <c r="B17" s="3" t="s">
        <v>19</v>
      </c>
      <c r="C17" s="4">
        <v>1</v>
      </c>
    </row>
    <row r="18" spans="1:3" ht="26.45" thickBot="1">
      <c r="A18" s="3" t="s">
        <v>40</v>
      </c>
      <c r="B18" s="3" t="s">
        <v>19</v>
      </c>
      <c r="C18" s="4">
        <v>1</v>
      </c>
    </row>
    <row r="19" spans="1:3" ht="15" thickBot="1">
      <c r="A19" s="3" t="s">
        <v>41</v>
      </c>
      <c r="B19" s="3" t="s">
        <v>22</v>
      </c>
      <c r="C19" s="4">
        <v>1</v>
      </c>
    </row>
    <row r="20" spans="1:3" ht="26.45" thickBot="1">
      <c r="A20" s="3" t="s">
        <v>42</v>
      </c>
      <c r="B20" s="3" t="s">
        <v>19</v>
      </c>
      <c r="C20" s="4">
        <v>1</v>
      </c>
    </row>
    <row r="21" spans="1:3" ht="26.45" thickBot="1">
      <c r="A21" s="3" t="s">
        <v>43</v>
      </c>
      <c r="B21" s="3" t="s">
        <v>19</v>
      </c>
      <c r="C21" s="4">
        <v>1</v>
      </c>
    </row>
    <row r="22" spans="1:3" ht="26.45" thickBot="1">
      <c r="A22" s="3" t="s">
        <v>44</v>
      </c>
      <c r="B22" s="3" t="s">
        <v>34</v>
      </c>
      <c r="C22" s="4">
        <v>1</v>
      </c>
    </row>
    <row r="23" spans="1:3" ht="15" thickBot="1">
      <c r="A23" s="3" t="s">
        <v>45</v>
      </c>
      <c r="B23" s="3" t="s">
        <v>22</v>
      </c>
      <c r="C23" s="4">
        <v>1</v>
      </c>
    </row>
    <row r="24" spans="1:3" ht="15" thickBot="1">
      <c r="A24" s="3" t="s">
        <v>46</v>
      </c>
      <c r="B24" s="3" t="s">
        <v>16</v>
      </c>
      <c r="C24" s="4">
        <v>1</v>
      </c>
    </row>
    <row r="26" spans="1:3">
      <c r="A26" s="2" t="s">
        <v>47</v>
      </c>
    </row>
    <row r="27" spans="1:3">
      <c r="A27" s="2" t="s">
        <v>0</v>
      </c>
      <c r="B27" s="2" t="s">
        <v>1</v>
      </c>
      <c r="C27" s="2"/>
    </row>
    <row r="28" spans="1:3">
      <c r="A28" t="s">
        <v>15</v>
      </c>
      <c r="B28">
        <v>1</v>
      </c>
    </row>
    <row r="29" spans="1:3">
      <c r="A29" t="s">
        <v>17</v>
      </c>
      <c r="B29">
        <v>1</v>
      </c>
    </row>
    <row r="30" spans="1:3">
      <c r="A30" t="s">
        <v>46</v>
      </c>
      <c r="B30">
        <v>1</v>
      </c>
    </row>
    <row r="31" spans="1:3">
      <c r="A31" s="2" t="s">
        <v>9</v>
      </c>
      <c r="B31" s="2">
        <v>3</v>
      </c>
    </row>
    <row r="33" spans="1:2">
      <c r="A33" s="2" t="s">
        <v>48</v>
      </c>
    </row>
    <row r="34" spans="1:2">
      <c r="A34" s="2" t="s">
        <v>0</v>
      </c>
      <c r="B34" s="2" t="s">
        <v>1</v>
      </c>
    </row>
    <row r="35" spans="1:2">
      <c r="A35" t="s">
        <v>18</v>
      </c>
      <c r="B35">
        <v>1</v>
      </c>
    </row>
    <row r="36" spans="1:2">
      <c r="A36" t="s">
        <v>21</v>
      </c>
      <c r="B36">
        <v>1</v>
      </c>
    </row>
    <row r="37" spans="1:2">
      <c r="A37" t="s">
        <v>27</v>
      </c>
      <c r="B37">
        <v>1</v>
      </c>
    </row>
    <row r="38" spans="1:2">
      <c r="A38" t="s">
        <v>31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42</v>
      </c>
      <c r="B41">
        <v>1</v>
      </c>
    </row>
    <row r="42" spans="1:2">
      <c r="A42" t="s">
        <v>43</v>
      </c>
      <c r="B42">
        <v>1</v>
      </c>
    </row>
    <row r="43" spans="1:2">
      <c r="A43" s="2" t="s">
        <v>9</v>
      </c>
      <c r="B43" s="2">
        <v>8</v>
      </c>
    </row>
    <row r="45" spans="1:2">
      <c r="A45" s="2" t="s">
        <v>49</v>
      </c>
    </row>
    <row r="46" spans="1:2">
      <c r="A46" s="2" t="s">
        <v>0</v>
      </c>
      <c r="B46" s="2" t="s">
        <v>1</v>
      </c>
    </row>
    <row r="47" spans="1:2">
      <c r="A47" t="s">
        <v>23</v>
      </c>
      <c r="B47">
        <v>1</v>
      </c>
    </row>
    <row r="48" spans="1:2">
      <c r="A48" t="s">
        <v>29</v>
      </c>
      <c r="B48">
        <v>1</v>
      </c>
    </row>
    <row r="49" spans="1:2">
      <c r="A49" t="s">
        <v>33</v>
      </c>
      <c r="B49">
        <v>1</v>
      </c>
    </row>
    <row r="50" spans="1:2">
      <c r="A50" s="2" t="s">
        <v>9</v>
      </c>
      <c r="B50" s="2">
        <v>3</v>
      </c>
    </row>
    <row r="52" spans="1:2">
      <c r="A52" s="2" t="s">
        <v>50</v>
      </c>
    </row>
    <row r="53" spans="1:2">
      <c r="A53" s="2" t="s">
        <v>0</v>
      </c>
      <c r="B53" s="2" t="s">
        <v>1</v>
      </c>
    </row>
    <row r="54" spans="1:2">
      <c r="A54" t="s">
        <v>25</v>
      </c>
      <c r="B54">
        <v>1</v>
      </c>
    </row>
    <row r="55" spans="1:2">
      <c r="A55" s="2" t="s">
        <v>9</v>
      </c>
      <c r="B55" s="2">
        <v>1</v>
      </c>
    </row>
    <row r="57" spans="1:2">
      <c r="A57" s="2" t="s">
        <v>51</v>
      </c>
    </row>
    <row r="58" spans="1:2">
      <c r="A58" s="2" t="s">
        <v>0</v>
      </c>
      <c r="B58" s="2" t="s">
        <v>1</v>
      </c>
    </row>
    <row r="59" spans="1:2">
      <c r="A59" t="s">
        <v>28</v>
      </c>
      <c r="B59">
        <v>1</v>
      </c>
    </row>
    <row r="60" spans="1:2">
      <c r="A60" t="s">
        <v>37</v>
      </c>
      <c r="B60">
        <v>1</v>
      </c>
    </row>
    <row r="61" spans="1:2">
      <c r="A61" t="s">
        <v>38</v>
      </c>
      <c r="B61">
        <v>1</v>
      </c>
    </row>
    <row r="62" spans="1:2">
      <c r="A62" t="s">
        <v>41</v>
      </c>
      <c r="B62">
        <v>1</v>
      </c>
    </row>
    <row r="63" spans="1:2">
      <c r="A63" t="s">
        <v>45</v>
      </c>
      <c r="B63">
        <v>1</v>
      </c>
    </row>
    <row r="64" spans="1:2">
      <c r="A64" s="2" t="s">
        <v>9</v>
      </c>
      <c r="B64" s="2">
        <v>5</v>
      </c>
    </row>
    <row r="66" spans="1:2">
      <c r="A66" s="2" t="s">
        <v>52</v>
      </c>
    </row>
    <row r="67" spans="1:2">
      <c r="A67" s="2" t="s">
        <v>0</v>
      </c>
      <c r="B67" s="2" t="s">
        <v>1</v>
      </c>
    </row>
    <row r="68" spans="1:2">
      <c r="A68" t="s">
        <v>35</v>
      </c>
      <c r="B68">
        <v>1</v>
      </c>
    </row>
    <row r="69" spans="1:2">
      <c r="A69" s="2" t="s">
        <v>9</v>
      </c>
      <c r="B69" s="2">
        <v>1</v>
      </c>
    </row>
    <row r="71" spans="1:2">
      <c r="A71" s="2" t="s">
        <v>53</v>
      </c>
    </row>
    <row r="72" spans="1:2">
      <c r="A72" s="2" t="s">
        <v>0</v>
      </c>
      <c r="B72" s="2" t="s">
        <v>1</v>
      </c>
    </row>
    <row r="73" spans="1:2">
      <c r="A73" t="s">
        <v>36</v>
      </c>
      <c r="B73">
        <v>1</v>
      </c>
    </row>
    <row r="74" spans="1:2">
      <c r="A74" s="2" t="s">
        <v>9</v>
      </c>
      <c r="B74" s="2">
        <v>1</v>
      </c>
    </row>
    <row r="76" spans="1:2">
      <c r="A76" s="2" t="s">
        <v>54</v>
      </c>
    </row>
    <row r="77" spans="1:2">
      <c r="A77" s="2" t="s">
        <v>0</v>
      </c>
      <c r="B77" s="2" t="s">
        <v>1</v>
      </c>
    </row>
    <row r="78" spans="1:2">
      <c r="A78" t="s">
        <v>44</v>
      </c>
      <c r="B78">
        <v>1</v>
      </c>
    </row>
    <row r="79" spans="1:2">
      <c r="A79" s="2" t="s">
        <v>9</v>
      </c>
      <c r="B79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1"/>
  <sheetViews>
    <sheetView workbookViewId="0">
      <selection activeCell="C1" sqref="C1"/>
    </sheetView>
  </sheetViews>
  <sheetFormatPr defaultRowHeight="14.45"/>
  <sheetData>
    <row r="1" spans="1:2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09"/>
  <sheetViews>
    <sheetView topLeftCell="D1" workbookViewId="0">
      <selection activeCell="I12" sqref="I12"/>
    </sheetView>
  </sheetViews>
  <sheetFormatPr defaultRowHeight="14.45"/>
  <cols>
    <col min="1" max="1" width="51.5703125" customWidth="1"/>
    <col min="2" max="2" width="21.5703125" customWidth="1"/>
    <col min="3" max="3" width="20.85546875" customWidth="1"/>
    <col min="6" max="6" width="14.28515625" bestFit="1" customWidth="1"/>
    <col min="7" max="7" width="15.85546875" bestFit="1" customWidth="1"/>
  </cols>
  <sheetData>
    <row r="1" spans="1:9" s="2" customFormat="1" ht="15" thickBot="1">
      <c r="A1" s="5" t="s">
        <v>14</v>
      </c>
      <c r="B1" s="5" t="s">
        <v>2</v>
      </c>
      <c r="C1" s="5" t="s">
        <v>1</v>
      </c>
    </row>
    <row r="2" spans="1:9" ht="15" thickBot="1">
      <c r="A2" s="3" t="s">
        <v>55</v>
      </c>
      <c r="B2" s="3" t="s">
        <v>30</v>
      </c>
      <c r="C2" s="4">
        <v>3</v>
      </c>
    </row>
    <row r="3" spans="1:9" ht="15" thickBot="1">
      <c r="A3" s="3" t="s">
        <v>56</v>
      </c>
      <c r="B3" s="3" t="s">
        <v>16</v>
      </c>
      <c r="C3" s="4">
        <v>7</v>
      </c>
    </row>
    <row r="4" spans="1:9" ht="15" thickBot="1">
      <c r="A4" s="3" t="s">
        <v>57</v>
      </c>
      <c r="B4" s="3" t="s">
        <v>26</v>
      </c>
      <c r="C4" s="4">
        <v>3</v>
      </c>
    </row>
    <row r="5" spans="1:9" ht="15" thickBot="1">
      <c r="A5" s="3" t="s">
        <v>58</v>
      </c>
      <c r="B5" s="3" t="s">
        <v>16</v>
      </c>
      <c r="C5" s="4">
        <v>3</v>
      </c>
      <c r="F5" s="7" t="s">
        <v>7</v>
      </c>
      <c r="G5" t="s">
        <v>8</v>
      </c>
      <c r="H5" t="s">
        <v>59</v>
      </c>
      <c r="I5" t="s">
        <v>10</v>
      </c>
    </row>
    <row r="6" spans="1:9" ht="15" thickBot="1">
      <c r="A6" s="3" t="s">
        <v>60</v>
      </c>
      <c r="B6" s="3" t="s">
        <v>26</v>
      </c>
      <c r="C6" s="4">
        <v>1</v>
      </c>
      <c r="F6" s="8" t="s">
        <v>61</v>
      </c>
      <c r="G6">
        <v>9</v>
      </c>
      <c r="H6">
        <v>19</v>
      </c>
      <c r="I6">
        <f>G6/H6</f>
        <v>0.47368421052631576</v>
      </c>
    </row>
    <row r="7" spans="1:9" ht="15" thickBot="1">
      <c r="A7" s="3" t="s">
        <v>62</v>
      </c>
      <c r="B7" s="3" t="s">
        <v>16</v>
      </c>
      <c r="C7" s="4">
        <v>1</v>
      </c>
      <c r="F7" s="8" t="s">
        <v>16</v>
      </c>
      <c r="G7">
        <v>18</v>
      </c>
      <c r="H7">
        <v>19</v>
      </c>
      <c r="I7">
        <f t="shared" ref="I7:I12" si="0">G7/H7</f>
        <v>0.94736842105263153</v>
      </c>
    </row>
    <row r="8" spans="1:9" ht="15" thickBot="1">
      <c r="A8" s="3" t="s">
        <v>63</v>
      </c>
      <c r="B8" s="3" t="s">
        <v>4</v>
      </c>
      <c r="C8" s="4">
        <v>1</v>
      </c>
      <c r="F8" s="8" t="s">
        <v>64</v>
      </c>
      <c r="G8">
        <v>2</v>
      </c>
      <c r="H8">
        <v>19</v>
      </c>
      <c r="I8">
        <f t="shared" si="0"/>
        <v>0.10526315789473684</v>
      </c>
    </row>
    <row r="9" spans="1:9" ht="15" thickBot="1">
      <c r="A9" s="3" t="s">
        <v>65</v>
      </c>
      <c r="B9" s="3" t="s">
        <v>30</v>
      </c>
      <c r="C9" s="4">
        <v>1</v>
      </c>
      <c r="F9" s="8" t="s">
        <v>26</v>
      </c>
      <c r="G9">
        <v>13</v>
      </c>
      <c r="H9">
        <v>19</v>
      </c>
      <c r="I9">
        <f t="shared" si="0"/>
        <v>0.68421052631578949</v>
      </c>
    </row>
    <row r="10" spans="1:9" ht="15" thickBot="1">
      <c r="A10" s="3" t="s">
        <v>66</v>
      </c>
      <c r="B10" s="3" t="s">
        <v>16</v>
      </c>
      <c r="C10" s="4">
        <v>1</v>
      </c>
      <c r="F10" s="8" t="s">
        <v>30</v>
      </c>
      <c r="G10">
        <v>12</v>
      </c>
      <c r="H10">
        <v>19</v>
      </c>
      <c r="I10">
        <f t="shared" si="0"/>
        <v>0.63157894736842102</v>
      </c>
    </row>
    <row r="11" spans="1:9" ht="15" thickBot="1">
      <c r="A11" s="3" t="s">
        <v>67</v>
      </c>
      <c r="B11" s="3" t="s">
        <v>16</v>
      </c>
      <c r="C11" s="4">
        <v>1</v>
      </c>
      <c r="F11" s="8" t="s">
        <v>4</v>
      </c>
      <c r="G11">
        <v>1</v>
      </c>
      <c r="H11">
        <v>19</v>
      </c>
      <c r="I11">
        <f t="shared" si="0"/>
        <v>5.2631578947368418E-2</v>
      </c>
    </row>
    <row r="12" spans="1:9" ht="15" thickBot="1">
      <c r="A12" s="3" t="s">
        <v>68</v>
      </c>
      <c r="B12" s="3" t="s">
        <v>26</v>
      </c>
      <c r="C12" s="4">
        <v>1</v>
      </c>
      <c r="F12" s="8" t="s">
        <v>34</v>
      </c>
      <c r="G12">
        <v>1</v>
      </c>
      <c r="H12">
        <v>19</v>
      </c>
      <c r="I12">
        <f t="shared" si="0"/>
        <v>5.2631578947368418E-2</v>
      </c>
    </row>
    <row r="13" spans="1:9" ht="15" thickBot="1">
      <c r="A13" s="3" t="s">
        <v>69</v>
      </c>
      <c r="B13" s="3" t="s">
        <v>30</v>
      </c>
      <c r="C13" s="4">
        <v>1</v>
      </c>
      <c r="F13" s="8" t="s">
        <v>12</v>
      </c>
      <c r="G13">
        <v>56</v>
      </c>
    </row>
    <row r="14" spans="1:9" ht="15" thickBot="1">
      <c r="A14" s="3" t="s">
        <v>70</v>
      </c>
      <c r="B14" s="3" t="s">
        <v>16</v>
      </c>
      <c r="C14" s="4">
        <v>1</v>
      </c>
    </row>
    <row r="15" spans="1:9" ht="15" thickBot="1">
      <c r="A15" s="3" t="s">
        <v>71</v>
      </c>
      <c r="B15" s="3" t="s">
        <v>34</v>
      </c>
      <c r="C15" s="4">
        <v>1</v>
      </c>
    </row>
    <row r="16" spans="1:9" ht="15" thickBot="1">
      <c r="A16" s="3" t="s">
        <v>72</v>
      </c>
      <c r="B16" s="3" t="s">
        <v>30</v>
      </c>
      <c r="C16" s="4">
        <v>1</v>
      </c>
    </row>
    <row r="17" spans="1:3" ht="15" thickBot="1">
      <c r="A17" s="3" t="s">
        <v>73</v>
      </c>
      <c r="B17" s="3" t="s">
        <v>26</v>
      </c>
      <c r="C17" s="4">
        <v>4</v>
      </c>
    </row>
    <row r="18" spans="1:3" ht="15" thickBot="1">
      <c r="A18" s="3" t="s">
        <v>74</v>
      </c>
      <c r="B18" s="3" t="s">
        <v>30</v>
      </c>
      <c r="C18" s="4">
        <v>1</v>
      </c>
    </row>
    <row r="19" spans="1:3" ht="15" thickBot="1">
      <c r="A19" s="3" t="s">
        <v>46</v>
      </c>
      <c r="B19" s="3" t="s">
        <v>16</v>
      </c>
      <c r="C19" s="4">
        <v>1</v>
      </c>
    </row>
    <row r="20" spans="1:3" ht="15" thickBot="1">
      <c r="A20" s="3" t="s">
        <v>25</v>
      </c>
      <c r="B20" s="3" t="s">
        <v>26</v>
      </c>
      <c r="C20" s="4">
        <v>2</v>
      </c>
    </row>
    <row r="21" spans="1:3" ht="15" thickBot="1">
      <c r="A21" s="3" t="s">
        <v>75</v>
      </c>
      <c r="B21" s="3" t="s">
        <v>16</v>
      </c>
      <c r="C21" s="4">
        <v>1</v>
      </c>
    </row>
    <row r="22" spans="1:3" ht="15" thickBot="1">
      <c r="A22" s="3" t="s">
        <v>76</v>
      </c>
      <c r="B22" s="3" t="s">
        <v>61</v>
      </c>
      <c r="C22" s="4">
        <v>1</v>
      </c>
    </row>
    <row r="23" spans="1:3" ht="15" thickBot="1">
      <c r="A23" s="3" t="s">
        <v>77</v>
      </c>
      <c r="B23" s="3" t="s">
        <v>16</v>
      </c>
      <c r="C23" s="4">
        <v>1</v>
      </c>
    </row>
    <row r="24" spans="1:3" ht="15" thickBot="1">
      <c r="A24" s="3" t="s">
        <v>78</v>
      </c>
      <c r="B24" s="3" t="s">
        <v>16</v>
      </c>
      <c r="C24" s="4">
        <v>1</v>
      </c>
    </row>
    <row r="25" spans="1:3" ht="15" thickBot="1">
      <c r="A25" s="3" t="s">
        <v>79</v>
      </c>
      <c r="B25" s="3" t="s">
        <v>30</v>
      </c>
      <c r="C25" s="4">
        <v>1</v>
      </c>
    </row>
    <row r="26" spans="1:3" ht="15" thickBot="1">
      <c r="A26" s="3" t="s">
        <v>80</v>
      </c>
      <c r="B26" s="3" t="s">
        <v>64</v>
      </c>
      <c r="C26" s="4">
        <v>1</v>
      </c>
    </row>
    <row r="27" spans="1:3" ht="15" thickBot="1">
      <c r="A27" s="3" t="s">
        <v>81</v>
      </c>
      <c r="B27" s="3" t="s">
        <v>64</v>
      </c>
      <c r="C27" s="4">
        <v>1</v>
      </c>
    </row>
    <row r="28" spans="1:3" ht="15" thickBot="1">
      <c r="A28" s="3" t="s">
        <v>82</v>
      </c>
      <c r="B28" s="3" t="s">
        <v>61</v>
      </c>
      <c r="C28" s="4">
        <v>1</v>
      </c>
    </row>
    <row r="29" spans="1:3" ht="15" thickBot="1">
      <c r="A29" s="3" t="s">
        <v>83</v>
      </c>
      <c r="B29" s="3" t="s">
        <v>61</v>
      </c>
      <c r="C29" s="4">
        <v>1</v>
      </c>
    </row>
    <row r="30" spans="1:3" ht="15" thickBot="1">
      <c r="A30" s="3" t="s">
        <v>84</v>
      </c>
      <c r="B30" s="3" t="s">
        <v>61</v>
      </c>
      <c r="C30" s="4">
        <v>1</v>
      </c>
    </row>
    <row r="31" spans="1:3" ht="15" thickBot="1">
      <c r="A31" s="3" t="s">
        <v>85</v>
      </c>
      <c r="B31" s="3" t="s">
        <v>61</v>
      </c>
      <c r="C31" s="4">
        <v>1</v>
      </c>
    </row>
    <row r="32" spans="1:3" ht="15" thickBot="1">
      <c r="A32" s="3" t="s">
        <v>86</v>
      </c>
      <c r="B32" s="3" t="s">
        <v>26</v>
      </c>
      <c r="C32" s="4">
        <v>1</v>
      </c>
    </row>
    <row r="33" spans="1:3" ht="15" thickBot="1">
      <c r="A33" s="3" t="s">
        <v>87</v>
      </c>
      <c r="B33" s="3" t="s">
        <v>61</v>
      </c>
      <c r="C33" s="4">
        <v>1</v>
      </c>
    </row>
    <row r="34" spans="1:3" ht="15" thickBot="1">
      <c r="A34" s="3" t="s">
        <v>88</v>
      </c>
      <c r="B34" s="3" t="s">
        <v>61</v>
      </c>
      <c r="C34" s="4">
        <v>1</v>
      </c>
    </row>
    <row r="35" spans="1:3" ht="15" thickBot="1">
      <c r="A35" s="3" t="s">
        <v>89</v>
      </c>
      <c r="B35" s="3" t="s">
        <v>26</v>
      </c>
      <c r="C35" s="4">
        <v>1</v>
      </c>
    </row>
    <row r="36" spans="1:3" ht="15" thickBot="1">
      <c r="A36" s="3" t="s">
        <v>90</v>
      </c>
      <c r="B36" s="3" t="s">
        <v>61</v>
      </c>
      <c r="C36" s="4">
        <v>1</v>
      </c>
    </row>
    <row r="37" spans="1:3" ht="15" thickBot="1">
      <c r="A37" s="3" t="s">
        <v>35</v>
      </c>
      <c r="B37" s="3" t="s">
        <v>30</v>
      </c>
      <c r="C37" s="4">
        <v>1</v>
      </c>
    </row>
    <row r="38" spans="1:3" ht="15" thickBot="1">
      <c r="A38" s="3" t="s">
        <v>91</v>
      </c>
      <c r="B38" s="3" t="s">
        <v>30</v>
      </c>
      <c r="C38" s="4">
        <v>1</v>
      </c>
    </row>
    <row r="39" spans="1:3" ht="15" thickBot="1">
      <c r="A39" s="3" t="s">
        <v>92</v>
      </c>
      <c r="B39" s="3" t="s">
        <v>30</v>
      </c>
      <c r="C39" s="4">
        <v>1</v>
      </c>
    </row>
    <row r="40" spans="1:3" ht="15" thickBot="1">
      <c r="A40" s="3" t="s">
        <v>93</v>
      </c>
      <c r="B40" s="3" t="s">
        <v>61</v>
      </c>
      <c r="C40" s="4">
        <v>1</v>
      </c>
    </row>
    <row r="41" spans="1:3" ht="15" thickBot="1">
      <c r="A41" s="3" t="s">
        <v>94</v>
      </c>
      <c r="B41" s="3" t="s">
        <v>30</v>
      </c>
      <c r="C41" s="4">
        <v>1</v>
      </c>
    </row>
    <row r="43" spans="1:3">
      <c r="A43" s="2" t="s">
        <v>52</v>
      </c>
    </row>
    <row r="44" spans="1:3">
      <c r="A44" s="2" t="s">
        <v>0</v>
      </c>
      <c r="B44" s="2" t="s">
        <v>1</v>
      </c>
    </row>
    <row r="45" spans="1:3">
      <c r="A45" t="s">
        <v>55</v>
      </c>
      <c r="B45">
        <v>3</v>
      </c>
    </row>
    <row r="46" spans="1:3">
      <c r="A46" t="s">
        <v>65</v>
      </c>
      <c r="B46">
        <v>1</v>
      </c>
    </row>
    <row r="47" spans="1:3">
      <c r="A47" t="s">
        <v>69</v>
      </c>
      <c r="B47">
        <v>1</v>
      </c>
    </row>
    <row r="48" spans="1:3">
      <c r="A48" t="s">
        <v>72</v>
      </c>
      <c r="B48">
        <v>1</v>
      </c>
    </row>
    <row r="49" spans="1:2">
      <c r="A49" t="s">
        <v>74</v>
      </c>
      <c r="B49">
        <v>1</v>
      </c>
    </row>
    <row r="50" spans="1:2">
      <c r="A50" t="s">
        <v>79</v>
      </c>
      <c r="B50">
        <v>1</v>
      </c>
    </row>
    <row r="51" spans="1:2">
      <c r="A51" t="s">
        <v>35</v>
      </c>
      <c r="B51">
        <v>1</v>
      </c>
    </row>
    <row r="52" spans="1:2">
      <c r="A52" t="s">
        <v>91</v>
      </c>
      <c r="B52">
        <v>1</v>
      </c>
    </row>
    <row r="53" spans="1:2">
      <c r="A53" t="s">
        <v>92</v>
      </c>
      <c r="B53">
        <v>1</v>
      </c>
    </row>
    <row r="54" spans="1:2">
      <c r="A54" t="s">
        <v>94</v>
      </c>
      <c r="B54">
        <v>1</v>
      </c>
    </row>
    <row r="55" spans="1:2">
      <c r="A55" s="2" t="s">
        <v>9</v>
      </c>
      <c r="B55" s="2">
        <v>12</v>
      </c>
    </row>
    <row r="57" spans="1:2">
      <c r="A57" s="2" t="s">
        <v>47</v>
      </c>
    </row>
    <row r="58" spans="1:2">
      <c r="A58" s="2" t="s">
        <v>0</v>
      </c>
      <c r="B58" s="2" t="s">
        <v>1</v>
      </c>
    </row>
    <row r="59" spans="1:2">
      <c r="A59" t="s">
        <v>56</v>
      </c>
      <c r="B59">
        <v>7</v>
      </c>
    </row>
    <row r="60" spans="1:2">
      <c r="A60" t="s">
        <v>58</v>
      </c>
      <c r="B60">
        <v>3</v>
      </c>
    </row>
    <row r="61" spans="1:2">
      <c r="A61" t="s">
        <v>62</v>
      </c>
      <c r="B61">
        <v>1</v>
      </c>
    </row>
    <row r="62" spans="1:2">
      <c r="A62" t="s">
        <v>66</v>
      </c>
      <c r="B62">
        <v>1</v>
      </c>
    </row>
    <row r="63" spans="1:2">
      <c r="A63" t="s">
        <v>67</v>
      </c>
      <c r="B63">
        <v>1</v>
      </c>
    </row>
    <row r="64" spans="1:2">
      <c r="A64" t="s">
        <v>70</v>
      </c>
      <c r="B64">
        <v>1</v>
      </c>
    </row>
    <row r="65" spans="1:2">
      <c r="A65" t="s">
        <v>46</v>
      </c>
      <c r="B65">
        <v>1</v>
      </c>
    </row>
    <row r="66" spans="1:2">
      <c r="A66" t="s">
        <v>75</v>
      </c>
      <c r="B66">
        <v>1</v>
      </c>
    </row>
    <row r="67" spans="1:2">
      <c r="A67" t="s">
        <v>77</v>
      </c>
      <c r="B67">
        <v>1</v>
      </c>
    </row>
    <row r="68" spans="1:2">
      <c r="A68" t="s">
        <v>78</v>
      </c>
      <c r="B68">
        <v>1</v>
      </c>
    </row>
    <row r="69" spans="1:2">
      <c r="A69" s="2" t="s">
        <v>9</v>
      </c>
      <c r="B69" s="2">
        <v>18</v>
      </c>
    </row>
    <row r="71" spans="1:2">
      <c r="A71" s="2" t="s">
        <v>50</v>
      </c>
    </row>
    <row r="72" spans="1:2">
      <c r="A72" s="2" t="s">
        <v>0</v>
      </c>
      <c r="B72" s="2" t="s">
        <v>1</v>
      </c>
    </row>
    <row r="73" spans="1:2">
      <c r="A73" t="s">
        <v>57</v>
      </c>
      <c r="B73">
        <v>3</v>
      </c>
    </row>
    <row r="74" spans="1:2">
      <c r="A74" t="s">
        <v>60</v>
      </c>
      <c r="B74">
        <v>1</v>
      </c>
    </row>
    <row r="75" spans="1:2">
      <c r="A75" t="s">
        <v>68</v>
      </c>
      <c r="B75">
        <v>1</v>
      </c>
    </row>
    <row r="76" spans="1:2">
      <c r="A76" t="s">
        <v>73</v>
      </c>
      <c r="B76">
        <v>4</v>
      </c>
    </row>
    <row r="77" spans="1:2">
      <c r="A77" t="s">
        <v>25</v>
      </c>
      <c r="B77">
        <v>2</v>
      </c>
    </row>
    <row r="78" spans="1:2">
      <c r="A78" t="s">
        <v>86</v>
      </c>
      <c r="B78">
        <v>1</v>
      </c>
    </row>
    <row r="79" spans="1:2">
      <c r="A79" t="s">
        <v>89</v>
      </c>
      <c r="B79">
        <v>1</v>
      </c>
    </row>
    <row r="80" spans="1:2">
      <c r="A80" s="2" t="s">
        <v>9</v>
      </c>
      <c r="B80" s="2">
        <v>13</v>
      </c>
    </row>
    <row r="82" spans="1:2">
      <c r="A82" s="2" t="s">
        <v>11</v>
      </c>
    </row>
    <row r="83" spans="1:2">
      <c r="A83" s="2" t="s">
        <v>0</v>
      </c>
      <c r="B83" s="2" t="s">
        <v>1</v>
      </c>
    </row>
    <row r="84" spans="1:2">
      <c r="A84" t="s">
        <v>63</v>
      </c>
      <c r="B84">
        <v>1</v>
      </c>
    </row>
    <row r="85" spans="1:2">
      <c r="A85" s="2" t="s">
        <v>9</v>
      </c>
      <c r="B85" s="2">
        <v>1</v>
      </c>
    </row>
    <row r="87" spans="1:2">
      <c r="A87" s="2" t="s">
        <v>54</v>
      </c>
    </row>
    <row r="88" spans="1:2">
      <c r="A88" s="2" t="s">
        <v>0</v>
      </c>
      <c r="B88" s="2" t="s">
        <v>1</v>
      </c>
    </row>
    <row r="89" spans="1:2">
      <c r="A89" t="s">
        <v>71</v>
      </c>
      <c r="B89">
        <v>1</v>
      </c>
    </row>
    <row r="90" spans="1:2">
      <c r="A90" s="2" t="s">
        <v>9</v>
      </c>
      <c r="B90" s="2">
        <v>1</v>
      </c>
    </row>
    <row r="92" spans="1:2">
      <c r="A92" s="2" t="s">
        <v>95</v>
      </c>
    </row>
    <row r="93" spans="1:2">
      <c r="A93" s="2" t="s">
        <v>0</v>
      </c>
      <c r="B93" s="2" t="s">
        <v>1</v>
      </c>
    </row>
    <row r="94" spans="1:2">
      <c r="A94" t="s">
        <v>76</v>
      </c>
      <c r="B94">
        <v>1</v>
      </c>
    </row>
    <row r="95" spans="1:2">
      <c r="A95" t="s">
        <v>82</v>
      </c>
      <c r="B95">
        <v>1</v>
      </c>
    </row>
    <row r="96" spans="1:2">
      <c r="A96" t="s">
        <v>83</v>
      </c>
      <c r="B96">
        <v>1</v>
      </c>
    </row>
    <row r="97" spans="1:2">
      <c r="A97" t="s">
        <v>84</v>
      </c>
      <c r="B97">
        <v>1</v>
      </c>
    </row>
    <row r="98" spans="1:2">
      <c r="A98" t="s">
        <v>85</v>
      </c>
      <c r="B98">
        <v>1</v>
      </c>
    </row>
    <row r="99" spans="1:2">
      <c r="A99" t="s">
        <v>87</v>
      </c>
      <c r="B99">
        <v>1</v>
      </c>
    </row>
    <row r="100" spans="1:2">
      <c r="A100" t="s">
        <v>88</v>
      </c>
      <c r="B100">
        <v>1</v>
      </c>
    </row>
    <row r="101" spans="1:2">
      <c r="A101" t="s">
        <v>90</v>
      </c>
      <c r="B101">
        <v>1</v>
      </c>
    </row>
    <row r="102" spans="1:2">
      <c r="A102" t="s">
        <v>93</v>
      </c>
      <c r="B102">
        <v>1</v>
      </c>
    </row>
    <row r="103" spans="1:2">
      <c r="A103" s="2" t="s">
        <v>9</v>
      </c>
      <c r="B103" s="2">
        <v>9</v>
      </c>
    </row>
    <row r="105" spans="1:2">
      <c r="A105" s="2" t="s">
        <v>96</v>
      </c>
    </row>
    <row r="106" spans="1:2">
      <c r="A106" s="2" t="s">
        <v>0</v>
      </c>
      <c r="B106" s="2" t="s">
        <v>1</v>
      </c>
    </row>
    <row r="107" spans="1:2">
      <c r="A107" t="s">
        <v>80</v>
      </c>
      <c r="B107">
        <v>1</v>
      </c>
    </row>
    <row r="108" spans="1:2">
      <c r="A108" t="s">
        <v>81</v>
      </c>
      <c r="B108">
        <v>1</v>
      </c>
    </row>
    <row r="109" spans="1:2">
      <c r="A109" s="2" t="s">
        <v>9</v>
      </c>
      <c r="B109" s="2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45"/>
  <sheetViews>
    <sheetView topLeftCell="C1" workbookViewId="0">
      <selection activeCell="G15" sqref="G15"/>
    </sheetView>
  </sheetViews>
  <sheetFormatPr defaultRowHeight="14.45"/>
  <cols>
    <col min="1" max="1" width="39.140625" customWidth="1"/>
    <col min="3" max="3" width="14.140625" customWidth="1"/>
    <col min="6" max="6" width="13.140625" bestFit="1" customWidth="1"/>
    <col min="7" max="7" width="15.85546875" bestFit="1" customWidth="1"/>
  </cols>
  <sheetData>
    <row r="1" spans="1:9" s="2" customFormat="1" ht="27" thickBot="1">
      <c r="A1" s="5" t="s">
        <v>14</v>
      </c>
      <c r="B1" s="5" t="s">
        <v>2</v>
      </c>
      <c r="C1" s="5" t="s">
        <v>1</v>
      </c>
    </row>
    <row r="2" spans="1:9" ht="15" thickBot="1">
      <c r="A2" s="3" t="s">
        <v>97</v>
      </c>
      <c r="B2" s="3" t="s">
        <v>98</v>
      </c>
      <c r="C2" s="4">
        <v>2</v>
      </c>
    </row>
    <row r="3" spans="1:9" ht="15" thickBot="1">
      <c r="A3" s="3" t="s">
        <v>99</v>
      </c>
      <c r="B3" s="3" t="s">
        <v>98</v>
      </c>
      <c r="C3" s="4">
        <v>2</v>
      </c>
    </row>
    <row r="4" spans="1:9" ht="15" thickBot="1">
      <c r="A4" s="3" t="s">
        <v>100</v>
      </c>
      <c r="B4" s="3" t="s">
        <v>98</v>
      </c>
      <c r="C4" s="4">
        <v>2</v>
      </c>
    </row>
    <row r="5" spans="1:9" ht="26.45" thickBot="1">
      <c r="A5" s="3" t="s">
        <v>101</v>
      </c>
      <c r="B5" s="3" t="s">
        <v>4</v>
      </c>
      <c r="C5" s="4">
        <v>2</v>
      </c>
      <c r="F5" s="7" t="s">
        <v>7</v>
      </c>
      <c r="G5" t="s">
        <v>8</v>
      </c>
      <c r="H5" t="s">
        <v>9</v>
      </c>
      <c r="I5" t="s">
        <v>10</v>
      </c>
    </row>
    <row r="6" spans="1:9" ht="15" thickBot="1">
      <c r="A6" s="3" t="s">
        <v>102</v>
      </c>
      <c r="B6" s="3" t="s">
        <v>98</v>
      </c>
      <c r="C6" s="4">
        <v>2</v>
      </c>
      <c r="F6" s="8" t="s">
        <v>98</v>
      </c>
      <c r="G6">
        <v>10</v>
      </c>
      <c r="H6">
        <v>5</v>
      </c>
      <c r="I6">
        <f>G6/H6</f>
        <v>2</v>
      </c>
    </row>
    <row r="7" spans="1:9" ht="15" thickBot="1">
      <c r="A7" s="3" t="s">
        <v>103</v>
      </c>
      <c r="B7" s="3" t="s">
        <v>98</v>
      </c>
      <c r="C7" s="4">
        <v>2</v>
      </c>
      <c r="F7" s="8" t="s">
        <v>16</v>
      </c>
      <c r="G7">
        <v>3</v>
      </c>
      <c r="H7">
        <v>5</v>
      </c>
      <c r="I7">
        <f t="shared" ref="I7:I10" si="0">G7/H7</f>
        <v>0.6</v>
      </c>
    </row>
    <row r="8" spans="1:9" ht="26.45" thickBot="1">
      <c r="A8" s="3" t="s">
        <v>104</v>
      </c>
      <c r="B8" s="3" t="s">
        <v>19</v>
      </c>
      <c r="C8" s="4">
        <v>2</v>
      </c>
      <c r="F8" s="8" t="s">
        <v>19</v>
      </c>
      <c r="G8">
        <v>4</v>
      </c>
      <c r="H8">
        <v>5</v>
      </c>
      <c r="I8">
        <f t="shared" si="0"/>
        <v>0.8</v>
      </c>
    </row>
    <row r="9" spans="1:9" ht="26.45" thickBot="1">
      <c r="A9" s="3" t="s">
        <v>105</v>
      </c>
      <c r="B9" s="3" t="s">
        <v>19</v>
      </c>
      <c r="C9" s="4">
        <v>2</v>
      </c>
      <c r="F9" s="8" t="s">
        <v>30</v>
      </c>
      <c r="G9">
        <v>1</v>
      </c>
      <c r="H9">
        <v>5</v>
      </c>
      <c r="I9">
        <f t="shared" si="0"/>
        <v>0.2</v>
      </c>
    </row>
    <row r="10" spans="1:9" ht="15" thickBot="1">
      <c r="A10" s="3" t="s">
        <v>46</v>
      </c>
      <c r="B10" s="3" t="s">
        <v>16</v>
      </c>
      <c r="C10" s="4">
        <v>1</v>
      </c>
      <c r="F10" s="8" t="s">
        <v>4</v>
      </c>
      <c r="G10">
        <v>2</v>
      </c>
      <c r="H10">
        <v>5</v>
      </c>
      <c r="I10">
        <f t="shared" si="0"/>
        <v>0.4</v>
      </c>
    </row>
    <row r="11" spans="1:9" ht="15" thickBot="1">
      <c r="A11" s="3" t="s">
        <v>56</v>
      </c>
      <c r="B11" s="3" t="s">
        <v>16</v>
      </c>
      <c r="C11" s="4">
        <v>1</v>
      </c>
      <c r="F11" s="8" t="s">
        <v>12</v>
      </c>
      <c r="G11">
        <v>20</v>
      </c>
    </row>
    <row r="12" spans="1:9" ht="15" thickBot="1">
      <c r="A12" s="3" t="s">
        <v>106</v>
      </c>
      <c r="B12" s="3" t="s">
        <v>16</v>
      </c>
      <c r="C12" s="4">
        <v>1</v>
      </c>
    </row>
    <row r="13" spans="1:9" ht="15" thickBot="1">
      <c r="A13" s="3" t="s">
        <v>107</v>
      </c>
      <c r="B13" s="3" t="s">
        <v>30</v>
      </c>
      <c r="C13" s="4">
        <v>1</v>
      </c>
    </row>
    <row r="15" spans="1:9">
      <c r="A15" s="2" t="s">
        <v>108</v>
      </c>
    </row>
    <row r="16" spans="1:9">
      <c r="A16" s="2" t="s">
        <v>0</v>
      </c>
      <c r="B16" s="2" t="s">
        <v>1</v>
      </c>
    </row>
    <row r="17" spans="1:2">
      <c r="A17" t="s">
        <v>97</v>
      </c>
      <c r="B17">
        <v>2</v>
      </c>
    </row>
    <row r="18" spans="1:2">
      <c r="A18" t="s">
        <v>99</v>
      </c>
      <c r="B18">
        <v>2</v>
      </c>
    </row>
    <row r="19" spans="1:2">
      <c r="A19" t="s">
        <v>100</v>
      </c>
      <c r="B19">
        <v>2</v>
      </c>
    </row>
    <row r="20" spans="1:2">
      <c r="A20" t="s">
        <v>102</v>
      </c>
      <c r="B20">
        <v>2</v>
      </c>
    </row>
    <row r="21" spans="1:2">
      <c r="A21" t="s">
        <v>103</v>
      </c>
      <c r="B21">
        <v>2</v>
      </c>
    </row>
    <row r="22" spans="1:2">
      <c r="A22" s="2" t="s">
        <v>9</v>
      </c>
      <c r="B22" s="2">
        <v>10</v>
      </c>
    </row>
    <row r="24" spans="1:2">
      <c r="A24" s="2" t="s">
        <v>11</v>
      </c>
    </row>
    <row r="25" spans="1:2">
      <c r="A25" s="2" t="s">
        <v>0</v>
      </c>
      <c r="B25" s="2" t="s">
        <v>1</v>
      </c>
    </row>
    <row r="26" spans="1:2">
      <c r="A26" t="s">
        <v>101</v>
      </c>
      <c r="B26">
        <v>2</v>
      </c>
    </row>
    <row r="27" spans="1:2">
      <c r="A27" s="2" t="s">
        <v>9</v>
      </c>
      <c r="B27" s="2">
        <v>2</v>
      </c>
    </row>
    <row r="29" spans="1:2">
      <c r="A29" s="2" t="s">
        <v>48</v>
      </c>
    </row>
    <row r="30" spans="1:2">
      <c r="A30" s="2" t="s">
        <v>0</v>
      </c>
      <c r="B30" s="2" t="s">
        <v>1</v>
      </c>
    </row>
    <row r="31" spans="1:2">
      <c r="A31" t="s">
        <v>104</v>
      </c>
      <c r="B31">
        <v>2</v>
      </c>
    </row>
    <row r="32" spans="1:2">
      <c r="A32" t="s">
        <v>105</v>
      </c>
      <c r="B32">
        <v>2</v>
      </c>
    </row>
    <row r="33" spans="1:2">
      <c r="A33" s="2" t="s">
        <v>9</v>
      </c>
      <c r="B33" s="2">
        <v>4</v>
      </c>
    </row>
    <row r="35" spans="1:2">
      <c r="A35" s="2" t="s">
        <v>47</v>
      </c>
    </row>
    <row r="36" spans="1:2">
      <c r="A36" s="2" t="s">
        <v>0</v>
      </c>
      <c r="B36" s="2" t="s">
        <v>1</v>
      </c>
    </row>
    <row r="37" spans="1:2">
      <c r="A37" t="s">
        <v>46</v>
      </c>
      <c r="B37">
        <v>1</v>
      </c>
    </row>
    <row r="38" spans="1:2">
      <c r="A38" t="s">
        <v>56</v>
      </c>
      <c r="B38">
        <v>1</v>
      </c>
    </row>
    <row r="39" spans="1:2">
      <c r="A39" t="s">
        <v>106</v>
      </c>
      <c r="B39">
        <v>1</v>
      </c>
    </row>
    <row r="40" spans="1:2">
      <c r="A40" s="2" t="s">
        <v>9</v>
      </c>
      <c r="B40" s="2">
        <v>3</v>
      </c>
    </row>
    <row r="42" spans="1:2">
      <c r="A42" s="2" t="s">
        <v>52</v>
      </c>
    </row>
    <row r="43" spans="1:2">
      <c r="A43" s="2" t="s">
        <v>0</v>
      </c>
      <c r="B43" s="2" t="s">
        <v>1</v>
      </c>
    </row>
    <row r="44" spans="1:2">
      <c r="A44" t="s">
        <v>107</v>
      </c>
      <c r="B44">
        <v>1</v>
      </c>
    </row>
    <row r="45" spans="1:2">
      <c r="A45" s="2" t="s">
        <v>9</v>
      </c>
      <c r="B45" s="2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19"/>
  <sheetViews>
    <sheetView topLeftCell="D1" workbookViewId="0">
      <selection activeCell="I6" sqref="I6:I8"/>
    </sheetView>
  </sheetViews>
  <sheetFormatPr defaultRowHeight="14.45"/>
  <cols>
    <col min="1" max="1" width="42" customWidth="1"/>
    <col min="6" max="6" width="14.28515625" bestFit="1" customWidth="1"/>
    <col min="7" max="7" width="15.85546875" bestFit="1" customWidth="1"/>
  </cols>
  <sheetData>
    <row r="1" spans="1:9">
      <c r="A1" s="1" t="s">
        <v>0</v>
      </c>
      <c r="B1" s="2" t="s">
        <v>2</v>
      </c>
      <c r="C1" s="1" t="s">
        <v>1</v>
      </c>
    </row>
    <row r="2" spans="1:9">
      <c r="A2" t="s">
        <v>109</v>
      </c>
      <c r="B2" t="s">
        <v>16</v>
      </c>
      <c r="C2">
        <v>1</v>
      </c>
    </row>
    <row r="3" spans="1:9">
      <c r="A3" t="s">
        <v>110</v>
      </c>
      <c r="B3" t="s">
        <v>26</v>
      </c>
      <c r="C3">
        <v>1</v>
      </c>
    </row>
    <row r="4" spans="1:9">
      <c r="A4" t="s">
        <v>111</v>
      </c>
      <c r="B4" t="s">
        <v>4</v>
      </c>
      <c r="C4">
        <v>1</v>
      </c>
    </row>
    <row r="5" spans="1:9">
      <c r="F5" s="7" t="s">
        <v>7</v>
      </c>
      <c r="G5" t="s">
        <v>8</v>
      </c>
      <c r="H5" t="s">
        <v>9</v>
      </c>
      <c r="I5" t="s">
        <v>10</v>
      </c>
    </row>
    <row r="6" spans="1:9">
      <c r="A6" s="2" t="s">
        <v>47</v>
      </c>
      <c r="F6" s="8" t="s">
        <v>16</v>
      </c>
      <c r="G6">
        <v>1</v>
      </c>
      <c r="H6">
        <v>1</v>
      </c>
      <c r="I6">
        <v>1</v>
      </c>
    </row>
    <row r="7" spans="1:9">
      <c r="A7" s="2" t="s">
        <v>0</v>
      </c>
      <c r="B7" s="2" t="s">
        <v>1</v>
      </c>
      <c r="F7" s="8" t="s">
        <v>26</v>
      </c>
      <c r="G7">
        <v>1</v>
      </c>
      <c r="H7">
        <v>1</v>
      </c>
      <c r="I7">
        <v>1</v>
      </c>
    </row>
    <row r="8" spans="1:9">
      <c r="A8" t="s">
        <v>109</v>
      </c>
      <c r="B8">
        <v>1</v>
      </c>
      <c r="F8" s="8" t="s">
        <v>4</v>
      </c>
      <c r="G8">
        <v>1</v>
      </c>
      <c r="H8">
        <v>1</v>
      </c>
      <c r="I8">
        <v>1</v>
      </c>
    </row>
    <row r="9" spans="1:9">
      <c r="A9" s="2" t="s">
        <v>9</v>
      </c>
      <c r="B9" s="2">
        <v>1</v>
      </c>
      <c r="F9" s="8" t="s">
        <v>12</v>
      </c>
      <c r="G9">
        <v>3</v>
      </c>
    </row>
    <row r="11" spans="1:9">
      <c r="A11" s="2" t="s">
        <v>50</v>
      </c>
    </row>
    <row r="12" spans="1:9">
      <c r="A12" s="2" t="s">
        <v>0</v>
      </c>
      <c r="B12" s="2" t="s">
        <v>1</v>
      </c>
    </row>
    <row r="13" spans="1:9">
      <c r="A13" t="s">
        <v>110</v>
      </c>
      <c r="B13">
        <v>1</v>
      </c>
    </row>
    <row r="14" spans="1:9">
      <c r="A14" s="2" t="s">
        <v>9</v>
      </c>
      <c r="B14" s="2">
        <v>1</v>
      </c>
    </row>
    <row r="16" spans="1:9">
      <c r="A16" s="2" t="s">
        <v>11</v>
      </c>
    </row>
    <row r="17" spans="1:2">
      <c r="A17" s="2" t="s">
        <v>0</v>
      </c>
      <c r="B17" s="2" t="s">
        <v>1</v>
      </c>
    </row>
    <row r="18" spans="1:2">
      <c r="A18" t="s">
        <v>111</v>
      </c>
      <c r="B18">
        <v>1</v>
      </c>
    </row>
    <row r="19" spans="1:2">
      <c r="A19" s="2" t="s">
        <v>9</v>
      </c>
      <c r="B19" s="2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N1027"/>
  <sheetViews>
    <sheetView topLeftCell="D1" workbookViewId="0">
      <selection activeCell="I10" sqref="I10"/>
    </sheetView>
  </sheetViews>
  <sheetFormatPr defaultRowHeight="14.45"/>
  <cols>
    <col min="1" max="1" width="39.5703125" customWidth="1"/>
    <col min="2" max="2" width="27.85546875" customWidth="1"/>
    <col min="6" max="6" width="14.140625" bestFit="1" customWidth="1"/>
    <col min="7" max="7" width="15.85546875" bestFit="1" customWidth="1"/>
  </cols>
  <sheetData>
    <row r="1" spans="1:14">
      <c r="A1" t="s">
        <v>0</v>
      </c>
      <c r="B1" t="s">
        <v>2</v>
      </c>
      <c r="C1" t="s">
        <v>1</v>
      </c>
    </row>
    <row r="2" spans="1:14">
      <c r="A2" t="s">
        <v>112</v>
      </c>
      <c r="B2" t="s">
        <v>113</v>
      </c>
      <c r="C2">
        <v>13</v>
      </c>
    </row>
    <row r="3" spans="1:14">
      <c r="A3" t="s">
        <v>114</v>
      </c>
      <c r="B3" t="s">
        <v>115</v>
      </c>
      <c r="C3">
        <v>7</v>
      </c>
    </row>
    <row r="4" spans="1:14">
      <c r="A4" t="s">
        <v>116</v>
      </c>
      <c r="B4" t="s">
        <v>30</v>
      </c>
      <c r="C4">
        <v>8</v>
      </c>
    </row>
    <row r="5" spans="1:14">
      <c r="A5" t="s">
        <v>117</v>
      </c>
      <c r="B5" t="s">
        <v>118</v>
      </c>
      <c r="C5">
        <v>12</v>
      </c>
    </row>
    <row r="6" spans="1:14">
      <c r="A6" t="s">
        <v>119</v>
      </c>
      <c r="B6" t="s">
        <v>120</v>
      </c>
      <c r="C6">
        <v>8</v>
      </c>
      <c r="F6" s="7" t="s">
        <v>7</v>
      </c>
      <c r="G6" t="s">
        <v>8</v>
      </c>
      <c r="H6" t="s">
        <v>9</v>
      </c>
      <c r="I6" t="s">
        <v>10</v>
      </c>
    </row>
    <row r="7" spans="1:14">
      <c r="A7" t="s">
        <v>121</v>
      </c>
      <c r="B7" t="s">
        <v>34</v>
      </c>
      <c r="C7">
        <v>7</v>
      </c>
      <c r="F7" s="8" t="s">
        <v>61</v>
      </c>
      <c r="G7">
        <v>62</v>
      </c>
      <c r="H7">
        <v>310</v>
      </c>
      <c r="I7">
        <f>G7/H7</f>
        <v>0.2</v>
      </c>
    </row>
    <row r="8" spans="1:14">
      <c r="A8" t="s">
        <v>122</v>
      </c>
      <c r="B8" t="s">
        <v>113</v>
      </c>
      <c r="C8">
        <v>11</v>
      </c>
      <c r="F8" s="8" t="s">
        <v>22</v>
      </c>
      <c r="G8">
        <v>13</v>
      </c>
      <c r="H8">
        <v>310</v>
      </c>
      <c r="I8">
        <f t="shared" ref="I8:I37" si="0">G8/H8</f>
        <v>4.1935483870967745E-2</v>
      </c>
      <c r="K8" t="s">
        <v>123</v>
      </c>
      <c r="L8">
        <f>133+1</f>
        <v>134</v>
      </c>
      <c r="M8">
        <v>310</v>
      </c>
      <c r="N8">
        <f>L8/M8</f>
        <v>0.43225806451612903</v>
      </c>
    </row>
    <row r="9" spans="1:14">
      <c r="A9" t="s">
        <v>124</v>
      </c>
      <c r="B9" t="s">
        <v>125</v>
      </c>
      <c r="C9">
        <v>26</v>
      </c>
      <c r="F9" s="8" t="s">
        <v>125</v>
      </c>
      <c r="G9">
        <v>133</v>
      </c>
      <c r="H9">
        <v>310</v>
      </c>
      <c r="I9">
        <f t="shared" si="0"/>
        <v>0.42903225806451611</v>
      </c>
      <c r="K9" t="s">
        <v>126</v>
      </c>
      <c r="L9">
        <f>19+22</f>
        <v>41</v>
      </c>
      <c r="M9">
        <v>310</v>
      </c>
      <c r="N9">
        <f t="shared" ref="N9:N10" si="1">L9/M9</f>
        <v>0.13225806451612904</v>
      </c>
    </row>
    <row r="10" spans="1:14">
      <c r="A10" t="s">
        <v>127</v>
      </c>
      <c r="B10" t="s">
        <v>64</v>
      </c>
      <c r="C10">
        <v>8</v>
      </c>
      <c r="F10" s="8" t="s">
        <v>128</v>
      </c>
      <c r="G10">
        <v>115</v>
      </c>
      <c r="H10">
        <v>310</v>
      </c>
      <c r="I10">
        <f t="shared" si="0"/>
        <v>0.37096774193548387</v>
      </c>
      <c r="K10" t="s">
        <v>129</v>
      </c>
      <c r="L10">
        <f>158+58</f>
        <v>216</v>
      </c>
      <c r="M10">
        <v>310</v>
      </c>
      <c r="N10">
        <f t="shared" si="1"/>
        <v>0.6967741935483871</v>
      </c>
    </row>
    <row r="11" spans="1:14">
      <c r="A11" t="s">
        <v>130</v>
      </c>
      <c r="B11" t="s">
        <v>64</v>
      </c>
      <c r="C11">
        <v>18</v>
      </c>
      <c r="F11" s="8" t="s">
        <v>131</v>
      </c>
      <c r="G11">
        <v>58</v>
      </c>
      <c r="H11">
        <v>310</v>
      </c>
      <c r="I11">
        <f t="shared" si="0"/>
        <v>0.18709677419354839</v>
      </c>
    </row>
    <row r="12" spans="1:14">
      <c r="A12" t="s">
        <v>65</v>
      </c>
      <c r="B12" t="s">
        <v>30</v>
      </c>
      <c r="C12">
        <v>5</v>
      </c>
      <c r="F12" s="8" t="s">
        <v>30</v>
      </c>
      <c r="G12">
        <v>158</v>
      </c>
      <c r="H12">
        <v>310</v>
      </c>
      <c r="I12">
        <f t="shared" si="0"/>
        <v>0.50967741935483868</v>
      </c>
    </row>
    <row r="13" spans="1:14">
      <c r="A13" t="s">
        <v>132</v>
      </c>
      <c r="B13" t="s">
        <v>30</v>
      </c>
      <c r="C13">
        <v>9</v>
      </c>
      <c r="F13" s="8" t="s">
        <v>113</v>
      </c>
      <c r="G13">
        <v>56</v>
      </c>
      <c r="H13">
        <v>310</v>
      </c>
      <c r="I13">
        <f t="shared" si="0"/>
        <v>0.18064516129032257</v>
      </c>
    </row>
    <row r="14" spans="1:14">
      <c r="A14" t="s">
        <v>133</v>
      </c>
      <c r="B14" t="s">
        <v>16</v>
      </c>
      <c r="C14">
        <v>22</v>
      </c>
      <c r="F14" s="8" t="s">
        <v>134</v>
      </c>
      <c r="G14">
        <v>1</v>
      </c>
      <c r="H14">
        <v>310</v>
      </c>
      <c r="I14">
        <f t="shared" si="0"/>
        <v>3.2258064516129032E-3</v>
      </c>
    </row>
    <row r="15" spans="1:14">
      <c r="A15" t="s">
        <v>135</v>
      </c>
      <c r="B15" t="s">
        <v>64</v>
      </c>
      <c r="C15">
        <v>5</v>
      </c>
      <c r="F15" s="8" t="s">
        <v>32</v>
      </c>
      <c r="G15">
        <v>22</v>
      </c>
      <c r="H15">
        <v>310</v>
      </c>
      <c r="I15">
        <f t="shared" si="0"/>
        <v>7.0967741935483872E-2</v>
      </c>
    </row>
    <row r="16" spans="1:14">
      <c r="A16" t="s">
        <v>136</v>
      </c>
      <c r="B16" t="s">
        <v>131</v>
      </c>
      <c r="C16">
        <v>11</v>
      </c>
      <c r="F16" s="8" t="s">
        <v>34</v>
      </c>
      <c r="G16">
        <v>88</v>
      </c>
      <c r="H16">
        <v>310</v>
      </c>
      <c r="I16">
        <f t="shared" si="0"/>
        <v>0.28387096774193549</v>
      </c>
    </row>
    <row r="17" spans="1:9">
      <c r="A17" t="s">
        <v>137</v>
      </c>
      <c r="B17" t="s">
        <v>115</v>
      </c>
      <c r="C17">
        <v>3</v>
      </c>
      <c r="F17" s="8" t="s">
        <v>138</v>
      </c>
      <c r="G17">
        <v>19</v>
      </c>
      <c r="H17">
        <v>310</v>
      </c>
      <c r="I17">
        <f t="shared" si="0"/>
        <v>6.1290322580645158E-2</v>
      </c>
    </row>
    <row r="18" spans="1:9">
      <c r="A18" t="s">
        <v>139</v>
      </c>
      <c r="B18" t="s">
        <v>131</v>
      </c>
      <c r="C18">
        <v>3</v>
      </c>
      <c r="F18" s="8" t="s">
        <v>12</v>
      </c>
      <c r="G18">
        <v>725</v>
      </c>
      <c r="H18">
        <v>310</v>
      </c>
      <c r="I18">
        <f t="shared" si="0"/>
        <v>2.338709677419355</v>
      </c>
    </row>
    <row r="19" spans="1:9">
      <c r="A19" t="s">
        <v>140</v>
      </c>
      <c r="B19" t="s">
        <v>141</v>
      </c>
      <c r="C19">
        <v>3</v>
      </c>
      <c r="H19">
        <v>310</v>
      </c>
      <c r="I19">
        <f t="shared" si="0"/>
        <v>0</v>
      </c>
    </row>
    <row r="20" spans="1:9">
      <c r="A20" t="s">
        <v>68</v>
      </c>
      <c r="B20" t="s">
        <v>142</v>
      </c>
      <c r="C20">
        <v>3</v>
      </c>
      <c r="H20">
        <v>310</v>
      </c>
      <c r="I20">
        <f t="shared" si="0"/>
        <v>0</v>
      </c>
    </row>
    <row r="21" spans="1:9">
      <c r="A21" t="s">
        <v>143</v>
      </c>
      <c r="B21" t="s">
        <v>142</v>
      </c>
      <c r="C21">
        <v>9</v>
      </c>
      <c r="H21">
        <v>310</v>
      </c>
      <c r="I21">
        <f t="shared" si="0"/>
        <v>0</v>
      </c>
    </row>
    <row r="22" spans="1:9">
      <c r="A22" t="s">
        <v>144</v>
      </c>
      <c r="B22" t="s">
        <v>4</v>
      </c>
      <c r="C22">
        <v>1</v>
      </c>
      <c r="H22">
        <v>310</v>
      </c>
      <c r="I22">
        <f t="shared" si="0"/>
        <v>0</v>
      </c>
    </row>
    <row r="23" spans="1:9">
      <c r="A23" t="s">
        <v>145</v>
      </c>
      <c r="B23" t="s">
        <v>4</v>
      </c>
      <c r="C23">
        <v>2</v>
      </c>
      <c r="H23">
        <v>310</v>
      </c>
      <c r="I23">
        <f t="shared" si="0"/>
        <v>0</v>
      </c>
    </row>
    <row r="24" spans="1:9">
      <c r="A24" t="s">
        <v>56</v>
      </c>
      <c r="B24" t="s">
        <v>16</v>
      </c>
      <c r="C24">
        <v>9</v>
      </c>
      <c r="H24">
        <v>310</v>
      </c>
      <c r="I24">
        <f t="shared" si="0"/>
        <v>0</v>
      </c>
    </row>
    <row r="25" spans="1:9">
      <c r="A25" t="s">
        <v>146</v>
      </c>
      <c r="B25" t="s">
        <v>64</v>
      </c>
      <c r="C25">
        <v>4</v>
      </c>
      <c r="H25">
        <v>310</v>
      </c>
      <c r="I25">
        <f t="shared" si="0"/>
        <v>0</v>
      </c>
    </row>
    <row r="26" spans="1:9">
      <c r="A26" t="s">
        <v>147</v>
      </c>
      <c r="B26" t="s">
        <v>131</v>
      </c>
      <c r="C26">
        <v>6</v>
      </c>
      <c r="H26">
        <v>310</v>
      </c>
      <c r="I26">
        <f t="shared" si="0"/>
        <v>0</v>
      </c>
    </row>
    <row r="27" spans="1:9">
      <c r="A27" t="s">
        <v>75</v>
      </c>
      <c r="B27" t="s">
        <v>16</v>
      </c>
      <c r="C27">
        <v>4</v>
      </c>
      <c r="H27">
        <v>310</v>
      </c>
      <c r="I27">
        <f t="shared" si="0"/>
        <v>0</v>
      </c>
    </row>
    <row r="28" spans="1:9">
      <c r="A28" t="s">
        <v>148</v>
      </c>
      <c r="B28" t="s">
        <v>24</v>
      </c>
      <c r="C28">
        <v>6</v>
      </c>
      <c r="H28">
        <v>310</v>
      </c>
      <c r="I28">
        <f t="shared" si="0"/>
        <v>0</v>
      </c>
    </row>
    <row r="29" spans="1:9">
      <c r="A29" t="s">
        <v>149</v>
      </c>
      <c r="B29" t="s">
        <v>118</v>
      </c>
      <c r="C29">
        <v>4</v>
      </c>
      <c r="H29">
        <v>310</v>
      </c>
      <c r="I29">
        <f t="shared" si="0"/>
        <v>0</v>
      </c>
    </row>
    <row r="30" spans="1:9">
      <c r="A30" t="s">
        <v>150</v>
      </c>
      <c r="B30" t="s">
        <v>16</v>
      </c>
      <c r="C30">
        <v>5</v>
      </c>
      <c r="H30">
        <v>310</v>
      </c>
      <c r="I30">
        <f t="shared" si="0"/>
        <v>0</v>
      </c>
    </row>
    <row r="31" spans="1:9">
      <c r="A31" t="s">
        <v>151</v>
      </c>
      <c r="B31" t="s">
        <v>30</v>
      </c>
      <c r="C31">
        <v>4</v>
      </c>
      <c r="H31">
        <v>310</v>
      </c>
      <c r="I31">
        <f t="shared" si="0"/>
        <v>0</v>
      </c>
    </row>
    <row r="32" spans="1:9">
      <c r="A32" t="s">
        <v>152</v>
      </c>
      <c r="B32" t="s">
        <v>30</v>
      </c>
      <c r="C32">
        <v>5</v>
      </c>
      <c r="H32">
        <v>310</v>
      </c>
      <c r="I32">
        <f t="shared" si="0"/>
        <v>0</v>
      </c>
    </row>
    <row r="33" spans="1:9">
      <c r="A33" t="s">
        <v>67</v>
      </c>
      <c r="B33" t="s">
        <v>142</v>
      </c>
      <c r="C33">
        <v>4</v>
      </c>
      <c r="H33">
        <v>310</v>
      </c>
      <c r="I33">
        <f t="shared" si="0"/>
        <v>0</v>
      </c>
    </row>
    <row r="34" spans="1:9">
      <c r="A34" t="s">
        <v>153</v>
      </c>
      <c r="B34" t="s">
        <v>30</v>
      </c>
      <c r="C34">
        <v>5</v>
      </c>
      <c r="H34">
        <v>310</v>
      </c>
      <c r="I34">
        <f t="shared" si="0"/>
        <v>0</v>
      </c>
    </row>
    <row r="35" spans="1:9">
      <c r="A35" t="s">
        <v>154</v>
      </c>
      <c r="B35" t="s">
        <v>24</v>
      </c>
      <c r="C35">
        <v>17</v>
      </c>
      <c r="H35">
        <v>310</v>
      </c>
      <c r="I35">
        <f t="shared" si="0"/>
        <v>0</v>
      </c>
    </row>
    <row r="36" spans="1:9">
      <c r="A36" t="s">
        <v>155</v>
      </c>
      <c r="B36" t="s">
        <v>125</v>
      </c>
      <c r="C36">
        <v>4</v>
      </c>
      <c r="H36">
        <v>310</v>
      </c>
      <c r="I36">
        <f t="shared" si="0"/>
        <v>0</v>
      </c>
    </row>
    <row r="37" spans="1:9">
      <c r="A37" t="s">
        <v>102</v>
      </c>
      <c r="B37" t="s">
        <v>125</v>
      </c>
      <c r="C37">
        <v>13</v>
      </c>
      <c r="H37">
        <v>310</v>
      </c>
      <c r="I37">
        <f t="shared" si="0"/>
        <v>0</v>
      </c>
    </row>
    <row r="38" spans="1:9">
      <c r="A38" t="s">
        <v>156</v>
      </c>
      <c r="B38" t="s">
        <v>34</v>
      </c>
      <c r="C38">
        <v>4</v>
      </c>
    </row>
    <row r="39" spans="1:9">
      <c r="A39" t="s">
        <v>157</v>
      </c>
      <c r="B39" t="s">
        <v>26</v>
      </c>
      <c r="C39">
        <v>13</v>
      </c>
    </row>
    <row r="40" spans="1:9">
      <c r="A40" t="s">
        <v>158</v>
      </c>
      <c r="B40" t="s">
        <v>113</v>
      </c>
      <c r="C40">
        <v>4</v>
      </c>
    </row>
    <row r="41" spans="1:9">
      <c r="A41" t="s">
        <v>159</v>
      </c>
      <c r="B41" t="s">
        <v>64</v>
      </c>
      <c r="C41">
        <v>4</v>
      </c>
    </row>
    <row r="42" spans="1:9">
      <c r="A42" t="s">
        <v>160</v>
      </c>
      <c r="B42" t="s">
        <v>142</v>
      </c>
      <c r="C42">
        <v>4</v>
      </c>
    </row>
    <row r="43" spans="1:9">
      <c r="A43" t="s">
        <v>161</v>
      </c>
      <c r="B43" t="s">
        <v>125</v>
      </c>
      <c r="C43">
        <v>6</v>
      </c>
    </row>
    <row r="44" spans="1:9">
      <c r="A44" t="s">
        <v>162</v>
      </c>
      <c r="B44" t="s">
        <v>64</v>
      </c>
      <c r="C44">
        <v>6</v>
      </c>
    </row>
    <row r="45" spans="1:9">
      <c r="A45" t="s">
        <v>35</v>
      </c>
      <c r="B45" t="s">
        <v>30</v>
      </c>
      <c r="C45">
        <v>12</v>
      </c>
    </row>
    <row r="46" spans="1:9">
      <c r="A46" t="s">
        <v>163</v>
      </c>
      <c r="B46" t="s">
        <v>164</v>
      </c>
      <c r="C46">
        <v>4</v>
      </c>
    </row>
    <row r="47" spans="1:9">
      <c r="A47" t="s">
        <v>165</v>
      </c>
      <c r="B47" t="s">
        <v>61</v>
      </c>
      <c r="C47">
        <v>10</v>
      </c>
    </row>
    <row r="48" spans="1:9">
      <c r="A48" t="s">
        <v>166</v>
      </c>
      <c r="B48" t="s">
        <v>131</v>
      </c>
      <c r="C48">
        <v>4</v>
      </c>
    </row>
    <row r="49" spans="1:3">
      <c r="A49" t="s">
        <v>167</v>
      </c>
      <c r="B49" t="s">
        <v>16</v>
      </c>
      <c r="C49">
        <v>17</v>
      </c>
    </row>
    <row r="50" spans="1:3">
      <c r="A50" t="s">
        <v>168</v>
      </c>
      <c r="B50" t="s">
        <v>164</v>
      </c>
      <c r="C50">
        <v>9</v>
      </c>
    </row>
    <row r="51" spans="1:3">
      <c r="A51" t="s">
        <v>169</v>
      </c>
      <c r="B51" t="s">
        <v>30</v>
      </c>
      <c r="C51">
        <v>4</v>
      </c>
    </row>
    <row r="52" spans="1:3">
      <c r="A52" t="s">
        <v>170</v>
      </c>
      <c r="B52" t="s">
        <v>26</v>
      </c>
      <c r="C52">
        <v>4</v>
      </c>
    </row>
    <row r="53" spans="1:3">
      <c r="A53" t="s">
        <v>171</v>
      </c>
      <c r="B53" t="s">
        <v>30</v>
      </c>
      <c r="C53">
        <v>4</v>
      </c>
    </row>
    <row r="54" spans="1:3">
      <c r="A54" t="s">
        <v>172</v>
      </c>
      <c r="B54" t="s">
        <v>30</v>
      </c>
      <c r="C54">
        <v>4</v>
      </c>
    </row>
    <row r="55" spans="1:3">
      <c r="A55" t="s">
        <v>173</v>
      </c>
      <c r="B55" t="s">
        <v>138</v>
      </c>
      <c r="C55">
        <v>4</v>
      </c>
    </row>
    <row r="56" spans="1:3">
      <c r="A56" t="s">
        <v>174</v>
      </c>
      <c r="B56" t="s">
        <v>64</v>
      </c>
      <c r="C56">
        <v>4</v>
      </c>
    </row>
    <row r="57" spans="1:3">
      <c r="A57" t="s">
        <v>175</v>
      </c>
      <c r="B57" t="s">
        <v>26</v>
      </c>
      <c r="C57">
        <v>11</v>
      </c>
    </row>
    <row r="58" spans="1:3">
      <c r="A58" t="s">
        <v>176</v>
      </c>
      <c r="B58" t="s">
        <v>34</v>
      </c>
      <c r="C58">
        <v>6</v>
      </c>
    </row>
    <row r="59" spans="1:3">
      <c r="A59" t="s">
        <v>177</v>
      </c>
      <c r="B59" t="s">
        <v>16</v>
      </c>
      <c r="C59">
        <v>5</v>
      </c>
    </row>
    <row r="60" spans="1:3">
      <c r="A60" t="s">
        <v>94</v>
      </c>
      <c r="B60" t="s">
        <v>131</v>
      </c>
      <c r="C60">
        <v>8</v>
      </c>
    </row>
    <row r="61" spans="1:3">
      <c r="A61" t="s">
        <v>178</v>
      </c>
      <c r="B61" t="s">
        <v>131</v>
      </c>
      <c r="C61">
        <v>12</v>
      </c>
    </row>
    <row r="62" spans="1:3">
      <c r="A62" t="s">
        <v>179</v>
      </c>
      <c r="B62" t="s">
        <v>131</v>
      </c>
      <c r="C62">
        <v>7</v>
      </c>
    </row>
    <row r="63" spans="1:3">
      <c r="A63" t="s">
        <v>180</v>
      </c>
      <c r="B63" t="s">
        <v>115</v>
      </c>
      <c r="C63">
        <v>5</v>
      </c>
    </row>
    <row r="64" spans="1:3">
      <c r="A64" t="s">
        <v>181</v>
      </c>
      <c r="B64" t="s">
        <v>30</v>
      </c>
      <c r="C64">
        <v>5</v>
      </c>
    </row>
    <row r="65" spans="1:3">
      <c r="A65" t="s">
        <v>182</v>
      </c>
      <c r="B65" t="s">
        <v>34</v>
      </c>
      <c r="C65">
        <v>4</v>
      </c>
    </row>
    <row r="66" spans="1:3">
      <c r="A66" t="s">
        <v>183</v>
      </c>
      <c r="B66" t="s">
        <v>30</v>
      </c>
      <c r="C66">
        <v>6</v>
      </c>
    </row>
    <row r="67" spans="1:3">
      <c r="A67" t="s">
        <v>184</v>
      </c>
      <c r="B67" t="s">
        <v>113</v>
      </c>
      <c r="C67">
        <v>4</v>
      </c>
    </row>
    <row r="68" spans="1:3">
      <c r="A68" t="s">
        <v>185</v>
      </c>
      <c r="B68" t="s">
        <v>113</v>
      </c>
      <c r="C68">
        <v>4</v>
      </c>
    </row>
    <row r="69" spans="1:3">
      <c r="A69" t="s">
        <v>186</v>
      </c>
      <c r="B69" t="s">
        <v>34</v>
      </c>
      <c r="C69">
        <v>4</v>
      </c>
    </row>
    <row r="70" spans="1:3">
      <c r="A70" t="s">
        <v>187</v>
      </c>
      <c r="B70" t="s">
        <v>16</v>
      </c>
      <c r="C70">
        <v>4</v>
      </c>
    </row>
    <row r="71" spans="1:3">
      <c r="A71" t="s">
        <v>81</v>
      </c>
      <c r="B71" t="s">
        <v>64</v>
      </c>
      <c r="C71">
        <v>6</v>
      </c>
    </row>
    <row r="72" spans="1:3">
      <c r="A72" t="s">
        <v>188</v>
      </c>
      <c r="B72" t="s">
        <v>113</v>
      </c>
      <c r="C72">
        <v>4</v>
      </c>
    </row>
    <row r="73" spans="1:3">
      <c r="A73" t="s">
        <v>74</v>
      </c>
      <c r="B73" t="s">
        <v>30</v>
      </c>
      <c r="C73">
        <v>10</v>
      </c>
    </row>
    <row r="74" spans="1:3">
      <c r="A74" t="s">
        <v>189</v>
      </c>
      <c r="B74" t="s">
        <v>138</v>
      </c>
      <c r="C74">
        <v>4</v>
      </c>
    </row>
    <row r="75" spans="1:3">
      <c r="A75" t="s">
        <v>190</v>
      </c>
      <c r="B75" t="s">
        <v>61</v>
      </c>
      <c r="C75">
        <v>7</v>
      </c>
    </row>
    <row r="76" spans="1:3">
      <c r="A76" t="s">
        <v>191</v>
      </c>
      <c r="B76" t="s">
        <v>125</v>
      </c>
      <c r="C76">
        <v>4</v>
      </c>
    </row>
    <row r="77" spans="1:3">
      <c r="A77" t="s">
        <v>192</v>
      </c>
      <c r="B77" t="s">
        <v>30</v>
      </c>
      <c r="C77">
        <v>5</v>
      </c>
    </row>
    <row r="78" spans="1:3">
      <c r="A78" t="s">
        <v>193</v>
      </c>
      <c r="B78" t="s">
        <v>64</v>
      </c>
      <c r="C78">
        <v>4</v>
      </c>
    </row>
    <row r="79" spans="1:3">
      <c r="A79" t="s">
        <v>194</v>
      </c>
      <c r="B79" t="s">
        <v>118</v>
      </c>
      <c r="C79">
        <v>4</v>
      </c>
    </row>
    <row r="80" spans="1:3">
      <c r="A80" t="s">
        <v>195</v>
      </c>
      <c r="B80" t="s">
        <v>142</v>
      </c>
      <c r="C80">
        <v>5</v>
      </c>
    </row>
    <row r="81" spans="1:3">
      <c r="A81" t="s">
        <v>196</v>
      </c>
      <c r="B81" t="s">
        <v>115</v>
      </c>
      <c r="C81">
        <v>4</v>
      </c>
    </row>
    <row r="82" spans="1:3">
      <c r="A82" t="s">
        <v>25</v>
      </c>
      <c r="B82" t="s">
        <v>26</v>
      </c>
      <c r="C82">
        <v>15</v>
      </c>
    </row>
    <row r="83" spans="1:3">
      <c r="A83" t="s">
        <v>71</v>
      </c>
      <c r="B83" t="s">
        <v>34</v>
      </c>
      <c r="C83">
        <v>16</v>
      </c>
    </row>
    <row r="84" spans="1:3">
      <c r="A84" t="s">
        <v>197</v>
      </c>
      <c r="B84" t="s">
        <v>30</v>
      </c>
      <c r="C84">
        <v>4</v>
      </c>
    </row>
    <row r="85" spans="1:3">
      <c r="A85" t="s">
        <v>198</v>
      </c>
      <c r="B85" t="s">
        <v>125</v>
      </c>
      <c r="C85">
        <v>5</v>
      </c>
    </row>
    <row r="86" spans="1:3">
      <c r="A86" t="s">
        <v>77</v>
      </c>
      <c r="B86" t="s">
        <v>141</v>
      </c>
      <c r="C86">
        <v>8</v>
      </c>
    </row>
    <row r="87" spans="1:3">
      <c r="A87" t="s">
        <v>103</v>
      </c>
      <c r="B87" t="s">
        <v>125</v>
      </c>
      <c r="C87">
        <v>16</v>
      </c>
    </row>
    <row r="88" spans="1:3">
      <c r="A88" t="s">
        <v>199</v>
      </c>
      <c r="B88" t="s">
        <v>131</v>
      </c>
      <c r="C88">
        <v>4</v>
      </c>
    </row>
    <row r="89" spans="1:3">
      <c r="A89" t="s">
        <v>200</v>
      </c>
      <c r="B89" t="s">
        <v>125</v>
      </c>
      <c r="C89">
        <v>10</v>
      </c>
    </row>
    <row r="90" spans="1:3">
      <c r="A90" t="s">
        <v>201</v>
      </c>
      <c r="B90" t="s">
        <v>16</v>
      </c>
      <c r="C90">
        <v>9</v>
      </c>
    </row>
    <row r="91" spans="1:3">
      <c r="A91" t="s">
        <v>202</v>
      </c>
      <c r="B91" t="s">
        <v>141</v>
      </c>
      <c r="C91">
        <v>4</v>
      </c>
    </row>
    <row r="92" spans="1:3">
      <c r="A92" t="s">
        <v>203</v>
      </c>
      <c r="B92" t="s">
        <v>30</v>
      </c>
      <c r="C92">
        <v>4</v>
      </c>
    </row>
    <row r="93" spans="1:3">
      <c r="A93" t="s">
        <v>204</v>
      </c>
      <c r="B93" t="s">
        <v>30</v>
      </c>
      <c r="C93">
        <v>5</v>
      </c>
    </row>
    <row r="94" spans="1:3">
      <c r="A94" t="s">
        <v>205</v>
      </c>
      <c r="B94" t="s">
        <v>30</v>
      </c>
      <c r="C94">
        <v>4</v>
      </c>
    </row>
    <row r="95" spans="1:3">
      <c r="A95" t="s">
        <v>206</v>
      </c>
      <c r="B95" t="s">
        <v>113</v>
      </c>
      <c r="C95">
        <v>4</v>
      </c>
    </row>
    <row r="96" spans="1:3">
      <c r="A96" t="s">
        <v>207</v>
      </c>
      <c r="B96" t="s">
        <v>208</v>
      </c>
      <c r="C96">
        <v>4</v>
      </c>
    </row>
    <row r="97" spans="1:3">
      <c r="A97" t="s">
        <v>209</v>
      </c>
      <c r="B97" t="s">
        <v>142</v>
      </c>
      <c r="C97">
        <v>4</v>
      </c>
    </row>
    <row r="98" spans="1:3">
      <c r="A98" t="s">
        <v>210</v>
      </c>
      <c r="B98" t="s">
        <v>118</v>
      </c>
      <c r="C98">
        <v>6</v>
      </c>
    </row>
    <row r="99" spans="1:3">
      <c r="A99" t="s">
        <v>211</v>
      </c>
      <c r="B99" t="s">
        <v>30</v>
      </c>
      <c r="C99">
        <v>4</v>
      </c>
    </row>
    <row r="100" spans="1:3">
      <c r="A100" t="s">
        <v>212</v>
      </c>
      <c r="B100" t="s">
        <v>213</v>
      </c>
      <c r="C100">
        <v>13</v>
      </c>
    </row>
    <row r="101" spans="1:3">
      <c r="A101" t="s">
        <v>214</v>
      </c>
      <c r="B101" t="s">
        <v>113</v>
      </c>
      <c r="C101">
        <v>6</v>
      </c>
    </row>
    <row r="102" spans="1:3">
      <c r="A102" t="s">
        <v>86</v>
      </c>
      <c r="B102" t="s">
        <v>26</v>
      </c>
      <c r="C102">
        <v>10</v>
      </c>
    </row>
    <row r="103" spans="1:3">
      <c r="A103" t="s">
        <v>215</v>
      </c>
      <c r="B103" t="s">
        <v>115</v>
      </c>
      <c r="C103">
        <v>4</v>
      </c>
    </row>
    <row r="104" spans="1:3">
      <c r="A104" t="s">
        <v>216</v>
      </c>
      <c r="B104" t="s">
        <v>217</v>
      </c>
      <c r="C104">
        <v>13</v>
      </c>
    </row>
    <row r="105" spans="1:3">
      <c r="A105" t="s">
        <v>99</v>
      </c>
      <c r="B105" t="s">
        <v>125</v>
      </c>
      <c r="C105">
        <v>7</v>
      </c>
    </row>
    <row r="106" spans="1:3">
      <c r="A106" t="s">
        <v>101</v>
      </c>
      <c r="B106" t="s">
        <v>4</v>
      </c>
      <c r="C106">
        <v>13</v>
      </c>
    </row>
    <row r="107" spans="1:3">
      <c r="A107" t="s">
        <v>97</v>
      </c>
      <c r="B107" t="s">
        <v>125</v>
      </c>
      <c r="C107">
        <v>11</v>
      </c>
    </row>
    <row r="108" spans="1:3">
      <c r="A108" t="s">
        <v>218</v>
      </c>
      <c r="B108" t="s">
        <v>19</v>
      </c>
      <c r="C108">
        <v>4</v>
      </c>
    </row>
    <row r="109" spans="1:3">
      <c r="A109" t="s">
        <v>27</v>
      </c>
      <c r="B109" t="s">
        <v>19</v>
      </c>
      <c r="C109">
        <v>5</v>
      </c>
    </row>
    <row r="110" spans="1:3">
      <c r="A110" t="s">
        <v>219</v>
      </c>
      <c r="B110" t="s">
        <v>19</v>
      </c>
      <c r="C110">
        <v>7</v>
      </c>
    </row>
    <row r="111" spans="1:3" ht="15" thickBot="1">
      <c r="A111" t="s">
        <v>220</v>
      </c>
      <c r="B111" t="s">
        <v>30</v>
      </c>
      <c r="C111">
        <v>14</v>
      </c>
    </row>
    <row r="112" spans="1:3" ht="15" thickBot="1">
      <c r="A112" s="3" t="s">
        <v>221</v>
      </c>
      <c r="B112" s="3" t="s">
        <v>138</v>
      </c>
      <c r="C112" s="4">
        <v>4</v>
      </c>
    </row>
    <row r="113" spans="1:3" ht="15" thickBot="1">
      <c r="A113" s="3" t="s">
        <v>222</v>
      </c>
      <c r="B113" s="3" t="s">
        <v>34</v>
      </c>
      <c r="C113" s="4">
        <v>3</v>
      </c>
    </row>
    <row r="114" spans="1:3" ht="15" thickBot="1">
      <c r="A114" s="3" t="s">
        <v>223</v>
      </c>
      <c r="B114" s="3" t="s">
        <v>34</v>
      </c>
      <c r="C114" s="4">
        <v>3</v>
      </c>
    </row>
    <row r="115" spans="1:3" ht="15" thickBot="1">
      <c r="A115" s="3" t="s">
        <v>66</v>
      </c>
      <c r="B115" s="3" t="s">
        <v>118</v>
      </c>
      <c r="C115" s="4">
        <v>3</v>
      </c>
    </row>
    <row r="116" spans="1:3" ht="15" thickBot="1">
      <c r="A116" s="3" t="s">
        <v>224</v>
      </c>
      <c r="B116" s="3" t="s">
        <v>22</v>
      </c>
      <c r="C116" s="4">
        <v>2</v>
      </c>
    </row>
    <row r="117" spans="1:3" ht="15" thickBot="1">
      <c r="A117" s="3" t="s">
        <v>225</v>
      </c>
      <c r="B117" s="3" t="s">
        <v>4</v>
      </c>
      <c r="C117" s="4">
        <v>2</v>
      </c>
    </row>
    <row r="118" spans="1:3" ht="15" thickBot="1">
      <c r="A118" s="3" t="s">
        <v>226</v>
      </c>
      <c r="B118" s="3" t="s">
        <v>64</v>
      </c>
      <c r="C118" s="4">
        <v>1</v>
      </c>
    </row>
    <row r="119" spans="1:3" ht="15" thickBot="1">
      <c r="A119" s="3" t="s">
        <v>227</v>
      </c>
      <c r="B119" s="3" t="s">
        <v>128</v>
      </c>
      <c r="C119" s="4">
        <v>2</v>
      </c>
    </row>
    <row r="120" spans="1:3" ht="15" thickBot="1">
      <c r="A120" s="3" t="s">
        <v>228</v>
      </c>
      <c r="B120" s="3" t="s">
        <v>118</v>
      </c>
      <c r="C120" s="4">
        <v>1</v>
      </c>
    </row>
    <row r="121" spans="1:3" ht="15" thickBot="1">
      <c r="A121" s="3" t="s">
        <v>229</v>
      </c>
      <c r="B121" s="3" t="s">
        <v>64</v>
      </c>
      <c r="C121" s="4">
        <v>1</v>
      </c>
    </row>
    <row r="122" spans="1:3" ht="15" thickBot="1">
      <c r="A122" s="3" t="s">
        <v>230</v>
      </c>
      <c r="B122" s="3" t="s">
        <v>61</v>
      </c>
      <c r="C122" s="4">
        <v>2</v>
      </c>
    </row>
    <row r="123" spans="1:3" ht="15" thickBot="1">
      <c r="A123" s="3" t="s">
        <v>231</v>
      </c>
      <c r="B123" s="3" t="s">
        <v>30</v>
      </c>
      <c r="C123" s="4">
        <v>1</v>
      </c>
    </row>
    <row r="124" spans="1:3" ht="15" thickBot="1">
      <c r="A124" s="3" t="s">
        <v>232</v>
      </c>
      <c r="B124" s="3" t="s">
        <v>128</v>
      </c>
      <c r="C124" s="4">
        <v>2</v>
      </c>
    </row>
    <row r="125" spans="1:3" ht="15" thickBot="1">
      <c r="A125" s="3" t="s">
        <v>233</v>
      </c>
      <c r="B125" s="3" t="s">
        <v>19</v>
      </c>
      <c r="C125" s="4">
        <v>2</v>
      </c>
    </row>
    <row r="126" spans="1:3" ht="15" thickBot="1">
      <c r="A126" s="3" t="s">
        <v>234</v>
      </c>
      <c r="B126" s="3" t="s">
        <v>128</v>
      </c>
      <c r="C126" s="4">
        <v>2</v>
      </c>
    </row>
    <row r="127" spans="1:3" ht="15" thickBot="1">
      <c r="A127" s="3" t="s">
        <v>235</v>
      </c>
      <c r="B127" s="3" t="s">
        <v>4</v>
      </c>
      <c r="C127" s="4">
        <v>1</v>
      </c>
    </row>
    <row r="128" spans="1:3" ht="15" thickBot="1">
      <c r="A128" s="3" t="s">
        <v>236</v>
      </c>
      <c r="B128" s="3" t="s">
        <v>4</v>
      </c>
      <c r="C128" s="4">
        <v>1</v>
      </c>
    </row>
    <row r="129" spans="1:3" ht="15" thickBot="1">
      <c r="A129" s="3" t="s">
        <v>237</v>
      </c>
      <c r="B129" s="3" t="s">
        <v>26</v>
      </c>
      <c r="C129" s="4">
        <v>1</v>
      </c>
    </row>
    <row r="130" spans="1:3" ht="15" thickBot="1">
      <c r="A130" s="3" t="s">
        <v>238</v>
      </c>
      <c r="B130" s="3" t="s">
        <v>61</v>
      </c>
      <c r="C130" s="4">
        <v>1</v>
      </c>
    </row>
    <row r="131" spans="1:3" ht="15" thickBot="1">
      <c r="A131" s="3" t="s">
        <v>239</v>
      </c>
      <c r="B131" s="3" t="s">
        <v>30</v>
      </c>
      <c r="C131" s="4">
        <v>1</v>
      </c>
    </row>
    <row r="132" spans="1:3" ht="15" thickBot="1">
      <c r="A132" s="3" t="s">
        <v>240</v>
      </c>
      <c r="B132" s="3" t="s">
        <v>4</v>
      </c>
      <c r="C132" s="4">
        <v>1</v>
      </c>
    </row>
    <row r="133" spans="1:3" ht="15" thickBot="1">
      <c r="A133" s="3" t="s">
        <v>241</v>
      </c>
      <c r="B133" s="3" t="s">
        <v>6</v>
      </c>
      <c r="C133" s="4">
        <v>1</v>
      </c>
    </row>
    <row r="134" spans="1:3" ht="15" thickBot="1">
      <c r="A134" s="3" t="s">
        <v>242</v>
      </c>
      <c r="B134" s="3" t="s">
        <v>64</v>
      </c>
      <c r="C134" s="4">
        <v>1</v>
      </c>
    </row>
    <row r="135" spans="1:3" ht="15" thickBot="1">
      <c r="A135" s="3" t="s">
        <v>243</v>
      </c>
      <c r="B135" s="3" t="s">
        <v>4</v>
      </c>
      <c r="C135" s="4">
        <v>1</v>
      </c>
    </row>
    <row r="136" spans="1:3" ht="15" thickBot="1">
      <c r="A136" s="3" t="s">
        <v>244</v>
      </c>
      <c r="B136" s="3" t="s">
        <v>125</v>
      </c>
      <c r="C136" s="4">
        <v>1</v>
      </c>
    </row>
    <row r="137" spans="1:3" ht="15" thickBot="1">
      <c r="A137" s="3" t="s">
        <v>245</v>
      </c>
      <c r="B137" s="3" t="s">
        <v>22</v>
      </c>
      <c r="C137" s="4">
        <v>1</v>
      </c>
    </row>
    <row r="138" spans="1:3" ht="15" thickBot="1">
      <c r="A138" s="3" t="s">
        <v>246</v>
      </c>
      <c r="B138" s="3" t="s">
        <v>19</v>
      </c>
      <c r="C138" s="4">
        <v>1</v>
      </c>
    </row>
    <row r="139" spans="1:3" ht="15" thickBot="1">
      <c r="A139" s="3" t="s">
        <v>247</v>
      </c>
      <c r="B139" s="3" t="s">
        <v>61</v>
      </c>
      <c r="C139" s="4">
        <v>1</v>
      </c>
    </row>
    <row r="140" spans="1:3" ht="15" thickBot="1">
      <c r="A140" s="3" t="s">
        <v>248</v>
      </c>
      <c r="B140" s="3" t="s">
        <v>138</v>
      </c>
      <c r="C140" s="4">
        <v>1</v>
      </c>
    </row>
    <row r="141" spans="1:3" ht="15" thickBot="1">
      <c r="A141" s="3" t="s">
        <v>249</v>
      </c>
      <c r="B141" s="3" t="s">
        <v>19</v>
      </c>
      <c r="C141" s="4">
        <v>1</v>
      </c>
    </row>
    <row r="142" spans="1:3" ht="15" thickBot="1">
      <c r="A142" s="3" t="s">
        <v>250</v>
      </c>
      <c r="B142" s="3" t="s">
        <v>128</v>
      </c>
      <c r="C142" s="4">
        <v>1</v>
      </c>
    </row>
    <row r="143" spans="1:3" ht="15" thickBot="1">
      <c r="A143" s="3" t="s">
        <v>251</v>
      </c>
      <c r="B143" s="3" t="s">
        <v>128</v>
      </c>
      <c r="C143" s="4">
        <v>1</v>
      </c>
    </row>
    <row r="144" spans="1:3" ht="15" thickBot="1">
      <c r="A144" s="3" t="s">
        <v>252</v>
      </c>
      <c r="B144" s="3" t="s">
        <v>128</v>
      </c>
      <c r="C144" s="4">
        <v>1</v>
      </c>
    </row>
    <row r="145" spans="1:3" ht="15" thickBot="1">
      <c r="A145" s="3" t="s">
        <v>253</v>
      </c>
      <c r="B145" s="3" t="s">
        <v>32</v>
      </c>
      <c r="C145" s="4">
        <v>1</v>
      </c>
    </row>
    <row r="146" spans="1:3" ht="15" thickBot="1">
      <c r="A146" s="3" t="s">
        <v>254</v>
      </c>
      <c r="B146" s="3" t="s">
        <v>128</v>
      </c>
      <c r="C146" s="4">
        <v>1</v>
      </c>
    </row>
    <row r="147" spans="1:3" ht="15" thickBot="1">
      <c r="A147" s="3" t="s">
        <v>255</v>
      </c>
      <c r="B147" s="3" t="s">
        <v>128</v>
      </c>
      <c r="C147" s="4">
        <v>1</v>
      </c>
    </row>
    <row r="148" spans="1:3" ht="15" thickBot="1">
      <c r="A148" s="3" t="s">
        <v>256</v>
      </c>
      <c r="B148" s="3" t="s">
        <v>128</v>
      </c>
      <c r="C148" s="4">
        <v>1</v>
      </c>
    </row>
    <row r="149" spans="1:3" ht="15" thickBot="1">
      <c r="A149" s="3" t="s">
        <v>257</v>
      </c>
      <c r="B149" s="3" t="s">
        <v>128</v>
      </c>
      <c r="C149" s="4">
        <v>1</v>
      </c>
    </row>
    <row r="150" spans="1:3" ht="15" thickBot="1">
      <c r="A150" s="3" t="s">
        <v>36</v>
      </c>
      <c r="B150" s="3" t="s">
        <v>32</v>
      </c>
      <c r="C150" s="4">
        <v>1</v>
      </c>
    </row>
    <row r="151" spans="1:3" ht="15" thickBot="1">
      <c r="A151" s="3" t="s">
        <v>258</v>
      </c>
      <c r="B151" s="3" t="s">
        <v>22</v>
      </c>
      <c r="C151" s="4">
        <v>1</v>
      </c>
    </row>
    <row r="152" spans="1:3" ht="15" thickBot="1">
      <c r="A152" s="3" t="s">
        <v>259</v>
      </c>
      <c r="B152" s="3" t="s">
        <v>19</v>
      </c>
      <c r="C152" s="4">
        <v>1</v>
      </c>
    </row>
    <row r="153" spans="1:3">
      <c r="A153" t="s">
        <v>260</v>
      </c>
      <c r="B153" t="s">
        <v>113</v>
      </c>
      <c r="C153">
        <v>1</v>
      </c>
    </row>
    <row r="154" spans="1:3">
      <c r="A154" t="s">
        <v>261</v>
      </c>
      <c r="B154" t="s">
        <v>34</v>
      </c>
      <c r="C154">
        <v>2</v>
      </c>
    </row>
    <row r="155" spans="1:3">
      <c r="A155" t="s">
        <v>231</v>
      </c>
      <c r="B155" t="s">
        <v>30</v>
      </c>
      <c r="C155">
        <v>2</v>
      </c>
    </row>
    <row r="156" spans="1:3">
      <c r="A156" t="s">
        <v>232</v>
      </c>
      <c r="B156" t="s">
        <v>128</v>
      </c>
      <c r="C156">
        <v>4</v>
      </c>
    </row>
    <row r="157" spans="1:3">
      <c r="A157" t="s">
        <v>262</v>
      </c>
      <c r="B157" t="s">
        <v>26</v>
      </c>
      <c r="C157">
        <v>7</v>
      </c>
    </row>
    <row r="158" spans="1:3">
      <c r="A158" t="s">
        <v>263</v>
      </c>
      <c r="B158" t="s">
        <v>16</v>
      </c>
      <c r="C158">
        <v>2</v>
      </c>
    </row>
    <row r="159" spans="1:3">
      <c r="A159" t="s">
        <v>264</v>
      </c>
      <c r="B159" t="s">
        <v>16</v>
      </c>
      <c r="C159">
        <v>2</v>
      </c>
    </row>
    <row r="160" spans="1:3">
      <c r="A160" t="s">
        <v>265</v>
      </c>
      <c r="B160" t="s">
        <v>4</v>
      </c>
      <c r="C160">
        <v>2</v>
      </c>
    </row>
    <row r="161" spans="1:3">
      <c r="A161" t="s">
        <v>266</v>
      </c>
      <c r="B161" t="s">
        <v>16</v>
      </c>
      <c r="C161">
        <v>2</v>
      </c>
    </row>
    <row r="162" spans="1:3">
      <c r="A162" t="s">
        <v>267</v>
      </c>
      <c r="B162" t="s">
        <v>30</v>
      </c>
      <c r="C162">
        <v>2</v>
      </c>
    </row>
    <row r="163" spans="1:3">
      <c r="A163" t="s">
        <v>268</v>
      </c>
      <c r="B163" t="s">
        <v>64</v>
      </c>
      <c r="C163">
        <v>2</v>
      </c>
    </row>
    <row r="164" spans="1:3">
      <c r="A164" t="s">
        <v>269</v>
      </c>
      <c r="B164" t="s">
        <v>16</v>
      </c>
      <c r="C164">
        <v>8</v>
      </c>
    </row>
    <row r="165" spans="1:3">
      <c r="A165" t="s">
        <v>233</v>
      </c>
      <c r="B165" t="s">
        <v>19</v>
      </c>
      <c r="C165">
        <v>6</v>
      </c>
    </row>
    <row r="166" spans="1:3">
      <c r="A166" t="s">
        <v>234</v>
      </c>
      <c r="B166" t="s">
        <v>128</v>
      </c>
      <c r="C166">
        <v>3</v>
      </c>
    </row>
    <row r="167" spans="1:3">
      <c r="A167" t="s">
        <v>235</v>
      </c>
      <c r="B167" t="s">
        <v>4</v>
      </c>
      <c r="C167">
        <v>8</v>
      </c>
    </row>
    <row r="168" spans="1:3">
      <c r="A168" t="s">
        <v>270</v>
      </c>
      <c r="B168" t="s">
        <v>125</v>
      </c>
      <c r="C168">
        <v>1</v>
      </c>
    </row>
    <row r="169" spans="1:3">
      <c r="A169" t="s">
        <v>236</v>
      </c>
      <c r="B169" t="s">
        <v>4</v>
      </c>
      <c r="C169">
        <v>1</v>
      </c>
    </row>
    <row r="170" spans="1:3">
      <c r="A170" t="s">
        <v>271</v>
      </c>
      <c r="B170" t="s">
        <v>272</v>
      </c>
      <c r="C170">
        <v>4</v>
      </c>
    </row>
    <row r="171" spans="1:3">
      <c r="A171" t="s">
        <v>46</v>
      </c>
      <c r="B171" t="s">
        <v>16</v>
      </c>
      <c r="C171">
        <v>8</v>
      </c>
    </row>
    <row r="172" spans="1:3">
      <c r="A172" t="s">
        <v>273</v>
      </c>
      <c r="B172" t="s">
        <v>19</v>
      </c>
      <c r="C172">
        <v>1</v>
      </c>
    </row>
    <row r="173" spans="1:3">
      <c r="A173" t="s">
        <v>237</v>
      </c>
      <c r="B173" t="s">
        <v>26</v>
      </c>
      <c r="C173">
        <v>2</v>
      </c>
    </row>
    <row r="174" spans="1:3">
      <c r="A174" t="s">
        <v>274</v>
      </c>
      <c r="B174" t="s">
        <v>118</v>
      </c>
      <c r="C174">
        <v>3</v>
      </c>
    </row>
    <row r="175" spans="1:3">
      <c r="A175" t="s">
        <v>238</v>
      </c>
      <c r="B175" t="s">
        <v>61</v>
      </c>
      <c r="C175">
        <v>2</v>
      </c>
    </row>
    <row r="176" spans="1:3">
      <c r="A176" t="s">
        <v>275</v>
      </c>
      <c r="B176" t="s">
        <v>131</v>
      </c>
      <c r="C176">
        <v>1</v>
      </c>
    </row>
    <row r="177" spans="1:3">
      <c r="A177" t="s">
        <v>239</v>
      </c>
      <c r="B177" t="s">
        <v>131</v>
      </c>
      <c r="C177">
        <v>1</v>
      </c>
    </row>
    <row r="178" spans="1:3">
      <c r="A178" t="s">
        <v>276</v>
      </c>
      <c r="B178" t="s">
        <v>4</v>
      </c>
      <c r="C178">
        <v>1</v>
      </c>
    </row>
    <row r="179" spans="1:3">
      <c r="A179" t="s">
        <v>277</v>
      </c>
      <c r="B179" t="s">
        <v>30</v>
      </c>
      <c r="C179">
        <v>1</v>
      </c>
    </row>
    <row r="180" spans="1:3">
      <c r="A180" t="s">
        <v>278</v>
      </c>
      <c r="B180" t="s">
        <v>6</v>
      </c>
      <c r="C180">
        <v>1</v>
      </c>
    </row>
    <row r="181" spans="1:3">
      <c r="A181" t="s">
        <v>241</v>
      </c>
      <c r="B181" t="s">
        <v>6</v>
      </c>
      <c r="C181">
        <v>1</v>
      </c>
    </row>
    <row r="182" spans="1:3">
      <c r="A182" t="s">
        <v>242</v>
      </c>
      <c r="B182" t="s">
        <v>64</v>
      </c>
      <c r="C182">
        <v>1</v>
      </c>
    </row>
    <row r="183" spans="1:3">
      <c r="A183" t="s">
        <v>243</v>
      </c>
      <c r="B183" t="s">
        <v>4</v>
      </c>
      <c r="C183">
        <v>2</v>
      </c>
    </row>
    <row r="184" spans="1:3">
      <c r="A184" t="s">
        <v>279</v>
      </c>
      <c r="B184" t="s">
        <v>128</v>
      </c>
      <c r="C184">
        <v>14</v>
      </c>
    </row>
    <row r="185" spans="1:3">
      <c r="A185" t="s">
        <v>280</v>
      </c>
      <c r="B185" t="s">
        <v>128</v>
      </c>
      <c r="C185">
        <v>6</v>
      </c>
    </row>
    <row r="186" spans="1:3">
      <c r="A186" t="s">
        <v>281</v>
      </c>
      <c r="B186" t="s">
        <v>125</v>
      </c>
      <c r="C186">
        <v>1</v>
      </c>
    </row>
    <row r="187" spans="1:3">
      <c r="A187" t="s">
        <v>244</v>
      </c>
      <c r="B187" t="s">
        <v>125</v>
      </c>
      <c r="C187">
        <v>1</v>
      </c>
    </row>
    <row r="188" spans="1:3">
      <c r="A188" t="s">
        <v>282</v>
      </c>
      <c r="B188" t="s">
        <v>22</v>
      </c>
      <c r="C188">
        <v>1</v>
      </c>
    </row>
    <row r="189" spans="1:3">
      <c r="A189" t="s">
        <v>283</v>
      </c>
      <c r="B189" t="s">
        <v>19</v>
      </c>
      <c r="C189">
        <v>2</v>
      </c>
    </row>
    <row r="190" spans="1:3">
      <c r="A190" t="s">
        <v>247</v>
      </c>
      <c r="B190" t="s">
        <v>61</v>
      </c>
      <c r="C190">
        <v>6</v>
      </c>
    </row>
    <row r="191" spans="1:3">
      <c r="A191" t="s">
        <v>248</v>
      </c>
      <c r="B191" t="s">
        <v>32</v>
      </c>
      <c r="C191">
        <v>1</v>
      </c>
    </row>
    <row r="192" spans="1:3">
      <c r="A192" t="s">
        <v>249</v>
      </c>
      <c r="B192" t="s">
        <v>19</v>
      </c>
      <c r="C192">
        <v>8</v>
      </c>
    </row>
    <row r="193" spans="1:3">
      <c r="A193" t="s">
        <v>284</v>
      </c>
      <c r="B193" t="s">
        <v>164</v>
      </c>
      <c r="C193">
        <v>9</v>
      </c>
    </row>
    <row r="194" spans="1:3">
      <c r="A194" t="s">
        <v>285</v>
      </c>
      <c r="B194" t="s">
        <v>128</v>
      </c>
      <c r="C194">
        <v>9</v>
      </c>
    </row>
    <row r="195" spans="1:3">
      <c r="A195" t="s">
        <v>251</v>
      </c>
      <c r="B195" t="s">
        <v>128</v>
      </c>
      <c r="C195">
        <v>15</v>
      </c>
    </row>
    <row r="196" spans="1:3">
      <c r="A196" t="s">
        <v>36</v>
      </c>
      <c r="B196" t="s">
        <v>32</v>
      </c>
      <c r="C196">
        <v>8</v>
      </c>
    </row>
    <row r="197" spans="1:3">
      <c r="A197" t="s">
        <v>252</v>
      </c>
      <c r="B197" t="s">
        <v>128</v>
      </c>
      <c r="C197">
        <v>8</v>
      </c>
    </row>
    <row r="198" spans="1:3">
      <c r="A198" t="s">
        <v>253</v>
      </c>
      <c r="B198" t="s">
        <v>32</v>
      </c>
      <c r="C198">
        <v>10</v>
      </c>
    </row>
    <row r="199" spans="1:3">
      <c r="A199" t="s">
        <v>254</v>
      </c>
      <c r="B199" t="s">
        <v>128</v>
      </c>
      <c r="C199">
        <v>8</v>
      </c>
    </row>
    <row r="200" spans="1:3">
      <c r="A200" t="s">
        <v>255</v>
      </c>
      <c r="B200" t="s">
        <v>128</v>
      </c>
      <c r="C200">
        <v>6</v>
      </c>
    </row>
    <row r="201" spans="1:3">
      <c r="A201" t="s">
        <v>286</v>
      </c>
      <c r="B201" t="s">
        <v>118</v>
      </c>
      <c r="C201">
        <v>8</v>
      </c>
    </row>
    <row r="202" spans="1:3">
      <c r="A202" t="s">
        <v>256</v>
      </c>
      <c r="B202" t="s">
        <v>128</v>
      </c>
      <c r="C202">
        <v>9</v>
      </c>
    </row>
    <row r="203" spans="1:3">
      <c r="A203" t="s">
        <v>257</v>
      </c>
      <c r="B203" t="s">
        <v>128</v>
      </c>
      <c r="C203">
        <v>9</v>
      </c>
    </row>
    <row r="204" spans="1:3">
      <c r="A204" t="s">
        <v>287</v>
      </c>
      <c r="B204" t="s">
        <v>16</v>
      </c>
      <c r="C204">
        <v>9</v>
      </c>
    </row>
    <row r="205" spans="1:3">
      <c r="A205" t="s">
        <v>288</v>
      </c>
      <c r="B205" t="s">
        <v>19</v>
      </c>
      <c r="C205">
        <v>1</v>
      </c>
    </row>
    <row r="206" spans="1:3">
      <c r="A206" t="s">
        <v>289</v>
      </c>
      <c r="B206" t="s">
        <v>118</v>
      </c>
      <c r="C206">
        <v>1</v>
      </c>
    </row>
    <row r="207" spans="1:3">
      <c r="A207" t="s">
        <v>290</v>
      </c>
      <c r="B207" t="s">
        <v>22</v>
      </c>
      <c r="C207">
        <v>1</v>
      </c>
    </row>
    <row r="208" spans="1:3">
      <c r="A208" t="s">
        <v>291</v>
      </c>
      <c r="B208" t="s">
        <v>134</v>
      </c>
      <c r="C208">
        <v>1</v>
      </c>
    </row>
    <row r="209" spans="1:3">
      <c r="A209" t="s">
        <v>258</v>
      </c>
      <c r="B209" t="s">
        <v>22</v>
      </c>
      <c r="C209">
        <v>1</v>
      </c>
    </row>
    <row r="210" spans="1:3">
      <c r="A210" t="s">
        <v>292</v>
      </c>
      <c r="B210" t="s">
        <v>24</v>
      </c>
      <c r="C210">
        <v>1</v>
      </c>
    </row>
    <row r="211" spans="1:3">
      <c r="A211" t="s">
        <v>259</v>
      </c>
      <c r="B211" t="s">
        <v>19</v>
      </c>
      <c r="C211">
        <v>1</v>
      </c>
    </row>
    <row r="212" spans="1:3">
      <c r="A212" t="s">
        <v>293</v>
      </c>
      <c r="B212" t="s">
        <v>22</v>
      </c>
      <c r="C212">
        <v>3</v>
      </c>
    </row>
    <row r="213" spans="1:3">
      <c r="A213" t="s">
        <v>294</v>
      </c>
      <c r="B213" t="s">
        <v>16</v>
      </c>
      <c r="C213">
        <v>5</v>
      </c>
    </row>
    <row r="214" spans="1:3">
      <c r="A214" t="s">
        <v>295</v>
      </c>
      <c r="B214" t="s">
        <v>22</v>
      </c>
      <c r="C214">
        <v>1</v>
      </c>
    </row>
    <row r="215" spans="1:3">
      <c r="A215" t="s">
        <v>296</v>
      </c>
      <c r="B215" t="s">
        <v>128</v>
      </c>
      <c r="C215">
        <v>1</v>
      </c>
    </row>
    <row r="216" spans="1:3">
      <c r="A216" t="s">
        <v>297</v>
      </c>
      <c r="B216" t="s">
        <v>61</v>
      </c>
      <c r="C216">
        <v>1</v>
      </c>
    </row>
    <row r="217" spans="1:3">
      <c r="A217" t="s">
        <v>298</v>
      </c>
      <c r="B217" t="s">
        <v>4</v>
      </c>
      <c r="C217">
        <v>7</v>
      </c>
    </row>
    <row r="218" spans="1:3">
      <c r="A218" t="s">
        <v>299</v>
      </c>
      <c r="B218" t="s">
        <v>4</v>
      </c>
      <c r="C218">
        <v>7</v>
      </c>
    </row>
    <row r="219" spans="1:3">
      <c r="A219" t="s">
        <v>300</v>
      </c>
      <c r="B219" t="s">
        <v>4</v>
      </c>
      <c r="C219">
        <v>1</v>
      </c>
    </row>
    <row r="220" spans="1:3">
      <c r="A220" t="s">
        <v>92</v>
      </c>
      <c r="B220" t="s">
        <v>30</v>
      </c>
      <c r="C220">
        <v>2</v>
      </c>
    </row>
    <row r="221" spans="1:3">
      <c r="A221" t="s">
        <v>301</v>
      </c>
      <c r="B221" t="s">
        <v>34</v>
      </c>
      <c r="C221">
        <v>9</v>
      </c>
    </row>
    <row r="222" spans="1:3">
      <c r="A222" t="s">
        <v>302</v>
      </c>
      <c r="B222" t="s">
        <v>34</v>
      </c>
      <c r="C222">
        <v>6</v>
      </c>
    </row>
    <row r="223" spans="1:3">
      <c r="A223" t="s">
        <v>303</v>
      </c>
      <c r="B223" t="s">
        <v>61</v>
      </c>
      <c r="C223">
        <v>8</v>
      </c>
    </row>
    <row r="224" spans="1:3">
      <c r="A224" t="s">
        <v>304</v>
      </c>
      <c r="B224" t="s">
        <v>125</v>
      </c>
      <c r="C224">
        <v>4</v>
      </c>
    </row>
    <row r="225" spans="1:3">
      <c r="A225" t="s">
        <v>305</v>
      </c>
      <c r="B225" t="s">
        <v>30</v>
      </c>
      <c r="C225">
        <v>3</v>
      </c>
    </row>
    <row r="226" spans="1:3">
      <c r="A226" t="s">
        <v>306</v>
      </c>
      <c r="B226" t="s">
        <v>30</v>
      </c>
      <c r="C226">
        <v>1</v>
      </c>
    </row>
    <row r="227" spans="1:3">
      <c r="A227" t="s">
        <v>307</v>
      </c>
      <c r="B227" t="s">
        <v>22</v>
      </c>
      <c r="C227">
        <v>1</v>
      </c>
    </row>
    <row r="228" spans="1:3">
      <c r="A228" t="s">
        <v>308</v>
      </c>
      <c r="B228" t="s">
        <v>128</v>
      </c>
      <c r="C228">
        <v>1</v>
      </c>
    </row>
    <row r="229" spans="1:3">
      <c r="A229" t="s">
        <v>309</v>
      </c>
      <c r="B229" t="s">
        <v>34</v>
      </c>
      <c r="C229">
        <v>2</v>
      </c>
    </row>
    <row r="230" spans="1:3">
      <c r="A230" t="s">
        <v>310</v>
      </c>
      <c r="B230" t="s">
        <v>26</v>
      </c>
      <c r="C230">
        <v>1</v>
      </c>
    </row>
    <row r="231" spans="1:3">
      <c r="A231" t="s">
        <v>106</v>
      </c>
      <c r="B231" t="s">
        <v>16</v>
      </c>
      <c r="C231">
        <v>1</v>
      </c>
    </row>
    <row r="232" spans="1:3">
      <c r="A232" t="s">
        <v>311</v>
      </c>
      <c r="B232" t="s">
        <v>64</v>
      </c>
      <c r="C232">
        <v>2</v>
      </c>
    </row>
    <row r="233" spans="1:3">
      <c r="A233" t="s">
        <v>312</v>
      </c>
      <c r="B233" t="s">
        <v>16</v>
      </c>
      <c r="C233">
        <v>1</v>
      </c>
    </row>
    <row r="234" spans="1:3">
      <c r="A234" t="s">
        <v>313</v>
      </c>
      <c r="B234" t="s">
        <v>115</v>
      </c>
      <c r="C234">
        <v>2</v>
      </c>
    </row>
    <row r="235" spans="1:3">
      <c r="A235" t="s">
        <v>314</v>
      </c>
      <c r="B235" t="s">
        <v>128</v>
      </c>
      <c r="C235">
        <v>2</v>
      </c>
    </row>
    <row r="236" spans="1:3">
      <c r="A236" t="s">
        <v>315</v>
      </c>
      <c r="B236" t="s">
        <v>16</v>
      </c>
      <c r="C236">
        <v>1</v>
      </c>
    </row>
    <row r="237" spans="1:3">
      <c r="A237" t="s">
        <v>316</v>
      </c>
      <c r="B237" t="s">
        <v>64</v>
      </c>
      <c r="C237">
        <v>1</v>
      </c>
    </row>
    <row r="238" spans="1:3">
      <c r="A238" t="s">
        <v>317</v>
      </c>
      <c r="B238" t="s">
        <v>30</v>
      </c>
      <c r="C238">
        <v>2</v>
      </c>
    </row>
    <row r="239" spans="1:3">
      <c r="A239" t="s">
        <v>318</v>
      </c>
      <c r="B239" t="s">
        <v>319</v>
      </c>
      <c r="C239">
        <v>1</v>
      </c>
    </row>
    <row r="240" spans="1:3">
      <c r="A240" t="s">
        <v>320</v>
      </c>
      <c r="B240" t="s">
        <v>19</v>
      </c>
      <c r="C240">
        <v>1</v>
      </c>
    </row>
    <row r="241" spans="1:3">
      <c r="A241" t="s">
        <v>321</v>
      </c>
      <c r="B241" t="s">
        <v>34</v>
      </c>
      <c r="C241">
        <v>2</v>
      </c>
    </row>
    <row r="242" spans="1:3">
      <c r="A242" t="s">
        <v>322</v>
      </c>
      <c r="B242" t="s">
        <v>64</v>
      </c>
      <c r="C242">
        <v>2</v>
      </c>
    </row>
    <row r="243" spans="1:3">
      <c r="A243" t="s">
        <v>323</v>
      </c>
      <c r="B243" t="s">
        <v>64</v>
      </c>
      <c r="C243">
        <v>1</v>
      </c>
    </row>
    <row r="244" spans="1:3">
      <c r="A244" t="s">
        <v>324</v>
      </c>
      <c r="B244" t="s">
        <v>34</v>
      </c>
      <c r="C244">
        <v>1</v>
      </c>
    </row>
    <row r="245" spans="1:3">
      <c r="A245" t="s">
        <v>325</v>
      </c>
      <c r="B245" t="s">
        <v>61</v>
      </c>
      <c r="C245">
        <v>7</v>
      </c>
    </row>
    <row r="246" spans="1:3">
      <c r="A246" t="s">
        <v>326</v>
      </c>
      <c r="B246" t="s">
        <v>4</v>
      </c>
      <c r="C246">
        <v>5</v>
      </c>
    </row>
    <row r="247" spans="1:3">
      <c r="A247" t="s">
        <v>327</v>
      </c>
      <c r="B247" t="s">
        <v>125</v>
      </c>
      <c r="C247">
        <v>6</v>
      </c>
    </row>
    <row r="248" spans="1:3">
      <c r="A248" t="s">
        <v>328</v>
      </c>
      <c r="B248" t="s">
        <v>19</v>
      </c>
      <c r="C248">
        <v>3</v>
      </c>
    </row>
    <row r="249" spans="1:3">
      <c r="A249" t="s">
        <v>329</v>
      </c>
      <c r="B249" t="s">
        <v>4</v>
      </c>
      <c r="C249">
        <v>3</v>
      </c>
    </row>
    <row r="250" spans="1:3">
      <c r="A250" t="s">
        <v>330</v>
      </c>
      <c r="B250" t="s">
        <v>61</v>
      </c>
      <c r="C250">
        <v>3</v>
      </c>
    </row>
    <row r="251" spans="1:3">
      <c r="A251" t="s">
        <v>331</v>
      </c>
      <c r="B251" t="s">
        <v>61</v>
      </c>
      <c r="C251">
        <v>2</v>
      </c>
    </row>
    <row r="252" spans="1:3">
      <c r="A252" t="s">
        <v>332</v>
      </c>
      <c r="B252" t="s">
        <v>24</v>
      </c>
      <c r="C252">
        <v>6</v>
      </c>
    </row>
    <row r="253" spans="1:3">
      <c r="A253" t="s">
        <v>333</v>
      </c>
      <c r="B253" t="s">
        <v>24</v>
      </c>
      <c r="C253">
        <v>6</v>
      </c>
    </row>
    <row r="254" spans="1:3">
      <c r="A254" t="s">
        <v>334</v>
      </c>
      <c r="B254" t="s">
        <v>138</v>
      </c>
      <c r="C254">
        <v>4</v>
      </c>
    </row>
    <row r="255" spans="1:3">
      <c r="A255" t="s">
        <v>335</v>
      </c>
      <c r="B255" t="s">
        <v>16</v>
      </c>
      <c r="C255">
        <v>1</v>
      </c>
    </row>
    <row r="256" spans="1:3">
      <c r="A256" t="s">
        <v>336</v>
      </c>
      <c r="B256" t="s">
        <v>16</v>
      </c>
      <c r="C256">
        <v>1</v>
      </c>
    </row>
    <row r="257" spans="1:3">
      <c r="A257" t="s">
        <v>337</v>
      </c>
      <c r="B257" t="s">
        <v>64</v>
      </c>
      <c r="C257">
        <v>2</v>
      </c>
    </row>
    <row r="258" spans="1:3">
      <c r="A258" t="s">
        <v>338</v>
      </c>
      <c r="B258" t="s">
        <v>4</v>
      </c>
      <c r="C258">
        <v>6</v>
      </c>
    </row>
    <row r="259" spans="1:3">
      <c r="A259" t="s">
        <v>339</v>
      </c>
      <c r="B259" t="s">
        <v>125</v>
      </c>
      <c r="C259">
        <v>1</v>
      </c>
    </row>
    <row r="260" spans="1:3">
      <c r="A260" t="s">
        <v>340</v>
      </c>
      <c r="B260" t="s">
        <v>125</v>
      </c>
      <c r="C260">
        <v>1</v>
      </c>
    </row>
    <row r="261" spans="1:3">
      <c r="A261" t="s">
        <v>109</v>
      </c>
      <c r="B261" t="s">
        <v>16</v>
      </c>
      <c r="C261">
        <v>1</v>
      </c>
    </row>
    <row r="262" spans="1:3">
      <c r="A262" t="s">
        <v>341</v>
      </c>
      <c r="B262" t="s">
        <v>30</v>
      </c>
      <c r="C262">
        <v>1</v>
      </c>
    </row>
    <row r="263" spans="1:3">
      <c r="A263" t="s">
        <v>342</v>
      </c>
      <c r="B263" t="s">
        <v>19</v>
      </c>
      <c r="C263">
        <v>2</v>
      </c>
    </row>
    <row r="264" spans="1:3">
      <c r="A264" t="s">
        <v>343</v>
      </c>
      <c r="B264" t="s">
        <v>16</v>
      </c>
      <c r="C264">
        <v>1</v>
      </c>
    </row>
    <row r="265" spans="1:3">
      <c r="A265" t="s">
        <v>344</v>
      </c>
      <c r="B265" t="s">
        <v>30</v>
      </c>
      <c r="C265">
        <v>1</v>
      </c>
    </row>
    <row r="266" spans="1:3">
      <c r="A266" t="s">
        <v>345</v>
      </c>
      <c r="B266" t="s">
        <v>30</v>
      </c>
      <c r="C266">
        <v>1</v>
      </c>
    </row>
    <row r="267" spans="1:3">
      <c r="A267" t="s">
        <v>346</v>
      </c>
      <c r="B267" t="s">
        <v>30</v>
      </c>
      <c r="C267">
        <v>1</v>
      </c>
    </row>
    <row r="268" spans="1:3">
      <c r="A268" t="s">
        <v>347</v>
      </c>
      <c r="B268" t="s">
        <v>16</v>
      </c>
      <c r="C268">
        <v>1</v>
      </c>
    </row>
    <row r="269" spans="1:3">
      <c r="A269" t="s">
        <v>348</v>
      </c>
      <c r="B269" t="s">
        <v>26</v>
      </c>
      <c r="C269">
        <v>1</v>
      </c>
    </row>
    <row r="270" spans="1:3">
      <c r="A270" t="s">
        <v>349</v>
      </c>
      <c r="B270" t="s">
        <v>6</v>
      </c>
      <c r="C270">
        <v>1</v>
      </c>
    </row>
    <row r="271" spans="1:3">
      <c r="A271" t="s">
        <v>350</v>
      </c>
      <c r="B271" t="s">
        <v>16</v>
      </c>
      <c r="C271">
        <v>1</v>
      </c>
    </row>
    <row r="272" spans="1:3">
      <c r="A272" t="s">
        <v>351</v>
      </c>
      <c r="B272" t="s">
        <v>4</v>
      </c>
      <c r="C272">
        <v>1</v>
      </c>
    </row>
    <row r="273" spans="1:3">
      <c r="A273" t="s">
        <v>352</v>
      </c>
      <c r="B273" t="s">
        <v>26</v>
      </c>
      <c r="C273">
        <v>3</v>
      </c>
    </row>
    <row r="274" spans="1:3">
      <c r="A274" t="s">
        <v>353</v>
      </c>
      <c r="B274" t="s">
        <v>30</v>
      </c>
      <c r="C274">
        <v>1</v>
      </c>
    </row>
    <row r="275" spans="1:3">
      <c r="A275" t="s">
        <v>354</v>
      </c>
      <c r="B275" t="s">
        <v>26</v>
      </c>
      <c r="C275">
        <v>1</v>
      </c>
    </row>
    <row r="276" spans="1:3">
      <c r="A276" t="s">
        <v>355</v>
      </c>
      <c r="B276" t="s">
        <v>16</v>
      </c>
      <c r="C276">
        <v>1</v>
      </c>
    </row>
    <row r="277" spans="1:3">
      <c r="A277" t="s">
        <v>356</v>
      </c>
      <c r="B277" t="s">
        <v>128</v>
      </c>
      <c r="C277">
        <v>1</v>
      </c>
    </row>
    <row r="278" spans="1:3">
      <c r="A278" t="s">
        <v>357</v>
      </c>
      <c r="B278" t="s">
        <v>125</v>
      </c>
      <c r="C278">
        <v>1</v>
      </c>
    </row>
    <row r="279" spans="1:3">
      <c r="A279" t="s">
        <v>358</v>
      </c>
      <c r="B279" t="s">
        <v>34</v>
      </c>
      <c r="C279">
        <v>2</v>
      </c>
    </row>
    <row r="280" spans="1:3">
      <c r="A280" t="s">
        <v>359</v>
      </c>
      <c r="B280" t="s">
        <v>16</v>
      </c>
      <c r="C280">
        <v>1</v>
      </c>
    </row>
    <row r="281" spans="1:3">
      <c r="A281" t="s">
        <v>360</v>
      </c>
      <c r="B281" t="s">
        <v>16</v>
      </c>
      <c r="C281">
        <v>3</v>
      </c>
    </row>
    <row r="282" spans="1:3">
      <c r="A282" t="s">
        <v>361</v>
      </c>
      <c r="B282" t="s">
        <v>30</v>
      </c>
      <c r="C282">
        <v>1</v>
      </c>
    </row>
    <row r="283" spans="1:3">
      <c r="A283" t="s">
        <v>111</v>
      </c>
      <c r="B283" t="s">
        <v>4</v>
      </c>
      <c r="C283">
        <v>5</v>
      </c>
    </row>
    <row r="284" spans="1:3">
      <c r="A284" t="s">
        <v>362</v>
      </c>
      <c r="B284" t="s">
        <v>125</v>
      </c>
      <c r="C284">
        <v>1</v>
      </c>
    </row>
    <row r="285" spans="1:3">
      <c r="A285" t="s">
        <v>363</v>
      </c>
      <c r="B285" t="s">
        <v>64</v>
      </c>
      <c r="C285">
        <v>1</v>
      </c>
    </row>
    <row r="286" spans="1:3">
      <c r="A286" t="s">
        <v>364</v>
      </c>
      <c r="B286" t="s">
        <v>64</v>
      </c>
      <c r="C286">
        <v>1</v>
      </c>
    </row>
    <row r="287" spans="1:3">
      <c r="A287" t="s">
        <v>69</v>
      </c>
      <c r="B287" t="s">
        <v>30</v>
      </c>
      <c r="C287">
        <v>1</v>
      </c>
    </row>
    <row r="288" spans="1:3">
      <c r="A288" t="s">
        <v>365</v>
      </c>
      <c r="B288" t="s">
        <v>64</v>
      </c>
      <c r="C288">
        <v>1</v>
      </c>
    </row>
    <row r="289" spans="1:3">
      <c r="A289" t="s">
        <v>366</v>
      </c>
      <c r="B289" t="s">
        <v>64</v>
      </c>
      <c r="C289">
        <v>1</v>
      </c>
    </row>
    <row r="290" spans="1:3">
      <c r="A290" t="s">
        <v>367</v>
      </c>
      <c r="B290" t="s">
        <v>64</v>
      </c>
      <c r="C290">
        <v>2</v>
      </c>
    </row>
    <row r="291" spans="1:3">
      <c r="A291" t="s">
        <v>368</v>
      </c>
      <c r="B291" t="s">
        <v>64</v>
      </c>
      <c r="C291">
        <v>2</v>
      </c>
    </row>
    <row r="292" spans="1:3">
      <c r="A292" t="s">
        <v>369</v>
      </c>
      <c r="B292" t="s">
        <v>64</v>
      </c>
      <c r="C292">
        <v>1</v>
      </c>
    </row>
    <row r="293" spans="1:3">
      <c r="A293" t="s">
        <v>370</v>
      </c>
      <c r="B293" t="s">
        <v>61</v>
      </c>
      <c r="C293">
        <v>1</v>
      </c>
    </row>
    <row r="294" spans="1:3">
      <c r="A294" t="s">
        <v>371</v>
      </c>
      <c r="B294" t="s">
        <v>34</v>
      </c>
      <c r="C294">
        <v>1</v>
      </c>
    </row>
    <row r="295" spans="1:3">
      <c r="A295" t="s">
        <v>372</v>
      </c>
      <c r="B295" t="s">
        <v>19</v>
      </c>
      <c r="C295">
        <v>1</v>
      </c>
    </row>
    <row r="296" spans="1:3">
      <c r="A296" t="s">
        <v>373</v>
      </c>
      <c r="B296" t="s">
        <v>4</v>
      </c>
      <c r="C296">
        <v>2</v>
      </c>
    </row>
    <row r="297" spans="1:3">
      <c r="A297" t="s">
        <v>374</v>
      </c>
      <c r="B297" t="s">
        <v>118</v>
      </c>
      <c r="C297">
        <v>1</v>
      </c>
    </row>
    <row r="298" spans="1:3">
      <c r="A298" t="s">
        <v>375</v>
      </c>
      <c r="B298" t="s">
        <v>30</v>
      </c>
      <c r="C298">
        <v>1</v>
      </c>
    </row>
    <row r="299" spans="1:3">
      <c r="A299" t="s">
        <v>376</v>
      </c>
      <c r="B299" t="s">
        <v>34</v>
      </c>
      <c r="C299">
        <v>1</v>
      </c>
    </row>
    <row r="300" spans="1:3">
      <c r="A300" t="s">
        <v>377</v>
      </c>
      <c r="B300" t="s">
        <v>61</v>
      </c>
      <c r="C300">
        <v>1</v>
      </c>
    </row>
    <row r="301" spans="1:3">
      <c r="A301" t="s">
        <v>378</v>
      </c>
      <c r="B301" t="s">
        <v>125</v>
      </c>
      <c r="C301">
        <v>1</v>
      </c>
    </row>
    <row r="302" spans="1:3">
      <c r="A302" t="s">
        <v>379</v>
      </c>
      <c r="B302" t="s">
        <v>30</v>
      </c>
      <c r="C302">
        <v>2</v>
      </c>
    </row>
    <row r="303" spans="1:3">
      <c r="A303" t="s">
        <v>380</v>
      </c>
      <c r="B303" t="s">
        <v>30</v>
      </c>
      <c r="C303">
        <v>1</v>
      </c>
    </row>
    <row r="304" spans="1:3">
      <c r="A304" t="s">
        <v>381</v>
      </c>
      <c r="B304" t="s">
        <v>19</v>
      </c>
      <c r="C304">
        <v>2</v>
      </c>
    </row>
    <row r="305" spans="1:3">
      <c r="A305" t="s">
        <v>382</v>
      </c>
      <c r="B305" t="s">
        <v>61</v>
      </c>
      <c r="C305">
        <v>2</v>
      </c>
    </row>
    <row r="306" spans="1:3">
      <c r="A306" t="s">
        <v>383</v>
      </c>
      <c r="B306" t="s">
        <v>34</v>
      </c>
      <c r="C306">
        <v>2</v>
      </c>
    </row>
    <row r="307" spans="1:3">
      <c r="A307" t="s">
        <v>384</v>
      </c>
      <c r="B307" t="s">
        <v>34</v>
      </c>
      <c r="C307">
        <v>2</v>
      </c>
    </row>
    <row r="308" spans="1:3">
      <c r="A308" t="s">
        <v>39</v>
      </c>
      <c r="B308" t="s">
        <v>19</v>
      </c>
      <c r="C308">
        <v>2</v>
      </c>
    </row>
    <row r="309" spans="1:3">
      <c r="A309" t="s">
        <v>385</v>
      </c>
      <c r="B309" t="s">
        <v>34</v>
      </c>
      <c r="C309">
        <v>3</v>
      </c>
    </row>
    <row r="310" spans="1:3">
      <c r="A310" t="s">
        <v>386</v>
      </c>
      <c r="B310" t="s">
        <v>61</v>
      </c>
      <c r="C310">
        <v>1</v>
      </c>
    </row>
    <row r="311" spans="1:3">
      <c r="A311" t="s">
        <v>387</v>
      </c>
      <c r="B311" t="s">
        <v>34</v>
      </c>
      <c r="C311">
        <v>1</v>
      </c>
    </row>
    <row r="312" spans="1:3">
      <c r="A312" t="s">
        <v>230</v>
      </c>
      <c r="B312" t="s">
        <v>61</v>
      </c>
      <c r="C312">
        <v>2</v>
      </c>
    </row>
    <row r="313" spans="1:3">
      <c r="A313" t="s">
        <v>18</v>
      </c>
      <c r="B313" t="s">
        <v>19</v>
      </c>
      <c r="C313">
        <v>1</v>
      </c>
    </row>
    <row r="314" spans="1:3">
      <c r="A314" t="s">
        <v>388</v>
      </c>
      <c r="B314" t="s">
        <v>61</v>
      </c>
      <c r="C314">
        <v>1</v>
      </c>
    </row>
    <row r="315" spans="1:3">
      <c r="A315" t="s">
        <v>389</v>
      </c>
      <c r="B315" t="s">
        <v>118</v>
      </c>
      <c r="C315">
        <v>1</v>
      </c>
    </row>
    <row r="316" spans="1:3">
      <c r="A316" t="s">
        <v>390</v>
      </c>
      <c r="B316" t="s">
        <v>16</v>
      </c>
      <c r="C316">
        <v>1</v>
      </c>
    </row>
    <row r="317" spans="1:3">
      <c r="A317" t="s">
        <v>391</v>
      </c>
      <c r="B317" t="s">
        <v>138</v>
      </c>
      <c r="C317">
        <v>1</v>
      </c>
    </row>
    <row r="318" spans="1:3">
      <c r="A318" t="s">
        <v>392</v>
      </c>
      <c r="B318" t="s">
        <v>4</v>
      </c>
      <c r="C318">
        <v>11</v>
      </c>
    </row>
    <row r="319" spans="1:3">
      <c r="A319" t="s">
        <v>393</v>
      </c>
      <c r="B319" t="s">
        <v>128</v>
      </c>
      <c r="C319">
        <v>1</v>
      </c>
    </row>
    <row r="320" spans="1:3">
      <c r="A320" t="s">
        <v>394</v>
      </c>
      <c r="B320" t="s">
        <v>16</v>
      </c>
      <c r="C320">
        <v>2</v>
      </c>
    </row>
    <row r="321" spans="1:3">
      <c r="A321" t="s">
        <v>395</v>
      </c>
      <c r="B321" t="s">
        <v>16</v>
      </c>
      <c r="C321">
        <v>1</v>
      </c>
    </row>
    <row r="322" spans="1:3">
      <c r="A322" t="s">
        <v>396</v>
      </c>
      <c r="B322" t="s">
        <v>34</v>
      </c>
      <c r="C322">
        <v>2</v>
      </c>
    </row>
    <row r="323" spans="1:3">
      <c r="A323" t="s">
        <v>397</v>
      </c>
      <c r="B323" t="s">
        <v>34</v>
      </c>
      <c r="C323">
        <v>1</v>
      </c>
    </row>
    <row r="324" spans="1:3">
      <c r="A324" t="s">
        <v>398</v>
      </c>
      <c r="B324" t="s">
        <v>125</v>
      </c>
      <c r="C324">
        <v>1</v>
      </c>
    </row>
    <row r="325" spans="1:3">
      <c r="A325" t="s">
        <v>399</v>
      </c>
      <c r="B325" t="s">
        <v>4</v>
      </c>
      <c r="C325">
        <v>1</v>
      </c>
    </row>
    <row r="326" spans="1:3">
      <c r="A326" t="s">
        <v>400</v>
      </c>
      <c r="B326" t="s">
        <v>26</v>
      </c>
      <c r="C326">
        <v>1</v>
      </c>
    </row>
    <row r="327" spans="1:3">
      <c r="A327" t="s">
        <v>401</v>
      </c>
      <c r="B327" t="s">
        <v>16</v>
      </c>
      <c r="C327">
        <v>1</v>
      </c>
    </row>
    <row r="328" spans="1:3">
      <c r="A328" t="s">
        <v>402</v>
      </c>
      <c r="B328" t="s">
        <v>34</v>
      </c>
      <c r="C328">
        <v>1</v>
      </c>
    </row>
    <row r="329" spans="1:3">
      <c r="A329" t="s">
        <v>403</v>
      </c>
      <c r="B329" t="s">
        <v>34</v>
      </c>
      <c r="C329">
        <v>1</v>
      </c>
    </row>
    <row r="330" spans="1:3">
      <c r="A330" t="s">
        <v>404</v>
      </c>
      <c r="B330" t="s">
        <v>24</v>
      </c>
      <c r="C330">
        <v>1</v>
      </c>
    </row>
    <row r="331" spans="1:3">
      <c r="A331" t="s">
        <v>405</v>
      </c>
      <c r="B331" t="s">
        <v>319</v>
      </c>
      <c r="C331">
        <v>1</v>
      </c>
    </row>
    <row r="332" spans="1:3">
      <c r="A332" t="s">
        <v>406</v>
      </c>
      <c r="B332" t="s">
        <v>407</v>
      </c>
      <c r="C332">
        <v>1</v>
      </c>
    </row>
    <row r="333" spans="1:3">
      <c r="A333" t="s">
        <v>408</v>
      </c>
      <c r="B333" t="s">
        <v>407</v>
      </c>
      <c r="C333">
        <v>1</v>
      </c>
    </row>
    <row r="334" spans="1:3">
      <c r="A334" t="s">
        <v>409</v>
      </c>
      <c r="B334" t="s">
        <v>410</v>
      </c>
      <c r="C334">
        <v>1</v>
      </c>
    </row>
    <row r="335" spans="1:3">
      <c r="A335" t="s">
        <v>411</v>
      </c>
      <c r="B335" t="s">
        <v>19</v>
      </c>
      <c r="C335">
        <v>1</v>
      </c>
    </row>
    <row r="336" spans="1:3">
      <c r="A336" t="s">
        <v>412</v>
      </c>
      <c r="B336" t="s">
        <v>61</v>
      </c>
      <c r="C336">
        <v>1</v>
      </c>
    </row>
    <row r="337" spans="1:3">
      <c r="A337" t="s">
        <v>413</v>
      </c>
      <c r="B337" t="s">
        <v>26</v>
      </c>
      <c r="C337">
        <v>1</v>
      </c>
    </row>
    <row r="338" spans="1:3">
      <c r="A338" t="s">
        <v>414</v>
      </c>
      <c r="B338" t="s">
        <v>16</v>
      </c>
      <c r="C338">
        <v>1</v>
      </c>
    </row>
    <row r="339" spans="1:3">
      <c r="A339" t="s">
        <v>415</v>
      </c>
      <c r="B339" t="s">
        <v>64</v>
      </c>
      <c r="C339">
        <v>1</v>
      </c>
    </row>
    <row r="340" spans="1:3">
      <c r="A340" t="s">
        <v>416</v>
      </c>
      <c r="B340" t="s">
        <v>4</v>
      </c>
      <c r="C340">
        <v>1</v>
      </c>
    </row>
    <row r="341" spans="1:3">
      <c r="A341" t="s">
        <v>417</v>
      </c>
      <c r="B341" t="s">
        <v>4</v>
      </c>
      <c r="C341">
        <v>3</v>
      </c>
    </row>
    <row r="342" spans="1:3">
      <c r="A342" t="s">
        <v>418</v>
      </c>
      <c r="B342" t="s">
        <v>26</v>
      </c>
      <c r="C342">
        <v>1</v>
      </c>
    </row>
    <row r="343" spans="1:3">
      <c r="A343" t="s">
        <v>419</v>
      </c>
      <c r="B343" t="s">
        <v>4</v>
      </c>
      <c r="C343">
        <v>2</v>
      </c>
    </row>
    <row r="344" spans="1:3">
      <c r="A344" t="s">
        <v>420</v>
      </c>
      <c r="B344" t="s">
        <v>125</v>
      </c>
      <c r="C344">
        <v>1</v>
      </c>
    </row>
    <row r="345" spans="1:3">
      <c r="A345" t="s">
        <v>421</v>
      </c>
      <c r="B345" t="s">
        <v>125</v>
      </c>
      <c r="C345">
        <v>1</v>
      </c>
    </row>
    <row r="346" spans="1:3">
      <c r="A346" t="s">
        <v>422</v>
      </c>
      <c r="B346" t="s">
        <v>115</v>
      </c>
      <c r="C346">
        <v>2</v>
      </c>
    </row>
    <row r="347" spans="1:3">
      <c r="A347" t="s">
        <v>423</v>
      </c>
      <c r="B347" t="s">
        <v>4</v>
      </c>
      <c r="C347">
        <v>3</v>
      </c>
    </row>
    <row r="348" spans="1:3">
      <c r="A348" t="s">
        <v>424</v>
      </c>
      <c r="B348" t="s">
        <v>64</v>
      </c>
      <c r="C348">
        <v>1</v>
      </c>
    </row>
    <row r="349" spans="1:3">
      <c r="A349" t="s">
        <v>425</v>
      </c>
      <c r="B349" t="s">
        <v>22</v>
      </c>
      <c r="C349">
        <v>1</v>
      </c>
    </row>
    <row r="350" spans="1:3">
      <c r="A350" t="s">
        <v>426</v>
      </c>
      <c r="B350" t="s">
        <v>4</v>
      </c>
      <c r="C350">
        <v>1</v>
      </c>
    </row>
    <row r="351" spans="1:3">
      <c r="A351" t="s">
        <v>427</v>
      </c>
      <c r="B351" t="s">
        <v>319</v>
      </c>
      <c r="C351">
        <v>1</v>
      </c>
    </row>
    <row r="352" spans="1:3">
      <c r="A352" t="s">
        <v>428</v>
      </c>
      <c r="B352" t="s">
        <v>30</v>
      </c>
      <c r="C352">
        <v>1</v>
      </c>
    </row>
    <row r="353" spans="1:3">
      <c r="A353" t="s">
        <v>429</v>
      </c>
      <c r="B353" t="s">
        <v>16</v>
      </c>
      <c r="C353">
        <v>1</v>
      </c>
    </row>
    <row r="354" spans="1:3">
      <c r="A354" t="s">
        <v>430</v>
      </c>
      <c r="B354" t="s">
        <v>30</v>
      </c>
      <c r="C354">
        <v>1</v>
      </c>
    </row>
    <row r="355" spans="1:3">
      <c r="A355" t="s">
        <v>431</v>
      </c>
      <c r="B355" t="s">
        <v>16</v>
      </c>
      <c r="C355">
        <v>2</v>
      </c>
    </row>
    <row r="356" spans="1:3">
      <c r="A356" t="s">
        <v>432</v>
      </c>
      <c r="B356" t="s">
        <v>16</v>
      </c>
      <c r="C356">
        <v>1</v>
      </c>
    </row>
    <row r="357" spans="1:3">
      <c r="A357" t="s">
        <v>433</v>
      </c>
      <c r="B357" t="s">
        <v>26</v>
      </c>
      <c r="C357">
        <v>2</v>
      </c>
    </row>
    <row r="358" spans="1:3">
      <c r="A358" t="s">
        <v>100</v>
      </c>
      <c r="B358" t="s">
        <v>125</v>
      </c>
      <c r="C358">
        <v>3</v>
      </c>
    </row>
    <row r="359" spans="1:3">
      <c r="A359" t="s">
        <v>434</v>
      </c>
      <c r="B359" t="s">
        <v>61</v>
      </c>
      <c r="C359">
        <v>1</v>
      </c>
    </row>
    <row r="360" spans="1:3">
      <c r="A360" t="s">
        <v>435</v>
      </c>
      <c r="B360" t="s">
        <v>125</v>
      </c>
      <c r="C360">
        <v>1</v>
      </c>
    </row>
    <row r="361" spans="1:3">
      <c r="A361" t="s">
        <v>436</v>
      </c>
      <c r="B361" t="s">
        <v>16</v>
      </c>
      <c r="C361">
        <v>1</v>
      </c>
    </row>
    <row r="362" spans="1:3">
      <c r="A362" t="s">
        <v>437</v>
      </c>
      <c r="B362" t="s">
        <v>16</v>
      </c>
      <c r="C362">
        <v>1</v>
      </c>
    </row>
    <row r="363" spans="1:3">
      <c r="A363" t="s">
        <v>438</v>
      </c>
      <c r="B363" t="s">
        <v>19</v>
      </c>
      <c r="C363">
        <v>1</v>
      </c>
    </row>
    <row r="364" spans="1:3">
      <c r="A364" t="s">
        <v>439</v>
      </c>
      <c r="B364" t="s">
        <v>4</v>
      </c>
      <c r="C364">
        <v>1</v>
      </c>
    </row>
    <row r="365" spans="1:3">
      <c r="A365" t="s">
        <v>440</v>
      </c>
      <c r="B365" t="s">
        <v>19</v>
      </c>
      <c r="C365">
        <v>2</v>
      </c>
    </row>
    <row r="366" spans="1:3">
      <c r="A366" t="s">
        <v>441</v>
      </c>
      <c r="B366" t="s">
        <v>19</v>
      </c>
      <c r="C366">
        <v>1</v>
      </c>
    </row>
    <row r="367" spans="1:3">
      <c r="A367" t="s">
        <v>442</v>
      </c>
      <c r="B367" t="s">
        <v>34</v>
      </c>
      <c r="C367">
        <v>1</v>
      </c>
    </row>
    <row r="368" spans="1:3">
      <c r="A368" t="s">
        <v>443</v>
      </c>
      <c r="B368" t="s">
        <v>64</v>
      </c>
      <c r="C368">
        <v>1</v>
      </c>
    </row>
    <row r="369" spans="1:3">
      <c r="A369" t="s">
        <v>444</v>
      </c>
      <c r="B369" t="s">
        <v>64</v>
      </c>
      <c r="C369">
        <v>1</v>
      </c>
    </row>
    <row r="370" spans="1:3">
      <c r="A370" t="s">
        <v>445</v>
      </c>
      <c r="B370" t="s">
        <v>26</v>
      </c>
      <c r="C370">
        <v>1</v>
      </c>
    </row>
    <row r="371" spans="1:3">
      <c r="A371" t="s">
        <v>446</v>
      </c>
      <c r="B371" t="s">
        <v>34</v>
      </c>
      <c r="C371">
        <v>1</v>
      </c>
    </row>
    <row r="372" spans="1:3">
      <c r="A372" t="s">
        <v>447</v>
      </c>
      <c r="B372" t="s">
        <v>26</v>
      </c>
      <c r="C372">
        <v>1</v>
      </c>
    </row>
    <row r="373" spans="1:3">
      <c r="A373" t="s">
        <v>448</v>
      </c>
      <c r="B373" t="s">
        <v>16</v>
      </c>
      <c r="C373">
        <v>1</v>
      </c>
    </row>
    <row r="374" spans="1:3">
      <c r="A374" t="s">
        <v>449</v>
      </c>
      <c r="B374" t="s">
        <v>26</v>
      </c>
      <c r="C374">
        <v>2</v>
      </c>
    </row>
    <row r="375" spans="1:3">
      <c r="A375" t="s">
        <v>450</v>
      </c>
      <c r="B375" t="s">
        <v>4</v>
      </c>
      <c r="C375">
        <v>1</v>
      </c>
    </row>
    <row r="376" spans="1:3">
      <c r="A376" t="s">
        <v>451</v>
      </c>
      <c r="B376" t="s">
        <v>272</v>
      </c>
      <c r="C376">
        <v>1</v>
      </c>
    </row>
    <row r="377" spans="1:3">
      <c r="A377" t="s">
        <v>452</v>
      </c>
      <c r="B377" t="s">
        <v>125</v>
      </c>
      <c r="C377">
        <v>1</v>
      </c>
    </row>
    <row r="378" spans="1:3">
      <c r="A378" t="s">
        <v>453</v>
      </c>
      <c r="B378" t="s">
        <v>26</v>
      </c>
      <c r="C378">
        <v>1</v>
      </c>
    </row>
    <row r="379" spans="1:3">
      <c r="A379" t="s">
        <v>454</v>
      </c>
      <c r="B379" t="s">
        <v>26</v>
      </c>
      <c r="C379">
        <v>1</v>
      </c>
    </row>
    <row r="380" spans="1:3">
      <c r="A380" t="s">
        <v>455</v>
      </c>
      <c r="B380" t="s">
        <v>16</v>
      </c>
      <c r="C380">
        <v>2</v>
      </c>
    </row>
    <row r="381" spans="1:3">
      <c r="A381" t="s">
        <v>456</v>
      </c>
      <c r="B381" t="s">
        <v>19</v>
      </c>
      <c r="C381">
        <v>1</v>
      </c>
    </row>
    <row r="382" spans="1:3">
      <c r="A382" t="s">
        <v>457</v>
      </c>
      <c r="B382" t="s">
        <v>30</v>
      </c>
      <c r="C382">
        <v>1</v>
      </c>
    </row>
    <row r="383" spans="1:3">
      <c r="A383" t="s">
        <v>458</v>
      </c>
      <c r="B383" t="s">
        <v>407</v>
      </c>
      <c r="C383">
        <v>1</v>
      </c>
    </row>
    <row r="384" spans="1:3">
      <c r="A384" t="s">
        <v>459</v>
      </c>
      <c r="B384" t="s">
        <v>113</v>
      </c>
      <c r="C384">
        <v>1</v>
      </c>
    </row>
    <row r="385" spans="1:3">
      <c r="A385" t="s">
        <v>460</v>
      </c>
      <c r="B385" t="s">
        <v>113</v>
      </c>
      <c r="C385">
        <v>2</v>
      </c>
    </row>
    <row r="386" spans="1:3">
      <c r="A386" t="s">
        <v>461</v>
      </c>
      <c r="B386" t="s">
        <v>26</v>
      </c>
      <c r="C386">
        <v>2</v>
      </c>
    </row>
    <row r="387" spans="1:3">
      <c r="A387" t="s">
        <v>462</v>
      </c>
      <c r="B387" t="s">
        <v>30</v>
      </c>
      <c r="C387">
        <v>1</v>
      </c>
    </row>
    <row r="388" spans="1:3">
      <c r="A388" t="s">
        <v>463</v>
      </c>
      <c r="B388" t="s">
        <v>61</v>
      </c>
      <c r="C388">
        <v>1</v>
      </c>
    </row>
    <row r="389" spans="1:3">
      <c r="A389" t="s">
        <v>464</v>
      </c>
      <c r="B389" t="s">
        <v>26</v>
      </c>
      <c r="C389">
        <v>1</v>
      </c>
    </row>
    <row r="390" spans="1:3">
      <c r="A390" t="s">
        <v>465</v>
      </c>
      <c r="B390" t="s">
        <v>4</v>
      </c>
      <c r="C390">
        <v>1</v>
      </c>
    </row>
    <row r="391" spans="1:3">
      <c r="A391" t="s">
        <v>466</v>
      </c>
      <c r="B391" t="s">
        <v>4</v>
      </c>
      <c r="C391">
        <v>2</v>
      </c>
    </row>
    <row r="392" spans="1:3">
      <c r="A392" t="s">
        <v>467</v>
      </c>
      <c r="B392" t="s">
        <v>4</v>
      </c>
      <c r="C392">
        <v>1</v>
      </c>
    </row>
    <row r="393" spans="1:3">
      <c r="A393" t="s">
        <v>468</v>
      </c>
      <c r="B393" t="s">
        <v>4</v>
      </c>
      <c r="C393">
        <v>1</v>
      </c>
    </row>
    <row r="394" spans="1:3">
      <c r="A394" t="s">
        <v>469</v>
      </c>
      <c r="B394" t="s">
        <v>16</v>
      </c>
      <c r="C394">
        <v>1</v>
      </c>
    </row>
    <row r="395" spans="1:3">
      <c r="A395" t="s">
        <v>470</v>
      </c>
      <c r="B395" t="s">
        <v>131</v>
      </c>
      <c r="C395">
        <v>1</v>
      </c>
    </row>
    <row r="396" spans="1:3">
      <c r="A396" t="s">
        <v>471</v>
      </c>
      <c r="B396" t="s">
        <v>115</v>
      </c>
      <c r="C396">
        <v>1</v>
      </c>
    </row>
    <row r="397" spans="1:3">
      <c r="A397" t="s">
        <v>472</v>
      </c>
      <c r="B397" t="s">
        <v>115</v>
      </c>
      <c r="C397">
        <v>1</v>
      </c>
    </row>
    <row r="398" spans="1:3">
      <c r="A398" t="s">
        <v>473</v>
      </c>
      <c r="B398" t="s">
        <v>64</v>
      </c>
      <c r="C398">
        <v>1</v>
      </c>
    </row>
    <row r="399" spans="1:3">
      <c r="A399" t="s">
        <v>474</v>
      </c>
      <c r="B399" t="s">
        <v>26</v>
      </c>
      <c r="C399">
        <v>1</v>
      </c>
    </row>
    <row r="400" spans="1:3">
      <c r="A400" t="s">
        <v>475</v>
      </c>
      <c r="B400" t="s">
        <v>64</v>
      </c>
      <c r="C400">
        <v>1</v>
      </c>
    </row>
    <row r="401" spans="1:3">
      <c r="A401" t="s">
        <v>476</v>
      </c>
      <c r="B401" t="s">
        <v>26</v>
      </c>
      <c r="C401">
        <v>1</v>
      </c>
    </row>
    <row r="402" spans="1:3">
      <c r="A402" t="s">
        <v>477</v>
      </c>
      <c r="B402" t="s">
        <v>16</v>
      </c>
      <c r="C402">
        <v>1</v>
      </c>
    </row>
    <row r="403" spans="1:3">
      <c r="A403" t="s">
        <v>478</v>
      </c>
      <c r="B403" t="s">
        <v>128</v>
      </c>
      <c r="C403">
        <v>1</v>
      </c>
    </row>
    <row r="404" spans="1:3">
      <c r="A404" t="s">
        <v>479</v>
      </c>
      <c r="B404" t="s">
        <v>16</v>
      </c>
      <c r="C404">
        <v>1</v>
      </c>
    </row>
    <row r="405" spans="1:3">
      <c r="A405" t="s">
        <v>480</v>
      </c>
      <c r="B405" t="s">
        <v>26</v>
      </c>
      <c r="C405">
        <v>1</v>
      </c>
    </row>
    <row r="406" spans="1:3">
      <c r="A406" t="s">
        <v>481</v>
      </c>
      <c r="B406" t="s">
        <v>128</v>
      </c>
      <c r="C406">
        <v>1</v>
      </c>
    </row>
    <row r="407" spans="1:3">
      <c r="A407" t="s">
        <v>482</v>
      </c>
      <c r="B407" t="s">
        <v>118</v>
      </c>
      <c r="C407">
        <v>1</v>
      </c>
    </row>
    <row r="408" spans="1:3">
      <c r="A408" t="s">
        <v>483</v>
      </c>
      <c r="B408" t="s">
        <v>115</v>
      </c>
      <c r="C408">
        <v>1</v>
      </c>
    </row>
    <row r="409" spans="1:3">
      <c r="A409" t="s">
        <v>484</v>
      </c>
      <c r="B409" t="s">
        <v>26</v>
      </c>
      <c r="C409">
        <v>1</v>
      </c>
    </row>
    <row r="410" spans="1:3">
      <c r="A410" t="s">
        <v>485</v>
      </c>
      <c r="B410" t="s">
        <v>64</v>
      </c>
      <c r="C410">
        <v>1</v>
      </c>
    </row>
    <row r="411" spans="1:3">
      <c r="A411" t="s">
        <v>486</v>
      </c>
      <c r="B411" t="s">
        <v>128</v>
      </c>
      <c r="C411">
        <v>2</v>
      </c>
    </row>
    <row r="412" spans="1:3">
      <c r="A412" t="s">
        <v>487</v>
      </c>
      <c r="B412" t="s">
        <v>30</v>
      </c>
      <c r="C412">
        <v>1</v>
      </c>
    </row>
    <row r="413" spans="1:3">
      <c r="A413" t="s">
        <v>488</v>
      </c>
      <c r="B413" t="s">
        <v>26</v>
      </c>
      <c r="C413">
        <v>1</v>
      </c>
    </row>
    <row r="414" spans="1:3">
      <c r="A414" t="s">
        <v>489</v>
      </c>
      <c r="B414" t="s">
        <v>26</v>
      </c>
      <c r="C414">
        <v>1</v>
      </c>
    </row>
    <row r="415" spans="1:3">
      <c r="A415" t="s">
        <v>490</v>
      </c>
      <c r="B415" t="s">
        <v>115</v>
      </c>
      <c r="C415">
        <v>1</v>
      </c>
    </row>
    <row r="416" spans="1:3">
      <c r="A416" t="s">
        <v>491</v>
      </c>
      <c r="B416" t="s">
        <v>115</v>
      </c>
      <c r="C416">
        <v>1</v>
      </c>
    </row>
    <row r="417" spans="1:3">
      <c r="A417" t="s">
        <v>492</v>
      </c>
      <c r="B417" t="s">
        <v>26</v>
      </c>
      <c r="C417">
        <v>1</v>
      </c>
    </row>
    <row r="418" spans="1:3">
      <c r="A418" t="s">
        <v>493</v>
      </c>
      <c r="B418" t="s">
        <v>410</v>
      </c>
      <c r="C418">
        <v>1</v>
      </c>
    </row>
    <row r="419" spans="1:3">
      <c r="A419" t="s">
        <v>494</v>
      </c>
      <c r="B419" t="s">
        <v>138</v>
      </c>
      <c r="C419">
        <v>1</v>
      </c>
    </row>
    <row r="420" spans="1:3">
      <c r="A420" t="s">
        <v>495</v>
      </c>
      <c r="B420" t="s">
        <v>16</v>
      </c>
      <c r="C420">
        <v>1</v>
      </c>
    </row>
    <row r="421" spans="1:3">
      <c r="A421" t="s">
        <v>496</v>
      </c>
      <c r="B421" t="s">
        <v>26</v>
      </c>
      <c r="C421">
        <v>1</v>
      </c>
    </row>
    <row r="422" spans="1:3">
      <c r="A422" t="s">
        <v>497</v>
      </c>
      <c r="B422" t="s">
        <v>4</v>
      </c>
      <c r="C422">
        <v>1</v>
      </c>
    </row>
    <row r="423" spans="1:3">
      <c r="A423" t="s">
        <v>498</v>
      </c>
      <c r="B423" t="s">
        <v>113</v>
      </c>
      <c r="C423">
        <v>1</v>
      </c>
    </row>
    <row r="424" spans="1:3">
      <c r="A424" t="s">
        <v>499</v>
      </c>
      <c r="B424" t="s">
        <v>125</v>
      </c>
      <c r="C424">
        <v>1</v>
      </c>
    </row>
    <row r="425" spans="1:3">
      <c r="A425" t="s">
        <v>500</v>
      </c>
      <c r="B425" t="s">
        <v>113</v>
      </c>
      <c r="C425">
        <v>1</v>
      </c>
    </row>
    <row r="426" spans="1:3">
      <c r="A426" t="s">
        <v>501</v>
      </c>
      <c r="B426" t="s">
        <v>16</v>
      </c>
      <c r="C426">
        <v>1</v>
      </c>
    </row>
    <row r="427" spans="1:3">
      <c r="A427" t="s">
        <v>502</v>
      </c>
      <c r="B427" t="s">
        <v>128</v>
      </c>
      <c r="C427">
        <v>1</v>
      </c>
    </row>
    <row r="428" spans="1:3">
      <c r="A428" t="s">
        <v>503</v>
      </c>
      <c r="B428" t="s">
        <v>16</v>
      </c>
      <c r="C428">
        <v>1</v>
      </c>
    </row>
    <row r="429" spans="1:3">
      <c r="A429" t="s">
        <v>504</v>
      </c>
      <c r="B429" t="s">
        <v>32</v>
      </c>
      <c r="C429">
        <v>1</v>
      </c>
    </row>
    <row r="430" spans="1:3">
      <c r="A430" t="s">
        <v>505</v>
      </c>
      <c r="B430" t="s">
        <v>61</v>
      </c>
      <c r="C430">
        <v>1</v>
      </c>
    </row>
    <row r="431" spans="1:3">
      <c r="A431" t="s">
        <v>506</v>
      </c>
      <c r="B431" t="s">
        <v>16</v>
      </c>
      <c r="C431">
        <v>1</v>
      </c>
    </row>
    <row r="432" spans="1:3">
      <c r="A432" t="s">
        <v>507</v>
      </c>
      <c r="B432" t="s">
        <v>272</v>
      </c>
      <c r="C432">
        <v>1</v>
      </c>
    </row>
    <row r="433" spans="1:3">
      <c r="A433" t="s">
        <v>508</v>
      </c>
      <c r="B433" t="s">
        <v>16</v>
      </c>
      <c r="C433">
        <v>1</v>
      </c>
    </row>
    <row r="434" spans="1:3">
      <c r="A434" t="s">
        <v>509</v>
      </c>
      <c r="B434" t="s">
        <v>125</v>
      </c>
      <c r="C434">
        <v>1</v>
      </c>
    </row>
    <row r="435" spans="1:3">
      <c r="A435" t="s">
        <v>510</v>
      </c>
      <c r="B435" t="s">
        <v>125</v>
      </c>
      <c r="C435">
        <v>1</v>
      </c>
    </row>
    <row r="436" spans="1:3">
      <c r="A436" t="s">
        <v>511</v>
      </c>
      <c r="B436" t="s">
        <v>125</v>
      </c>
      <c r="C436">
        <v>1</v>
      </c>
    </row>
    <row r="437" spans="1:3">
      <c r="A437" t="s">
        <v>512</v>
      </c>
      <c r="B437" t="s">
        <v>4</v>
      </c>
      <c r="C437">
        <v>2</v>
      </c>
    </row>
    <row r="438" spans="1:3">
      <c r="A438" t="s">
        <v>513</v>
      </c>
      <c r="B438" t="s">
        <v>4</v>
      </c>
      <c r="C438">
        <v>1</v>
      </c>
    </row>
    <row r="439" spans="1:3">
      <c r="A439" t="s">
        <v>514</v>
      </c>
      <c r="B439" t="s">
        <v>4</v>
      </c>
      <c r="C439">
        <v>1</v>
      </c>
    </row>
    <row r="440" spans="1:3">
      <c r="A440" t="s">
        <v>515</v>
      </c>
      <c r="B440" t="s">
        <v>4</v>
      </c>
      <c r="C440">
        <v>2</v>
      </c>
    </row>
    <row r="441" spans="1:3">
      <c r="A441" t="s">
        <v>516</v>
      </c>
      <c r="B441" t="s">
        <v>4</v>
      </c>
      <c r="C441">
        <v>1</v>
      </c>
    </row>
    <row r="442" spans="1:3">
      <c r="A442" t="s">
        <v>517</v>
      </c>
      <c r="B442" t="s">
        <v>4</v>
      </c>
      <c r="C442">
        <v>1</v>
      </c>
    </row>
    <row r="443" spans="1:3">
      <c r="A443" t="s">
        <v>518</v>
      </c>
      <c r="B443" t="s">
        <v>4</v>
      </c>
      <c r="C443">
        <v>1</v>
      </c>
    </row>
    <row r="444" spans="1:3">
      <c r="A444" t="s">
        <v>519</v>
      </c>
      <c r="B444" t="s">
        <v>4</v>
      </c>
      <c r="C444">
        <v>1</v>
      </c>
    </row>
    <row r="445" spans="1:3">
      <c r="A445" t="s">
        <v>520</v>
      </c>
      <c r="B445" t="s">
        <v>4</v>
      </c>
      <c r="C445">
        <v>1</v>
      </c>
    </row>
    <row r="446" spans="1:3">
      <c r="A446" t="s">
        <v>521</v>
      </c>
      <c r="B446" t="s">
        <v>30</v>
      </c>
      <c r="C446">
        <v>1</v>
      </c>
    </row>
    <row r="447" spans="1:3">
      <c r="A447" t="s">
        <v>522</v>
      </c>
      <c r="B447" t="s">
        <v>30</v>
      </c>
      <c r="C447">
        <v>1</v>
      </c>
    </row>
    <row r="448" spans="1:3">
      <c r="A448" t="s">
        <v>523</v>
      </c>
      <c r="B448" t="s">
        <v>30</v>
      </c>
      <c r="C448">
        <v>1</v>
      </c>
    </row>
    <row r="449" spans="1:3">
      <c r="A449" t="s">
        <v>524</v>
      </c>
      <c r="B449" t="s">
        <v>4</v>
      </c>
      <c r="C449">
        <v>1</v>
      </c>
    </row>
    <row r="450" spans="1:3">
      <c r="A450" t="s">
        <v>525</v>
      </c>
      <c r="B450" t="s">
        <v>30</v>
      </c>
      <c r="C450">
        <v>1</v>
      </c>
    </row>
    <row r="451" spans="1:3">
      <c r="A451" t="s">
        <v>526</v>
      </c>
      <c r="B451" t="s">
        <v>30</v>
      </c>
      <c r="C451">
        <v>1</v>
      </c>
    </row>
    <row r="452" spans="1:3">
      <c r="A452" t="s">
        <v>527</v>
      </c>
      <c r="B452" t="s">
        <v>30</v>
      </c>
      <c r="C452">
        <v>1</v>
      </c>
    </row>
    <row r="454" spans="1:3">
      <c r="A454" s="2" t="s">
        <v>528</v>
      </c>
    </row>
    <row r="455" spans="1:3">
      <c r="A455" s="2" t="s">
        <v>0</v>
      </c>
      <c r="B455" s="2" t="s">
        <v>1</v>
      </c>
    </row>
    <row r="456" spans="1:3">
      <c r="A456" t="s">
        <v>112</v>
      </c>
      <c r="B456">
        <v>13</v>
      </c>
    </row>
    <row r="457" spans="1:3">
      <c r="A457" t="s">
        <v>122</v>
      </c>
      <c r="B457">
        <v>11</v>
      </c>
    </row>
    <row r="458" spans="1:3">
      <c r="A458" t="s">
        <v>158</v>
      </c>
      <c r="B458">
        <v>4</v>
      </c>
    </row>
    <row r="459" spans="1:3">
      <c r="A459" t="s">
        <v>184</v>
      </c>
      <c r="B459">
        <v>4</v>
      </c>
    </row>
    <row r="460" spans="1:3">
      <c r="A460" t="s">
        <v>185</v>
      </c>
      <c r="B460">
        <v>4</v>
      </c>
    </row>
    <row r="461" spans="1:3">
      <c r="A461" t="s">
        <v>188</v>
      </c>
      <c r="B461">
        <v>4</v>
      </c>
    </row>
    <row r="462" spans="1:3">
      <c r="A462" t="s">
        <v>206</v>
      </c>
      <c r="B462">
        <v>4</v>
      </c>
    </row>
    <row r="463" spans="1:3">
      <c r="A463" t="s">
        <v>214</v>
      </c>
      <c r="B463">
        <v>6</v>
      </c>
    </row>
    <row r="464" spans="1:3">
      <c r="A464" t="s">
        <v>260</v>
      </c>
      <c r="B464">
        <v>1</v>
      </c>
    </row>
    <row r="465" spans="1:2">
      <c r="A465" t="s">
        <v>459</v>
      </c>
      <c r="B465">
        <v>1</v>
      </c>
    </row>
    <row r="466" spans="1:2">
      <c r="A466" t="s">
        <v>460</v>
      </c>
      <c r="B466">
        <v>2</v>
      </c>
    </row>
    <row r="467" spans="1:2">
      <c r="A467" t="s">
        <v>498</v>
      </c>
      <c r="B467">
        <v>1</v>
      </c>
    </row>
    <row r="468" spans="1:2">
      <c r="A468" t="s">
        <v>500</v>
      </c>
      <c r="B468">
        <v>1</v>
      </c>
    </row>
    <row r="469" spans="1:2">
      <c r="A469" s="2" t="s">
        <v>9</v>
      </c>
      <c r="B469" s="2">
        <v>56</v>
      </c>
    </row>
    <row r="471" spans="1:2">
      <c r="A471" s="2" t="s">
        <v>529</v>
      </c>
    </row>
    <row r="472" spans="1:2">
      <c r="A472" s="2" t="s">
        <v>0</v>
      </c>
      <c r="B472" s="2" t="s">
        <v>1</v>
      </c>
    </row>
    <row r="473" spans="1:2">
      <c r="A473" t="s">
        <v>114</v>
      </c>
      <c r="B473">
        <v>7</v>
      </c>
    </row>
    <row r="474" spans="1:2">
      <c r="A474" t="s">
        <v>137</v>
      </c>
      <c r="B474">
        <v>3</v>
      </c>
    </row>
    <row r="475" spans="1:2">
      <c r="A475" t="s">
        <v>180</v>
      </c>
      <c r="B475">
        <v>5</v>
      </c>
    </row>
    <row r="476" spans="1:2">
      <c r="A476" t="s">
        <v>196</v>
      </c>
      <c r="B476">
        <v>4</v>
      </c>
    </row>
    <row r="477" spans="1:2">
      <c r="A477" t="s">
        <v>215</v>
      </c>
      <c r="B477">
        <v>4</v>
      </c>
    </row>
    <row r="478" spans="1:2">
      <c r="A478" t="s">
        <v>313</v>
      </c>
      <c r="B478">
        <v>2</v>
      </c>
    </row>
    <row r="479" spans="1:2">
      <c r="A479" t="s">
        <v>422</v>
      </c>
      <c r="B479">
        <v>2</v>
      </c>
    </row>
    <row r="480" spans="1:2">
      <c r="A480" t="s">
        <v>471</v>
      </c>
      <c r="B480">
        <v>1</v>
      </c>
    </row>
    <row r="481" spans="1:2">
      <c r="A481" t="s">
        <v>472</v>
      </c>
      <c r="B481">
        <v>1</v>
      </c>
    </row>
    <row r="482" spans="1:2">
      <c r="A482" t="s">
        <v>483</v>
      </c>
      <c r="B482">
        <v>1</v>
      </c>
    </row>
    <row r="483" spans="1:2">
      <c r="A483" t="s">
        <v>490</v>
      </c>
      <c r="B483">
        <v>1</v>
      </c>
    </row>
    <row r="484" spans="1:2">
      <c r="A484" t="s">
        <v>491</v>
      </c>
      <c r="B484">
        <v>1</v>
      </c>
    </row>
    <row r="485" spans="1:2">
      <c r="A485" s="2" t="s">
        <v>9</v>
      </c>
      <c r="B485" s="2">
        <v>32</v>
      </c>
    </row>
    <row r="487" spans="1:2">
      <c r="A487" s="2" t="s">
        <v>52</v>
      </c>
    </row>
    <row r="488" spans="1:2">
      <c r="A488" s="2" t="s">
        <v>0</v>
      </c>
      <c r="B488" s="2" t="s">
        <v>1</v>
      </c>
    </row>
    <row r="489" spans="1:2">
      <c r="A489" t="s">
        <v>116</v>
      </c>
      <c r="B489">
        <v>8</v>
      </c>
    </row>
    <row r="490" spans="1:2">
      <c r="A490" t="s">
        <v>65</v>
      </c>
      <c r="B490">
        <v>5</v>
      </c>
    </row>
    <row r="491" spans="1:2">
      <c r="A491" t="s">
        <v>132</v>
      </c>
      <c r="B491">
        <v>9</v>
      </c>
    </row>
    <row r="492" spans="1:2">
      <c r="A492" t="s">
        <v>151</v>
      </c>
      <c r="B492">
        <v>4</v>
      </c>
    </row>
    <row r="493" spans="1:2">
      <c r="A493" t="s">
        <v>152</v>
      </c>
      <c r="B493">
        <v>5</v>
      </c>
    </row>
    <row r="494" spans="1:2">
      <c r="A494" t="s">
        <v>153</v>
      </c>
      <c r="B494">
        <v>5</v>
      </c>
    </row>
    <row r="495" spans="1:2">
      <c r="A495" t="s">
        <v>35</v>
      </c>
      <c r="B495">
        <v>12</v>
      </c>
    </row>
    <row r="496" spans="1:2">
      <c r="A496" t="s">
        <v>169</v>
      </c>
      <c r="B496">
        <v>4</v>
      </c>
    </row>
    <row r="497" spans="1:2">
      <c r="A497" t="s">
        <v>171</v>
      </c>
      <c r="B497">
        <v>4</v>
      </c>
    </row>
    <row r="498" spans="1:2">
      <c r="A498" t="s">
        <v>172</v>
      </c>
      <c r="B498">
        <v>4</v>
      </c>
    </row>
    <row r="499" spans="1:2">
      <c r="A499" t="s">
        <v>181</v>
      </c>
      <c r="B499">
        <v>5</v>
      </c>
    </row>
    <row r="500" spans="1:2">
      <c r="A500" t="s">
        <v>183</v>
      </c>
      <c r="B500">
        <v>6</v>
      </c>
    </row>
    <row r="501" spans="1:2">
      <c r="A501" t="s">
        <v>74</v>
      </c>
      <c r="B501">
        <v>10</v>
      </c>
    </row>
    <row r="502" spans="1:2">
      <c r="A502" t="s">
        <v>192</v>
      </c>
      <c r="B502">
        <v>5</v>
      </c>
    </row>
    <row r="503" spans="1:2">
      <c r="A503" t="s">
        <v>197</v>
      </c>
      <c r="B503">
        <v>4</v>
      </c>
    </row>
    <row r="504" spans="1:2">
      <c r="A504" t="s">
        <v>203</v>
      </c>
      <c r="B504">
        <v>4</v>
      </c>
    </row>
    <row r="505" spans="1:2">
      <c r="A505" t="s">
        <v>204</v>
      </c>
      <c r="B505">
        <v>5</v>
      </c>
    </row>
    <row r="506" spans="1:2">
      <c r="A506" t="s">
        <v>205</v>
      </c>
      <c r="B506">
        <v>4</v>
      </c>
    </row>
    <row r="507" spans="1:2">
      <c r="A507" t="s">
        <v>211</v>
      </c>
      <c r="B507">
        <v>4</v>
      </c>
    </row>
    <row r="508" spans="1:2">
      <c r="A508" t="s">
        <v>220</v>
      </c>
      <c r="B508">
        <v>14</v>
      </c>
    </row>
    <row r="509" spans="1:2">
      <c r="A509" t="s">
        <v>231</v>
      </c>
      <c r="B509">
        <v>1</v>
      </c>
    </row>
    <row r="510" spans="1:2">
      <c r="A510" t="s">
        <v>239</v>
      </c>
      <c r="B510">
        <v>1</v>
      </c>
    </row>
    <row r="511" spans="1:2">
      <c r="A511" t="s">
        <v>231</v>
      </c>
      <c r="B511">
        <v>2</v>
      </c>
    </row>
    <row r="512" spans="1:2">
      <c r="A512" t="s">
        <v>267</v>
      </c>
      <c r="B512">
        <v>2</v>
      </c>
    </row>
    <row r="513" spans="1:2">
      <c r="A513" t="s">
        <v>277</v>
      </c>
      <c r="B513">
        <v>1</v>
      </c>
    </row>
    <row r="514" spans="1:2">
      <c r="A514" t="s">
        <v>92</v>
      </c>
      <c r="B514">
        <v>2</v>
      </c>
    </row>
    <row r="515" spans="1:2">
      <c r="A515" t="s">
        <v>305</v>
      </c>
      <c r="B515">
        <v>3</v>
      </c>
    </row>
    <row r="516" spans="1:2">
      <c r="A516" t="s">
        <v>306</v>
      </c>
      <c r="B516">
        <v>1</v>
      </c>
    </row>
    <row r="517" spans="1:2">
      <c r="A517" t="s">
        <v>317</v>
      </c>
      <c r="B517">
        <v>2</v>
      </c>
    </row>
    <row r="518" spans="1:2">
      <c r="A518" t="s">
        <v>341</v>
      </c>
      <c r="B518">
        <v>1</v>
      </c>
    </row>
    <row r="519" spans="1:2">
      <c r="A519" t="s">
        <v>344</v>
      </c>
      <c r="B519">
        <v>1</v>
      </c>
    </row>
    <row r="520" spans="1:2">
      <c r="A520" t="s">
        <v>345</v>
      </c>
      <c r="B520">
        <v>1</v>
      </c>
    </row>
    <row r="521" spans="1:2">
      <c r="A521" t="s">
        <v>346</v>
      </c>
      <c r="B521">
        <v>1</v>
      </c>
    </row>
    <row r="522" spans="1:2">
      <c r="A522" t="s">
        <v>353</v>
      </c>
      <c r="B522">
        <v>1</v>
      </c>
    </row>
    <row r="523" spans="1:2">
      <c r="A523" t="s">
        <v>361</v>
      </c>
      <c r="B523">
        <v>1</v>
      </c>
    </row>
    <row r="524" spans="1:2">
      <c r="A524" t="s">
        <v>69</v>
      </c>
      <c r="B524">
        <v>1</v>
      </c>
    </row>
    <row r="525" spans="1:2">
      <c r="A525" t="s">
        <v>375</v>
      </c>
      <c r="B525">
        <v>1</v>
      </c>
    </row>
    <row r="526" spans="1:2">
      <c r="A526" t="s">
        <v>379</v>
      </c>
      <c r="B526">
        <v>2</v>
      </c>
    </row>
    <row r="527" spans="1:2">
      <c r="A527" t="s">
        <v>380</v>
      </c>
      <c r="B527">
        <v>1</v>
      </c>
    </row>
    <row r="528" spans="1:2">
      <c r="A528" t="s">
        <v>428</v>
      </c>
      <c r="B528">
        <v>1</v>
      </c>
    </row>
    <row r="529" spans="1:2">
      <c r="A529" t="s">
        <v>430</v>
      </c>
      <c r="B529">
        <v>1</v>
      </c>
    </row>
    <row r="530" spans="1:2">
      <c r="A530" t="s">
        <v>457</v>
      </c>
      <c r="B530">
        <v>1</v>
      </c>
    </row>
    <row r="531" spans="1:2">
      <c r="A531" t="s">
        <v>462</v>
      </c>
      <c r="B531">
        <v>1</v>
      </c>
    </row>
    <row r="532" spans="1:2">
      <c r="A532" t="s">
        <v>487</v>
      </c>
      <c r="B532">
        <v>1</v>
      </c>
    </row>
    <row r="533" spans="1:2">
      <c r="A533" t="s">
        <v>521</v>
      </c>
      <c r="B533">
        <v>1</v>
      </c>
    </row>
    <row r="534" spans="1:2">
      <c r="A534" t="s">
        <v>522</v>
      </c>
      <c r="B534">
        <v>1</v>
      </c>
    </row>
    <row r="535" spans="1:2">
      <c r="A535" t="s">
        <v>523</v>
      </c>
      <c r="B535">
        <v>1</v>
      </c>
    </row>
    <row r="536" spans="1:2">
      <c r="A536" t="s">
        <v>525</v>
      </c>
      <c r="B536">
        <v>1</v>
      </c>
    </row>
    <row r="537" spans="1:2">
      <c r="A537" t="s">
        <v>526</v>
      </c>
      <c r="B537">
        <v>1</v>
      </c>
    </row>
    <row r="538" spans="1:2">
      <c r="A538" t="s">
        <v>527</v>
      </c>
      <c r="B538">
        <v>1</v>
      </c>
    </row>
    <row r="539" spans="1:2">
      <c r="A539" s="2" t="s">
        <v>9</v>
      </c>
      <c r="B539" s="2">
        <v>158</v>
      </c>
    </row>
    <row r="541" spans="1:2">
      <c r="A541" s="2" t="s">
        <v>530</v>
      </c>
    </row>
    <row r="542" spans="1:2">
      <c r="A542" s="2" t="s">
        <v>0</v>
      </c>
      <c r="B542" s="2" t="s">
        <v>1</v>
      </c>
    </row>
    <row r="543" spans="1:2">
      <c r="A543" t="s">
        <v>117</v>
      </c>
      <c r="B543">
        <v>12</v>
      </c>
    </row>
    <row r="544" spans="1:2">
      <c r="A544" t="s">
        <v>149</v>
      </c>
      <c r="B544">
        <v>4</v>
      </c>
    </row>
    <row r="545" spans="1:2">
      <c r="A545" t="s">
        <v>194</v>
      </c>
      <c r="B545">
        <v>4</v>
      </c>
    </row>
    <row r="546" spans="1:2">
      <c r="A546" t="s">
        <v>210</v>
      </c>
      <c r="B546">
        <v>6</v>
      </c>
    </row>
    <row r="547" spans="1:2">
      <c r="A547" t="s">
        <v>66</v>
      </c>
      <c r="B547">
        <v>3</v>
      </c>
    </row>
    <row r="548" spans="1:2">
      <c r="A548" t="s">
        <v>228</v>
      </c>
      <c r="B548">
        <v>1</v>
      </c>
    </row>
    <row r="549" spans="1:2">
      <c r="A549" t="s">
        <v>274</v>
      </c>
      <c r="B549">
        <v>3</v>
      </c>
    </row>
    <row r="550" spans="1:2">
      <c r="A550" t="s">
        <v>286</v>
      </c>
      <c r="B550">
        <v>8</v>
      </c>
    </row>
    <row r="551" spans="1:2">
      <c r="A551" t="s">
        <v>289</v>
      </c>
      <c r="B551">
        <v>1</v>
      </c>
    </row>
    <row r="552" spans="1:2">
      <c r="A552" t="s">
        <v>374</v>
      </c>
      <c r="B552">
        <v>1</v>
      </c>
    </row>
    <row r="553" spans="1:2">
      <c r="A553" t="s">
        <v>389</v>
      </c>
      <c r="B553">
        <v>1</v>
      </c>
    </row>
    <row r="554" spans="1:2">
      <c r="A554" t="s">
        <v>482</v>
      </c>
      <c r="B554">
        <v>1</v>
      </c>
    </row>
    <row r="555" spans="1:2">
      <c r="A555" s="2" t="s">
        <v>9</v>
      </c>
      <c r="B555" s="2">
        <v>45</v>
      </c>
    </row>
    <row r="557" spans="1:2">
      <c r="A557" s="2" t="s">
        <v>531</v>
      </c>
    </row>
    <row r="558" spans="1:2">
      <c r="A558" s="2" t="s">
        <v>0</v>
      </c>
      <c r="B558" s="2" t="s">
        <v>1</v>
      </c>
    </row>
    <row r="559" spans="1:2">
      <c r="A559" t="s">
        <v>119</v>
      </c>
      <c r="B559">
        <v>8</v>
      </c>
    </row>
    <row r="560" spans="1:2">
      <c r="A560" s="2" t="s">
        <v>9</v>
      </c>
      <c r="B560" s="2">
        <v>8</v>
      </c>
    </row>
    <row r="562" spans="1:2">
      <c r="A562" s="2" t="s">
        <v>54</v>
      </c>
    </row>
    <row r="563" spans="1:2">
      <c r="A563" s="2" t="s">
        <v>0</v>
      </c>
      <c r="B563" s="2" t="s">
        <v>1</v>
      </c>
    </row>
    <row r="564" spans="1:2">
      <c r="A564" t="s">
        <v>121</v>
      </c>
      <c r="B564">
        <v>7</v>
      </c>
    </row>
    <row r="565" spans="1:2">
      <c r="A565" t="s">
        <v>156</v>
      </c>
      <c r="B565">
        <v>4</v>
      </c>
    </row>
    <row r="566" spans="1:2">
      <c r="A566" t="s">
        <v>176</v>
      </c>
      <c r="B566">
        <v>6</v>
      </c>
    </row>
    <row r="567" spans="1:2">
      <c r="A567" t="s">
        <v>182</v>
      </c>
      <c r="B567">
        <v>4</v>
      </c>
    </row>
    <row r="568" spans="1:2">
      <c r="A568" t="s">
        <v>186</v>
      </c>
      <c r="B568">
        <v>4</v>
      </c>
    </row>
    <row r="569" spans="1:2">
      <c r="A569" t="s">
        <v>71</v>
      </c>
      <c r="B569">
        <v>16</v>
      </c>
    </row>
    <row r="570" spans="1:2">
      <c r="A570" t="s">
        <v>222</v>
      </c>
      <c r="B570">
        <v>3</v>
      </c>
    </row>
    <row r="571" spans="1:2">
      <c r="A571" t="s">
        <v>223</v>
      </c>
      <c r="B571">
        <v>3</v>
      </c>
    </row>
    <row r="572" spans="1:2">
      <c r="A572" t="s">
        <v>261</v>
      </c>
      <c r="B572">
        <v>2</v>
      </c>
    </row>
    <row r="573" spans="1:2">
      <c r="A573" t="s">
        <v>301</v>
      </c>
      <c r="B573">
        <v>9</v>
      </c>
    </row>
    <row r="574" spans="1:2">
      <c r="A574" t="s">
        <v>302</v>
      </c>
      <c r="B574">
        <v>6</v>
      </c>
    </row>
    <row r="575" spans="1:2">
      <c r="A575" t="s">
        <v>309</v>
      </c>
      <c r="B575">
        <v>2</v>
      </c>
    </row>
    <row r="576" spans="1:2">
      <c r="A576" t="s">
        <v>321</v>
      </c>
      <c r="B576">
        <v>2</v>
      </c>
    </row>
    <row r="577" spans="1:2">
      <c r="A577" t="s">
        <v>324</v>
      </c>
      <c r="B577">
        <v>1</v>
      </c>
    </row>
    <row r="578" spans="1:2">
      <c r="A578" t="s">
        <v>358</v>
      </c>
      <c r="B578">
        <v>2</v>
      </c>
    </row>
    <row r="579" spans="1:2">
      <c r="A579" t="s">
        <v>371</v>
      </c>
      <c r="B579">
        <v>1</v>
      </c>
    </row>
    <row r="580" spans="1:2">
      <c r="A580" t="s">
        <v>376</v>
      </c>
      <c r="B580">
        <v>1</v>
      </c>
    </row>
    <row r="581" spans="1:2">
      <c r="A581" t="s">
        <v>383</v>
      </c>
      <c r="B581">
        <v>2</v>
      </c>
    </row>
    <row r="582" spans="1:2">
      <c r="A582" t="s">
        <v>384</v>
      </c>
      <c r="B582">
        <v>2</v>
      </c>
    </row>
    <row r="583" spans="1:2">
      <c r="A583" t="s">
        <v>385</v>
      </c>
      <c r="B583">
        <v>3</v>
      </c>
    </row>
    <row r="584" spans="1:2">
      <c r="A584" t="s">
        <v>387</v>
      </c>
      <c r="B584">
        <v>1</v>
      </c>
    </row>
    <row r="585" spans="1:2">
      <c r="A585" t="s">
        <v>396</v>
      </c>
      <c r="B585">
        <v>2</v>
      </c>
    </row>
    <row r="586" spans="1:2">
      <c r="A586" t="s">
        <v>397</v>
      </c>
      <c r="B586">
        <v>1</v>
      </c>
    </row>
    <row r="587" spans="1:2">
      <c r="A587" t="s">
        <v>402</v>
      </c>
      <c r="B587">
        <v>1</v>
      </c>
    </row>
    <row r="588" spans="1:2">
      <c r="A588" t="s">
        <v>403</v>
      </c>
      <c r="B588">
        <v>1</v>
      </c>
    </row>
    <row r="589" spans="1:2">
      <c r="A589" t="s">
        <v>442</v>
      </c>
      <c r="B589">
        <v>1</v>
      </c>
    </row>
    <row r="590" spans="1:2">
      <c r="A590" t="s">
        <v>446</v>
      </c>
      <c r="B590">
        <v>1</v>
      </c>
    </row>
    <row r="591" spans="1:2">
      <c r="A591" s="2" t="s">
        <v>9</v>
      </c>
      <c r="B591" s="2">
        <v>88</v>
      </c>
    </row>
    <row r="593" spans="1:2">
      <c r="A593" s="2" t="s">
        <v>532</v>
      </c>
    </row>
    <row r="594" spans="1:2">
      <c r="A594" s="2" t="s">
        <v>0</v>
      </c>
      <c r="B594" s="2" t="s">
        <v>1</v>
      </c>
    </row>
    <row r="595" spans="1:2">
      <c r="A595" t="s">
        <v>124</v>
      </c>
      <c r="B595">
        <v>26</v>
      </c>
    </row>
    <row r="596" spans="1:2">
      <c r="A596" t="s">
        <v>155</v>
      </c>
      <c r="B596">
        <v>4</v>
      </c>
    </row>
    <row r="597" spans="1:2">
      <c r="A597" t="s">
        <v>102</v>
      </c>
      <c r="B597">
        <v>13</v>
      </c>
    </row>
    <row r="598" spans="1:2">
      <c r="A598" t="s">
        <v>161</v>
      </c>
      <c r="B598">
        <v>6</v>
      </c>
    </row>
    <row r="599" spans="1:2">
      <c r="A599" t="s">
        <v>191</v>
      </c>
      <c r="B599">
        <v>4</v>
      </c>
    </row>
    <row r="600" spans="1:2">
      <c r="A600" t="s">
        <v>198</v>
      </c>
      <c r="B600">
        <v>5</v>
      </c>
    </row>
    <row r="601" spans="1:2">
      <c r="A601" t="s">
        <v>103</v>
      </c>
      <c r="B601">
        <v>16</v>
      </c>
    </row>
    <row r="602" spans="1:2">
      <c r="A602" t="s">
        <v>200</v>
      </c>
      <c r="B602">
        <v>10</v>
      </c>
    </row>
    <row r="603" spans="1:2">
      <c r="A603" t="s">
        <v>99</v>
      </c>
      <c r="B603">
        <v>7</v>
      </c>
    </row>
    <row r="604" spans="1:2">
      <c r="A604" t="s">
        <v>97</v>
      </c>
      <c r="B604">
        <v>11</v>
      </c>
    </row>
    <row r="605" spans="1:2">
      <c r="A605" t="s">
        <v>244</v>
      </c>
      <c r="B605">
        <v>1</v>
      </c>
    </row>
    <row r="606" spans="1:2">
      <c r="A606" t="s">
        <v>270</v>
      </c>
      <c r="B606">
        <v>1</v>
      </c>
    </row>
    <row r="607" spans="1:2">
      <c r="A607" t="s">
        <v>281</v>
      </c>
      <c r="B607">
        <v>1</v>
      </c>
    </row>
    <row r="608" spans="1:2">
      <c r="A608" t="s">
        <v>244</v>
      </c>
      <c r="B608">
        <v>1</v>
      </c>
    </row>
    <row r="609" spans="1:2">
      <c r="A609" t="s">
        <v>304</v>
      </c>
      <c r="B609">
        <v>4</v>
      </c>
    </row>
    <row r="610" spans="1:2">
      <c r="A610" t="s">
        <v>327</v>
      </c>
      <c r="B610">
        <v>6</v>
      </c>
    </row>
    <row r="611" spans="1:2">
      <c r="A611" t="s">
        <v>339</v>
      </c>
      <c r="B611">
        <v>1</v>
      </c>
    </row>
    <row r="612" spans="1:2">
      <c r="A612" t="s">
        <v>340</v>
      </c>
      <c r="B612">
        <v>1</v>
      </c>
    </row>
    <row r="613" spans="1:2">
      <c r="A613" t="s">
        <v>357</v>
      </c>
      <c r="B613">
        <v>1</v>
      </c>
    </row>
    <row r="614" spans="1:2">
      <c r="A614" t="s">
        <v>362</v>
      </c>
      <c r="B614">
        <v>1</v>
      </c>
    </row>
    <row r="615" spans="1:2">
      <c r="A615" t="s">
        <v>378</v>
      </c>
      <c r="B615">
        <v>1</v>
      </c>
    </row>
    <row r="616" spans="1:2">
      <c r="A616" t="s">
        <v>398</v>
      </c>
      <c r="B616">
        <v>1</v>
      </c>
    </row>
    <row r="617" spans="1:2">
      <c r="A617" t="s">
        <v>420</v>
      </c>
      <c r="B617">
        <v>1</v>
      </c>
    </row>
    <row r="618" spans="1:2">
      <c r="A618" t="s">
        <v>421</v>
      </c>
      <c r="B618">
        <v>1</v>
      </c>
    </row>
    <row r="619" spans="1:2">
      <c r="A619" t="s">
        <v>100</v>
      </c>
      <c r="B619">
        <v>3</v>
      </c>
    </row>
    <row r="620" spans="1:2">
      <c r="A620" t="s">
        <v>435</v>
      </c>
      <c r="B620">
        <v>1</v>
      </c>
    </row>
    <row r="621" spans="1:2">
      <c r="A621" t="s">
        <v>452</v>
      </c>
      <c r="B621">
        <v>1</v>
      </c>
    </row>
    <row r="622" spans="1:2">
      <c r="A622" t="s">
        <v>499</v>
      </c>
      <c r="B622">
        <v>1</v>
      </c>
    </row>
    <row r="623" spans="1:2">
      <c r="A623" t="s">
        <v>509</v>
      </c>
      <c r="B623">
        <v>1</v>
      </c>
    </row>
    <row r="624" spans="1:2">
      <c r="A624" t="s">
        <v>510</v>
      </c>
      <c r="B624">
        <v>1</v>
      </c>
    </row>
    <row r="625" spans="1:2">
      <c r="A625" t="s">
        <v>511</v>
      </c>
      <c r="B625">
        <v>1</v>
      </c>
    </row>
    <row r="626" spans="1:2">
      <c r="A626" s="2" t="s">
        <v>9</v>
      </c>
      <c r="B626" s="2">
        <v>133</v>
      </c>
    </row>
    <row r="628" spans="1:2">
      <c r="A628" s="2" t="s">
        <v>96</v>
      </c>
    </row>
    <row r="629" spans="1:2">
      <c r="A629" s="2" t="s">
        <v>0</v>
      </c>
      <c r="B629" s="2" t="s">
        <v>1</v>
      </c>
    </row>
    <row r="630" spans="1:2">
      <c r="A630" t="s">
        <v>127</v>
      </c>
      <c r="B630">
        <v>8</v>
      </c>
    </row>
    <row r="631" spans="1:2">
      <c r="A631" t="s">
        <v>130</v>
      </c>
      <c r="B631">
        <v>18</v>
      </c>
    </row>
    <row r="632" spans="1:2">
      <c r="A632" t="s">
        <v>135</v>
      </c>
      <c r="B632">
        <v>5</v>
      </c>
    </row>
    <row r="633" spans="1:2">
      <c r="A633" t="s">
        <v>146</v>
      </c>
      <c r="B633">
        <v>4</v>
      </c>
    </row>
    <row r="634" spans="1:2">
      <c r="A634" t="s">
        <v>159</v>
      </c>
      <c r="B634">
        <v>4</v>
      </c>
    </row>
    <row r="635" spans="1:2">
      <c r="A635" t="s">
        <v>162</v>
      </c>
      <c r="B635">
        <v>6</v>
      </c>
    </row>
    <row r="636" spans="1:2">
      <c r="A636" t="s">
        <v>174</v>
      </c>
      <c r="B636">
        <v>4</v>
      </c>
    </row>
    <row r="637" spans="1:2">
      <c r="A637" t="s">
        <v>81</v>
      </c>
      <c r="B637">
        <v>6</v>
      </c>
    </row>
    <row r="638" spans="1:2">
      <c r="A638" t="s">
        <v>193</v>
      </c>
      <c r="B638">
        <v>4</v>
      </c>
    </row>
    <row r="639" spans="1:2">
      <c r="A639" t="s">
        <v>226</v>
      </c>
      <c r="B639">
        <v>1</v>
      </c>
    </row>
    <row r="640" spans="1:2">
      <c r="A640" t="s">
        <v>229</v>
      </c>
      <c r="B640">
        <v>1</v>
      </c>
    </row>
    <row r="641" spans="1:2">
      <c r="A641" t="s">
        <v>242</v>
      </c>
      <c r="B641">
        <v>1</v>
      </c>
    </row>
    <row r="642" spans="1:2">
      <c r="A642" t="s">
        <v>268</v>
      </c>
      <c r="B642">
        <v>2</v>
      </c>
    </row>
    <row r="643" spans="1:2">
      <c r="A643" t="s">
        <v>242</v>
      </c>
      <c r="B643">
        <v>1</v>
      </c>
    </row>
    <row r="644" spans="1:2">
      <c r="A644" t="s">
        <v>311</v>
      </c>
      <c r="B644">
        <v>2</v>
      </c>
    </row>
    <row r="645" spans="1:2">
      <c r="A645" t="s">
        <v>316</v>
      </c>
      <c r="B645">
        <v>1</v>
      </c>
    </row>
    <row r="646" spans="1:2">
      <c r="A646" t="s">
        <v>322</v>
      </c>
      <c r="B646">
        <v>2</v>
      </c>
    </row>
    <row r="647" spans="1:2">
      <c r="A647" t="s">
        <v>323</v>
      </c>
      <c r="B647">
        <v>1</v>
      </c>
    </row>
    <row r="648" spans="1:2">
      <c r="A648" t="s">
        <v>337</v>
      </c>
      <c r="B648">
        <v>2</v>
      </c>
    </row>
    <row r="649" spans="1:2">
      <c r="A649" t="s">
        <v>363</v>
      </c>
      <c r="B649">
        <v>1</v>
      </c>
    </row>
    <row r="650" spans="1:2">
      <c r="A650" t="s">
        <v>364</v>
      </c>
      <c r="B650">
        <v>1</v>
      </c>
    </row>
    <row r="651" spans="1:2">
      <c r="A651" t="s">
        <v>365</v>
      </c>
      <c r="B651">
        <v>1</v>
      </c>
    </row>
    <row r="652" spans="1:2">
      <c r="A652" t="s">
        <v>366</v>
      </c>
      <c r="B652">
        <v>1</v>
      </c>
    </row>
    <row r="653" spans="1:2">
      <c r="A653" t="s">
        <v>367</v>
      </c>
      <c r="B653">
        <v>2</v>
      </c>
    </row>
    <row r="654" spans="1:2">
      <c r="A654" t="s">
        <v>368</v>
      </c>
      <c r="B654">
        <v>2</v>
      </c>
    </row>
    <row r="655" spans="1:2">
      <c r="A655" t="s">
        <v>369</v>
      </c>
      <c r="B655">
        <v>1</v>
      </c>
    </row>
    <row r="656" spans="1:2">
      <c r="A656" t="s">
        <v>415</v>
      </c>
      <c r="B656">
        <v>1</v>
      </c>
    </row>
    <row r="657" spans="1:2">
      <c r="A657" t="s">
        <v>424</v>
      </c>
      <c r="B657">
        <v>1</v>
      </c>
    </row>
    <row r="658" spans="1:2">
      <c r="A658" t="s">
        <v>443</v>
      </c>
      <c r="B658">
        <v>1</v>
      </c>
    </row>
    <row r="659" spans="1:2">
      <c r="A659" t="s">
        <v>444</v>
      </c>
      <c r="B659">
        <v>1</v>
      </c>
    </row>
    <row r="660" spans="1:2">
      <c r="A660" t="s">
        <v>473</v>
      </c>
      <c r="B660">
        <v>1</v>
      </c>
    </row>
    <row r="661" spans="1:2">
      <c r="A661" t="s">
        <v>475</v>
      </c>
      <c r="B661">
        <v>1</v>
      </c>
    </row>
    <row r="662" spans="1:2">
      <c r="A662" t="s">
        <v>485</v>
      </c>
      <c r="B662">
        <v>1</v>
      </c>
    </row>
    <row r="663" spans="1:2">
      <c r="A663" s="2" t="s">
        <v>9</v>
      </c>
      <c r="B663" s="2">
        <v>89</v>
      </c>
    </row>
    <row r="665" spans="1:2">
      <c r="A665" s="2" t="s">
        <v>47</v>
      </c>
    </row>
    <row r="666" spans="1:2">
      <c r="A666" s="2" t="s">
        <v>0</v>
      </c>
      <c r="B666" s="2" t="s">
        <v>1</v>
      </c>
    </row>
    <row r="667" spans="1:2">
      <c r="A667" t="s">
        <v>133</v>
      </c>
      <c r="B667">
        <v>22</v>
      </c>
    </row>
    <row r="668" spans="1:2">
      <c r="A668" t="s">
        <v>56</v>
      </c>
      <c r="B668">
        <v>9</v>
      </c>
    </row>
    <row r="669" spans="1:2">
      <c r="A669" t="s">
        <v>75</v>
      </c>
      <c r="B669">
        <v>4</v>
      </c>
    </row>
    <row r="670" spans="1:2">
      <c r="A670" t="s">
        <v>150</v>
      </c>
      <c r="B670">
        <v>5</v>
      </c>
    </row>
    <row r="671" spans="1:2">
      <c r="A671" t="s">
        <v>167</v>
      </c>
      <c r="B671">
        <v>17</v>
      </c>
    </row>
    <row r="672" spans="1:2">
      <c r="A672" t="s">
        <v>177</v>
      </c>
      <c r="B672">
        <v>5</v>
      </c>
    </row>
    <row r="673" spans="1:2">
      <c r="A673" t="s">
        <v>187</v>
      </c>
      <c r="B673">
        <v>4</v>
      </c>
    </row>
    <row r="674" spans="1:2">
      <c r="A674" t="s">
        <v>201</v>
      </c>
      <c r="B674">
        <v>9</v>
      </c>
    </row>
    <row r="675" spans="1:2">
      <c r="A675" t="s">
        <v>263</v>
      </c>
      <c r="B675">
        <v>2</v>
      </c>
    </row>
    <row r="676" spans="1:2">
      <c r="A676" t="s">
        <v>264</v>
      </c>
      <c r="B676">
        <v>2</v>
      </c>
    </row>
    <row r="677" spans="1:2">
      <c r="A677" t="s">
        <v>266</v>
      </c>
      <c r="B677">
        <v>2</v>
      </c>
    </row>
    <row r="678" spans="1:2">
      <c r="A678" t="s">
        <v>269</v>
      </c>
      <c r="B678">
        <v>8</v>
      </c>
    </row>
    <row r="679" spans="1:2">
      <c r="A679" t="s">
        <v>46</v>
      </c>
      <c r="B679">
        <v>8</v>
      </c>
    </row>
    <row r="680" spans="1:2">
      <c r="A680" t="s">
        <v>287</v>
      </c>
      <c r="B680">
        <v>9</v>
      </c>
    </row>
    <row r="681" spans="1:2">
      <c r="A681" t="s">
        <v>294</v>
      </c>
      <c r="B681">
        <v>5</v>
      </c>
    </row>
    <row r="682" spans="1:2">
      <c r="A682" t="s">
        <v>106</v>
      </c>
      <c r="B682">
        <v>1</v>
      </c>
    </row>
    <row r="683" spans="1:2">
      <c r="A683" t="s">
        <v>312</v>
      </c>
      <c r="B683">
        <v>1</v>
      </c>
    </row>
    <row r="684" spans="1:2">
      <c r="A684" t="s">
        <v>315</v>
      </c>
      <c r="B684">
        <v>1</v>
      </c>
    </row>
    <row r="685" spans="1:2">
      <c r="A685" t="s">
        <v>335</v>
      </c>
      <c r="B685">
        <v>1</v>
      </c>
    </row>
    <row r="686" spans="1:2">
      <c r="A686" t="s">
        <v>336</v>
      </c>
      <c r="B686">
        <v>1</v>
      </c>
    </row>
    <row r="687" spans="1:2">
      <c r="A687" t="s">
        <v>109</v>
      </c>
      <c r="B687">
        <v>1</v>
      </c>
    </row>
    <row r="688" spans="1:2">
      <c r="A688" t="s">
        <v>343</v>
      </c>
      <c r="B688">
        <v>1</v>
      </c>
    </row>
    <row r="689" spans="1:2">
      <c r="A689" t="s">
        <v>347</v>
      </c>
      <c r="B689">
        <v>1</v>
      </c>
    </row>
    <row r="690" spans="1:2">
      <c r="A690" t="s">
        <v>350</v>
      </c>
      <c r="B690">
        <v>1</v>
      </c>
    </row>
    <row r="691" spans="1:2">
      <c r="A691" t="s">
        <v>355</v>
      </c>
      <c r="B691">
        <v>1</v>
      </c>
    </row>
    <row r="692" spans="1:2">
      <c r="A692" t="s">
        <v>359</v>
      </c>
      <c r="B692">
        <v>1</v>
      </c>
    </row>
    <row r="693" spans="1:2">
      <c r="A693" t="s">
        <v>360</v>
      </c>
      <c r="B693">
        <v>3</v>
      </c>
    </row>
    <row r="694" spans="1:2">
      <c r="A694" t="s">
        <v>390</v>
      </c>
      <c r="B694">
        <v>1</v>
      </c>
    </row>
    <row r="695" spans="1:2">
      <c r="A695" t="s">
        <v>394</v>
      </c>
      <c r="B695">
        <v>2</v>
      </c>
    </row>
    <row r="696" spans="1:2">
      <c r="A696" t="s">
        <v>395</v>
      </c>
      <c r="B696">
        <v>1</v>
      </c>
    </row>
    <row r="697" spans="1:2">
      <c r="A697" t="s">
        <v>401</v>
      </c>
      <c r="B697">
        <v>1</v>
      </c>
    </row>
    <row r="698" spans="1:2">
      <c r="A698" t="s">
        <v>414</v>
      </c>
      <c r="B698">
        <v>1</v>
      </c>
    </row>
    <row r="699" spans="1:2">
      <c r="A699" t="s">
        <v>429</v>
      </c>
      <c r="B699">
        <v>1</v>
      </c>
    </row>
    <row r="700" spans="1:2">
      <c r="A700" t="s">
        <v>431</v>
      </c>
      <c r="B700">
        <v>2</v>
      </c>
    </row>
    <row r="701" spans="1:2">
      <c r="A701" t="s">
        <v>432</v>
      </c>
      <c r="B701">
        <v>1</v>
      </c>
    </row>
    <row r="702" spans="1:2">
      <c r="A702" t="s">
        <v>436</v>
      </c>
      <c r="B702">
        <v>1</v>
      </c>
    </row>
    <row r="703" spans="1:2">
      <c r="A703" t="s">
        <v>437</v>
      </c>
      <c r="B703">
        <v>1</v>
      </c>
    </row>
    <row r="704" spans="1:2">
      <c r="A704" t="s">
        <v>448</v>
      </c>
      <c r="B704">
        <v>1</v>
      </c>
    </row>
    <row r="705" spans="1:2">
      <c r="A705" t="s">
        <v>455</v>
      </c>
      <c r="B705">
        <v>2</v>
      </c>
    </row>
    <row r="706" spans="1:2">
      <c r="A706" t="s">
        <v>469</v>
      </c>
      <c r="B706">
        <v>1</v>
      </c>
    </row>
    <row r="707" spans="1:2">
      <c r="A707" t="s">
        <v>477</v>
      </c>
      <c r="B707">
        <v>1</v>
      </c>
    </row>
    <row r="708" spans="1:2">
      <c r="A708" t="s">
        <v>479</v>
      </c>
      <c r="B708">
        <v>1</v>
      </c>
    </row>
    <row r="709" spans="1:2">
      <c r="A709" t="s">
        <v>495</v>
      </c>
      <c r="B709">
        <v>1</v>
      </c>
    </row>
    <row r="710" spans="1:2">
      <c r="A710" t="s">
        <v>501</v>
      </c>
      <c r="B710">
        <v>1</v>
      </c>
    </row>
    <row r="711" spans="1:2">
      <c r="A711" t="s">
        <v>503</v>
      </c>
      <c r="B711">
        <v>1</v>
      </c>
    </row>
    <row r="712" spans="1:2">
      <c r="A712" t="s">
        <v>506</v>
      </c>
      <c r="B712">
        <v>1</v>
      </c>
    </row>
    <row r="713" spans="1:2">
      <c r="A713" t="s">
        <v>508</v>
      </c>
      <c r="B713">
        <v>1</v>
      </c>
    </row>
    <row r="714" spans="1:2">
      <c r="A714" s="2" t="s">
        <v>9</v>
      </c>
      <c r="B714" s="2">
        <v>148</v>
      </c>
    </row>
    <row r="716" spans="1:2">
      <c r="A716" s="2" t="s">
        <v>533</v>
      </c>
    </row>
    <row r="717" spans="1:2">
      <c r="A717" s="2" t="s">
        <v>0</v>
      </c>
      <c r="B717" s="2" t="s">
        <v>1</v>
      </c>
    </row>
    <row r="718" spans="1:2">
      <c r="A718" t="s">
        <v>136</v>
      </c>
      <c r="B718">
        <v>11</v>
      </c>
    </row>
    <row r="719" spans="1:2">
      <c r="A719" t="s">
        <v>139</v>
      </c>
      <c r="B719">
        <v>3</v>
      </c>
    </row>
    <row r="720" spans="1:2">
      <c r="A720" t="s">
        <v>147</v>
      </c>
      <c r="B720">
        <v>6</v>
      </c>
    </row>
    <row r="721" spans="1:2">
      <c r="A721" t="s">
        <v>166</v>
      </c>
      <c r="B721">
        <v>4</v>
      </c>
    </row>
    <row r="722" spans="1:2">
      <c r="A722" t="s">
        <v>94</v>
      </c>
      <c r="B722">
        <v>8</v>
      </c>
    </row>
    <row r="723" spans="1:2">
      <c r="A723" t="s">
        <v>178</v>
      </c>
      <c r="B723">
        <v>12</v>
      </c>
    </row>
    <row r="724" spans="1:2">
      <c r="A724" t="s">
        <v>179</v>
      </c>
      <c r="B724">
        <v>7</v>
      </c>
    </row>
    <row r="725" spans="1:2">
      <c r="A725" t="s">
        <v>199</v>
      </c>
      <c r="B725">
        <v>4</v>
      </c>
    </row>
    <row r="726" spans="1:2">
      <c r="A726" t="s">
        <v>275</v>
      </c>
      <c r="B726">
        <v>1</v>
      </c>
    </row>
    <row r="727" spans="1:2">
      <c r="A727" t="s">
        <v>239</v>
      </c>
      <c r="B727">
        <v>1</v>
      </c>
    </row>
    <row r="728" spans="1:2">
      <c r="A728" t="s">
        <v>470</v>
      </c>
      <c r="B728">
        <v>1</v>
      </c>
    </row>
    <row r="729" spans="1:2">
      <c r="A729" s="2" t="s">
        <v>9</v>
      </c>
      <c r="B729" s="2">
        <v>58</v>
      </c>
    </row>
    <row r="731" spans="1:2">
      <c r="A731" s="2" t="s">
        <v>534</v>
      </c>
    </row>
    <row r="732" spans="1:2">
      <c r="A732" s="2" t="s">
        <v>0</v>
      </c>
      <c r="B732" s="2" t="s">
        <v>1</v>
      </c>
    </row>
    <row r="733" spans="1:2">
      <c r="A733" t="s">
        <v>140</v>
      </c>
      <c r="B733">
        <v>3</v>
      </c>
    </row>
    <row r="734" spans="1:2">
      <c r="A734" t="s">
        <v>77</v>
      </c>
      <c r="B734">
        <v>8</v>
      </c>
    </row>
    <row r="735" spans="1:2">
      <c r="A735" t="s">
        <v>202</v>
      </c>
      <c r="B735">
        <v>4</v>
      </c>
    </row>
    <row r="736" spans="1:2">
      <c r="A736" s="2" t="s">
        <v>9</v>
      </c>
      <c r="B736" s="2">
        <v>15</v>
      </c>
    </row>
    <row r="738" spans="1:2">
      <c r="A738" s="2" t="s">
        <v>535</v>
      </c>
    </row>
    <row r="739" spans="1:2">
      <c r="A739" s="2" t="s">
        <v>0</v>
      </c>
      <c r="B739" s="2" t="s">
        <v>1</v>
      </c>
    </row>
    <row r="740" spans="1:2">
      <c r="A740" t="s">
        <v>68</v>
      </c>
      <c r="B740">
        <v>3</v>
      </c>
    </row>
    <row r="741" spans="1:2">
      <c r="A741" t="s">
        <v>143</v>
      </c>
      <c r="B741">
        <v>9</v>
      </c>
    </row>
    <row r="742" spans="1:2">
      <c r="A742" t="s">
        <v>67</v>
      </c>
      <c r="B742">
        <v>4</v>
      </c>
    </row>
    <row r="743" spans="1:2">
      <c r="A743" t="s">
        <v>160</v>
      </c>
      <c r="B743">
        <v>4</v>
      </c>
    </row>
    <row r="744" spans="1:2">
      <c r="A744" t="s">
        <v>195</v>
      </c>
      <c r="B744">
        <v>5</v>
      </c>
    </row>
    <row r="745" spans="1:2">
      <c r="A745" t="s">
        <v>209</v>
      </c>
      <c r="B745">
        <v>4</v>
      </c>
    </row>
    <row r="746" spans="1:2">
      <c r="A746" s="2" t="s">
        <v>9</v>
      </c>
      <c r="B746" s="2">
        <v>29</v>
      </c>
    </row>
    <row r="748" spans="1:2">
      <c r="A748" s="2" t="s">
        <v>11</v>
      </c>
    </row>
    <row r="749" spans="1:2">
      <c r="A749" s="2" t="s">
        <v>0</v>
      </c>
      <c r="B749" s="2" t="s">
        <v>1</v>
      </c>
    </row>
    <row r="750" spans="1:2">
      <c r="A750" t="s">
        <v>144</v>
      </c>
      <c r="B750">
        <v>1</v>
      </c>
    </row>
    <row r="751" spans="1:2">
      <c r="A751" t="s">
        <v>145</v>
      </c>
      <c r="B751">
        <v>2</v>
      </c>
    </row>
    <row r="752" spans="1:2">
      <c r="A752" t="s">
        <v>101</v>
      </c>
      <c r="B752">
        <v>13</v>
      </c>
    </row>
    <row r="753" spans="1:2">
      <c r="A753" t="s">
        <v>225</v>
      </c>
      <c r="B753">
        <v>2</v>
      </c>
    </row>
    <row r="754" spans="1:2">
      <c r="A754" t="s">
        <v>235</v>
      </c>
      <c r="B754">
        <v>1</v>
      </c>
    </row>
    <row r="755" spans="1:2">
      <c r="A755" t="s">
        <v>236</v>
      </c>
      <c r="B755">
        <v>1</v>
      </c>
    </row>
    <row r="756" spans="1:2">
      <c r="A756" t="s">
        <v>240</v>
      </c>
      <c r="B756">
        <v>1</v>
      </c>
    </row>
    <row r="757" spans="1:2">
      <c r="A757" t="s">
        <v>243</v>
      </c>
      <c r="B757">
        <v>1</v>
      </c>
    </row>
    <row r="758" spans="1:2">
      <c r="A758" t="s">
        <v>265</v>
      </c>
      <c r="B758">
        <v>2</v>
      </c>
    </row>
    <row r="759" spans="1:2">
      <c r="A759" t="s">
        <v>235</v>
      </c>
      <c r="B759">
        <v>8</v>
      </c>
    </row>
    <row r="760" spans="1:2">
      <c r="A760" t="s">
        <v>236</v>
      </c>
      <c r="B760">
        <v>1</v>
      </c>
    </row>
    <row r="761" spans="1:2">
      <c r="A761" t="s">
        <v>276</v>
      </c>
      <c r="B761">
        <v>1</v>
      </c>
    </row>
    <row r="762" spans="1:2">
      <c r="A762" t="s">
        <v>243</v>
      </c>
      <c r="B762">
        <v>2</v>
      </c>
    </row>
    <row r="763" spans="1:2">
      <c r="A763" t="s">
        <v>298</v>
      </c>
      <c r="B763">
        <v>7</v>
      </c>
    </row>
    <row r="764" spans="1:2">
      <c r="A764" t="s">
        <v>299</v>
      </c>
      <c r="B764">
        <v>7</v>
      </c>
    </row>
    <row r="765" spans="1:2">
      <c r="A765" t="s">
        <v>300</v>
      </c>
      <c r="B765">
        <v>1</v>
      </c>
    </row>
    <row r="766" spans="1:2">
      <c r="A766" t="s">
        <v>326</v>
      </c>
      <c r="B766">
        <v>5</v>
      </c>
    </row>
    <row r="767" spans="1:2">
      <c r="A767" t="s">
        <v>329</v>
      </c>
      <c r="B767">
        <v>3</v>
      </c>
    </row>
    <row r="768" spans="1:2">
      <c r="A768" t="s">
        <v>338</v>
      </c>
      <c r="B768">
        <v>6</v>
      </c>
    </row>
    <row r="769" spans="1:2">
      <c r="A769" t="s">
        <v>351</v>
      </c>
      <c r="B769">
        <v>1</v>
      </c>
    </row>
    <row r="770" spans="1:2">
      <c r="A770" t="s">
        <v>111</v>
      </c>
      <c r="B770">
        <v>5</v>
      </c>
    </row>
    <row r="771" spans="1:2">
      <c r="A771" t="s">
        <v>373</v>
      </c>
      <c r="B771">
        <v>2</v>
      </c>
    </row>
    <row r="772" spans="1:2">
      <c r="A772" t="s">
        <v>392</v>
      </c>
      <c r="B772">
        <v>11</v>
      </c>
    </row>
    <row r="773" spans="1:2">
      <c r="A773" t="s">
        <v>399</v>
      </c>
      <c r="B773">
        <v>1</v>
      </c>
    </row>
    <row r="774" spans="1:2">
      <c r="A774" t="s">
        <v>416</v>
      </c>
      <c r="B774">
        <v>1</v>
      </c>
    </row>
    <row r="775" spans="1:2">
      <c r="A775" t="s">
        <v>417</v>
      </c>
      <c r="B775">
        <v>3</v>
      </c>
    </row>
    <row r="776" spans="1:2">
      <c r="A776" t="s">
        <v>419</v>
      </c>
      <c r="B776">
        <v>2</v>
      </c>
    </row>
    <row r="777" spans="1:2">
      <c r="A777" t="s">
        <v>423</v>
      </c>
      <c r="B777">
        <v>3</v>
      </c>
    </row>
    <row r="778" spans="1:2">
      <c r="A778" t="s">
        <v>426</v>
      </c>
      <c r="B778">
        <v>1</v>
      </c>
    </row>
    <row r="779" spans="1:2">
      <c r="A779" t="s">
        <v>439</v>
      </c>
      <c r="B779">
        <v>1</v>
      </c>
    </row>
    <row r="780" spans="1:2">
      <c r="A780" t="s">
        <v>450</v>
      </c>
      <c r="B780">
        <v>1</v>
      </c>
    </row>
    <row r="781" spans="1:2">
      <c r="A781" t="s">
        <v>465</v>
      </c>
      <c r="B781">
        <v>1</v>
      </c>
    </row>
    <row r="782" spans="1:2">
      <c r="A782" t="s">
        <v>466</v>
      </c>
      <c r="B782">
        <v>2</v>
      </c>
    </row>
    <row r="783" spans="1:2">
      <c r="A783" t="s">
        <v>467</v>
      </c>
      <c r="B783">
        <v>1</v>
      </c>
    </row>
    <row r="784" spans="1:2">
      <c r="A784" t="s">
        <v>468</v>
      </c>
      <c r="B784">
        <v>1</v>
      </c>
    </row>
    <row r="785" spans="1:2">
      <c r="A785" t="s">
        <v>497</v>
      </c>
      <c r="B785">
        <v>1</v>
      </c>
    </row>
    <row r="786" spans="1:2">
      <c r="A786" t="s">
        <v>512</v>
      </c>
      <c r="B786">
        <v>2</v>
      </c>
    </row>
    <row r="787" spans="1:2">
      <c r="A787" t="s">
        <v>513</v>
      </c>
      <c r="B787">
        <v>1</v>
      </c>
    </row>
    <row r="788" spans="1:2">
      <c r="A788" t="s">
        <v>514</v>
      </c>
      <c r="B788">
        <v>1</v>
      </c>
    </row>
    <row r="789" spans="1:2">
      <c r="A789" t="s">
        <v>515</v>
      </c>
      <c r="B789">
        <v>2</v>
      </c>
    </row>
    <row r="790" spans="1:2">
      <c r="A790" t="s">
        <v>516</v>
      </c>
      <c r="B790">
        <v>1</v>
      </c>
    </row>
    <row r="791" spans="1:2">
      <c r="A791" t="s">
        <v>517</v>
      </c>
      <c r="B791">
        <v>1</v>
      </c>
    </row>
    <row r="792" spans="1:2">
      <c r="A792" t="s">
        <v>518</v>
      </c>
      <c r="B792">
        <v>1</v>
      </c>
    </row>
    <row r="793" spans="1:2">
      <c r="A793" t="s">
        <v>519</v>
      </c>
      <c r="B793">
        <v>1</v>
      </c>
    </row>
    <row r="794" spans="1:2">
      <c r="A794" t="s">
        <v>520</v>
      </c>
      <c r="B794">
        <v>1</v>
      </c>
    </row>
    <row r="795" spans="1:2">
      <c r="A795" t="s">
        <v>524</v>
      </c>
      <c r="B795">
        <v>1</v>
      </c>
    </row>
    <row r="796" spans="1:2">
      <c r="A796" s="2" t="s">
        <v>9</v>
      </c>
      <c r="B796" s="2">
        <v>115</v>
      </c>
    </row>
    <row r="798" spans="1:2">
      <c r="A798" s="2" t="s">
        <v>49</v>
      </c>
    </row>
    <row r="799" spans="1:2">
      <c r="A799" s="2" t="s">
        <v>0</v>
      </c>
      <c r="B799" s="2" t="s">
        <v>1</v>
      </c>
    </row>
    <row r="800" spans="1:2">
      <c r="A800" t="s">
        <v>148</v>
      </c>
      <c r="B800">
        <v>6</v>
      </c>
    </row>
    <row r="801" spans="1:2">
      <c r="A801" t="s">
        <v>154</v>
      </c>
      <c r="B801">
        <v>17</v>
      </c>
    </row>
    <row r="802" spans="1:2">
      <c r="A802" t="s">
        <v>292</v>
      </c>
      <c r="B802">
        <v>1</v>
      </c>
    </row>
    <row r="803" spans="1:2">
      <c r="A803" t="s">
        <v>332</v>
      </c>
      <c r="B803">
        <v>6</v>
      </c>
    </row>
    <row r="804" spans="1:2">
      <c r="A804" t="s">
        <v>333</v>
      </c>
      <c r="B804">
        <v>6</v>
      </c>
    </row>
    <row r="805" spans="1:2">
      <c r="A805" t="s">
        <v>404</v>
      </c>
      <c r="B805">
        <v>1</v>
      </c>
    </row>
    <row r="806" spans="1:2">
      <c r="A806" s="2" t="s">
        <v>9</v>
      </c>
      <c r="B806" s="2">
        <v>37</v>
      </c>
    </row>
    <row r="808" spans="1:2">
      <c r="A808" s="2" t="s">
        <v>50</v>
      </c>
    </row>
    <row r="809" spans="1:2">
      <c r="A809" s="2" t="s">
        <v>0</v>
      </c>
      <c r="B809" s="2" t="s">
        <v>1</v>
      </c>
    </row>
    <row r="810" spans="1:2">
      <c r="A810" t="s">
        <v>157</v>
      </c>
      <c r="B810">
        <v>13</v>
      </c>
    </row>
    <row r="811" spans="1:2">
      <c r="A811" t="s">
        <v>170</v>
      </c>
      <c r="B811">
        <v>4</v>
      </c>
    </row>
    <row r="812" spans="1:2">
      <c r="A812" t="s">
        <v>175</v>
      </c>
      <c r="B812">
        <v>11</v>
      </c>
    </row>
    <row r="813" spans="1:2">
      <c r="A813" t="s">
        <v>25</v>
      </c>
      <c r="B813">
        <v>15</v>
      </c>
    </row>
    <row r="814" spans="1:2">
      <c r="A814" t="s">
        <v>86</v>
      </c>
      <c r="B814">
        <v>10</v>
      </c>
    </row>
    <row r="815" spans="1:2">
      <c r="A815" t="s">
        <v>237</v>
      </c>
      <c r="B815">
        <v>1</v>
      </c>
    </row>
    <row r="816" spans="1:2">
      <c r="A816" t="s">
        <v>262</v>
      </c>
      <c r="B816">
        <v>7</v>
      </c>
    </row>
    <row r="817" spans="1:2">
      <c r="A817" t="s">
        <v>237</v>
      </c>
      <c r="B817">
        <v>2</v>
      </c>
    </row>
    <row r="818" spans="1:2">
      <c r="A818" t="s">
        <v>310</v>
      </c>
      <c r="B818">
        <v>1</v>
      </c>
    </row>
    <row r="819" spans="1:2">
      <c r="A819" t="s">
        <v>348</v>
      </c>
      <c r="B819">
        <v>1</v>
      </c>
    </row>
    <row r="820" spans="1:2">
      <c r="A820" t="s">
        <v>352</v>
      </c>
      <c r="B820">
        <v>3</v>
      </c>
    </row>
    <row r="821" spans="1:2">
      <c r="A821" t="s">
        <v>354</v>
      </c>
      <c r="B821">
        <v>1</v>
      </c>
    </row>
    <row r="822" spans="1:2">
      <c r="A822" t="s">
        <v>400</v>
      </c>
      <c r="B822">
        <v>1</v>
      </c>
    </row>
    <row r="823" spans="1:2">
      <c r="A823" t="s">
        <v>413</v>
      </c>
      <c r="B823">
        <v>1</v>
      </c>
    </row>
    <row r="824" spans="1:2">
      <c r="A824" t="s">
        <v>418</v>
      </c>
      <c r="B824">
        <v>1</v>
      </c>
    </row>
    <row r="825" spans="1:2">
      <c r="A825" t="s">
        <v>433</v>
      </c>
      <c r="B825">
        <v>2</v>
      </c>
    </row>
    <row r="826" spans="1:2">
      <c r="A826" t="s">
        <v>445</v>
      </c>
      <c r="B826">
        <v>1</v>
      </c>
    </row>
    <row r="827" spans="1:2">
      <c r="A827" t="s">
        <v>447</v>
      </c>
      <c r="B827">
        <v>1</v>
      </c>
    </row>
    <row r="828" spans="1:2">
      <c r="A828" t="s">
        <v>449</v>
      </c>
      <c r="B828">
        <v>2</v>
      </c>
    </row>
    <row r="829" spans="1:2">
      <c r="A829" t="s">
        <v>453</v>
      </c>
      <c r="B829">
        <v>1</v>
      </c>
    </row>
    <row r="830" spans="1:2">
      <c r="A830" t="s">
        <v>454</v>
      </c>
      <c r="B830">
        <v>1</v>
      </c>
    </row>
    <row r="831" spans="1:2">
      <c r="A831" t="s">
        <v>461</v>
      </c>
      <c r="B831">
        <v>2</v>
      </c>
    </row>
    <row r="832" spans="1:2">
      <c r="A832" t="s">
        <v>464</v>
      </c>
      <c r="B832">
        <v>1</v>
      </c>
    </row>
    <row r="833" spans="1:2">
      <c r="A833" t="s">
        <v>474</v>
      </c>
      <c r="B833">
        <v>1</v>
      </c>
    </row>
    <row r="834" spans="1:2">
      <c r="A834" t="s">
        <v>476</v>
      </c>
      <c r="B834">
        <v>1</v>
      </c>
    </row>
    <row r="835" spans="1:2">
      <c r="A835" t="s">
        <v>480</v>
      </c>
      <c r="B835">
        <v>1</v>
      </c>
    </row>
    <row r="836" spans="1:2">
      <c r="A836" t="s">
        <v>484</v>
      </c>
      <c r="B836">
        <v>1</v>
      </c>
    </row>
    <row r="837" spans="1:2">
      <c r="A837" t="s">
        <v>488</v>
      </c>
      <c r="B837">
        <v>1</v>
      </c>
    </row>
    <row r="838" spans="1:2">
      <c r="A838" t="s">
        <v>489</v>
      </c>
      <c r="B838">
        <v>1</v>
      </c>
    </row>
    <row r="839" spans="1:2">
      <c r="A839" t="s">
        <v>492</v>
      </c>
      <c r="B839">
        <v>1</v>
      </c>
    </row>
    <row r="840" spans="1:2">
      <c r="A840" t="s">
        <v>496</v>
      </c>
      <c r="B840">
        <v>1</v>
      </c>
    </row>
    <row r="841" spans="1:2">
      <c r="A841" s="2" t="s">
        <v>9</v>
      </c>
      <c r="B841" s="2">
        <v>91</v>
      </c>
    </row>
    <row r="843" spans="1:2">
      <c r="A843" s="2" t="s">
        <v>536</v>
      </c>
    </row>
    <row r="844" spans="1:2">
      <c r="A844" s="2" t="s">
        <v>0</v>
      </c>
      <c r="B844" s="2" t="s">
        <v>1</v>
      </c>
    </row>
    <row r="845" spans="1:2">
      <c r="A845" t="s">
        <v>163</v>
      </c>
      <c r="B845">
        <v>4</v>
      </c>
    </row>
    <row r="846" spans="1:2">
      <c r="A846" t="s">
        <v>168</v>
      </c>
      <c r="B846">
        <v>9</v>
      </c>
    </row>
    <row r="847" spans="1:2">
      <c r="A847" t="s">
        <v>284</v>
      </c>
      <c r="B847">
        <v>9</v>
      </c>
    </row>
    <row r="848" spans="1:2">
      <c r="A848" s="2" t="s">
        <v>9</v>
      </c>
      <c r="B848" s="2">
        <v>22</v>
      </c>
    </row>
    <row r="850" spans="1:2">
      <c r="A850" s="2" t="s">
        <v>95</v>
      </c>
    </row>
    <row r="851" spans="1:2">
      <c r="A851" s="2" t="s">
        <v>0</v>
      </c>
      <c r="B851" s="2" t="s">
        <v>1</v>
      </c>
    </row>
    <row r="852" spans="1:2">
      <c r="A852" t="s">
        <v>165</v>
      </c>
      <c r="B852">
        <v>10</v>
      </c>
    </row>
    <row r="853" spans="1:2">
      <c r="A853" t="s">
        <v>190</v>
      </c>
      <c r="B853">
        <v>7</v>
      </c>
    </row>
    <row r="854" spans="1:2">
      <c r="A854" t="s">
        <v>230</v>
      </c>
      <c r="B854">
        <v>2</v>
      </c>
    </row>
    <row r="855" spans="1:2">
      <c r="A855" t="s">
        <v>238</v>
      </c>
      <c r="B855">
        <v>1</v>
      </c>
    </row>
    <row r="856" spans="1:2">
      <c r="A856" t="s">
        <v>247</v>
      </c>
      <c r="B856">
        <v>1</v>
      </c>
    </row>
    <row r="857" spans="1:2">
      <c r="A857" t="s">
        <v>238</v>
      </c>
      <c r="B857">
        <v>2</v>
      </c>
    </row>
    <row r="858" spans="1:2">
      <c r="A858" t="s">
        <v>247</v>
      </c>
      <c r="B858">
        <v>6</v>
      </c>
    </row>
    <row r="859" spans="1:2">
      <c r="A859" t="s">
        <v>297</v>
      </c>
      <c r="B859">
        <v>1</v>
      </c>
    </row>
    <row r="860" spans="1:2">
      <c r="A860" t="s">
        <v>303</v>
      </c>
      <c r="B860">
        <v>8</v>
      </c>
    </row>
    <row r="861" spans="1:2">
      <c r="A861" t="s">
        <v>325</v>
      </c>
      <c r="B861">
        <v>7</v>
      </c>
    </row>
    <row r="862" spans="1:2">
      <c r="A862" t="s">
        <v>330</v>
      </c>
      <c r="B862">
        <v>3</v>
      </c>
    </row>
    <row r="863" spans="1:2">
      <c r="A863" t="s">
        <v>331</v>
      </c>
      <c r="B863">
        <v>2</v>
      </c>
    </row>
    <row r="864" spans="1:2">
      <c r="A864" t="s">
        <v>370</v>
      </c>
      <c r="B864">
        <v>1</v>
      </c>
    </row>
    <row r="865" spans="1:2">
      <c r="A865" t="s">
        <v>377</v>
      </c>
      <c r="B865">
        <v>1</v>
      </c>
    </row>
    <row r="866" spans="1:2">
      <c r="A866" t="s">
        <v>382</v>
      </c>
      <c r="B866">
        <v>2</v>
      </c>
    </row>
    <row r="867" spans="1:2">
      <c r="A867" t="s">
        <v>386</v>
      </c>
      <c r="B867">
        <v>1</v>
      </c>
    </row>
    <row r="868" spans="1:2">
      <c r="A868" t="s">
        <v>230</v>
      </c>
      <c r="B868">
        <v>2</v>
      </c>
    </row>
    <row r="869" spans="1:2">
      <c r="A869" t="s">
        <v>388</v>
      </c>
      <c r="B869">
        <v>1</v>
      </c>
    </row>
    <row r="870" spans="1:2">
      <c r="A870" t="s">
        <v>412</v>
      </c>
      <c r="B870">
        <v>1</v>
      </c>
    </row>
    <row r="871" spans="1:2">
      <c r="A871" t="s">
        <v>434</v>
      </c>
      <c r="B871">
        <v>1</v>
      </c>
    </row>
    <row r="872" spans="1:2">
      <c r="A872" t="s">
        <v>463</v>
      </c>
      <c r="B872">
        <v>1</v>
      </c>
    </row>
    <row r="873" spans="1:2">
      <c r="A873" t="s">
        <v>505</v>
      </c>
      <c r="B873">
        <v>1</v>
      </c>
    </row>
    <row r="874" spans="1:2">
      <c r="A874" s="2" t="s">
        <v>9</v>
      </c>
      <c r="B874" s="2">
        <v>62</v>
      </c>
    </row>
    <row r="876" spans="1:2">
      <c r="A876" s="2" t="s">
        <v>537</v>
      </c>
    </row>
    <row r="877" spans="1:2">
      <c r="A877" s="2" t="s">
        <v>0</v>
      </c>
      <c r="B877" s="2" t="s">
        <v>1</v>
      </c>
    </row>
    <row r="878" spans="1:2">
      <c r="A878" t="s">
        <v>173</v>
      </c>
      <c r="B878">
        <v>4</v>
      </c>
    </row>
    <row r="879" spans="1:2">
      <c r="A879" t="s">
        <v>189</v>
      </c>
      <c r="B879">
        <v>4</v>
      </c>
    </row>
    <row r="880" spans="1:2">
      <c r="A880" t="s">
        <v>221</v>
      </c>
      <c r="B880">
        <v>4</v>
      </c>
    </row>
    <row r="881" spans="1:2">
      <c r="A881" t="s">
        <v>248</v>
      </c>
      <c r="B881">
        <v>1</v>
      </c>
    </row>
    <row r="882" spans="1:2">
      <c r="A882" t="s">
        <v>334</v>
      </c>
      <c r="B882">
        <v>4</v>
      </c>
    </row>
    <row r="883" spans="1:2">
      <c r="A883" t="s">
        <v>391</v>
      </c>
      <c r="B883">
        <v>1</v>
      </c>
    </row>
    <row r="884" spans="1:2">
      <c r="A884" t="s">
        <v>494</v>
      </c>
      <c r="B884">
        <v>1</v>
      </c>
    </row>
    <row r="885" spans="1:2">
      <c r="A885" s="2" t="s">
        <v>9</v>
      </c>
      <c r="B885" s="2">
        <v>19</v>
      </c>
    </row>
    <row r="887" spans="1:2">
      <c r="A887" s="2" t="s">
        <v>538</v>
      </c>
    </row>
    <row r="888" spans="1:2">
      <c r="A888" s="2" t="s">
        <v>0</v>
      </c>
      <c r="B888" s="2" t="s">
        <v>1</v>
      </c>
    </row>
    <row r="889" spans="1:2">
      <c r="A889" t="s">
        <v>207</v>
      </c>
      <c r="B889">
        <v>4</v>
      </c>
    </row>
    <row r="890" spans="1:2">
      <c r="A890" s="2" t="s">
        <v>9</v>
      </c>
      <c r="B890" s="2">
        <v>4</v>
      </c>
    </row>
    <row r="892" spans="1:2">
      <c r="A892" s="2" t="s">
        <v>539</v>
      </c>
    </row>
    <row r="893" spans="1:2">
      <c r="A893" s="2" t="s">
        <v>0</v>
      </c>
      <c r="B893" s="2" t="s">
        <v>1</v>
      </c>
    </row>
    <row r="894" spans="1:2">
      <c r="A894" t="s">
        <v>212</v>
      </c>
      <c r="B894">
        <v>13</v>
      </c>
    </row>
    <row r="895" spans="1:2">
      <c r="A895" s="2" t="s">
        <v>9</v>
      </c>
      <c r="B895" s="2">
        <v>13</v>
      </c>
    </row>
    <row r="897" spans="1:2">
      <c r="A897" s="2" t="s">
        <v>540</v>
      </c>
    </row>
    <row r="898" spans="1:2">
      <c r="A898" s="2" t="s">
        <v>0</v>
      </c>
      <c r="B898" s="2" t="s">
        <v>1</v>
      </c>
    </row>
    <row r="899" spans="1:2">
      <c r="A899" t="s">
        <v>216</v>
      </c>
      <c r="B899">
        <v>13</v>
      </c>
    </row>
    <row r="900" spans="1:2">
      <c r="A900" s="2" t="s">
        <v>9</v>
      </c>
      <c r="B900" s="2">
        <v>13</v>
      </c>
    </row>
    <row r="902" spans="1:2">
      <c r="A902" s="2" t="s">
        <v>48</v>
      </c>
    </row>
    <row r="903" spans="1:2">
      <c r="A903" s="2" t="s">
        <v>0</v>
      </c>
      <c r="B903" s="2" t="s">
        <v>1</v>
      </c>
    </row>
    <row r="904" spans="1:2">
      <c r="A904" t="s">
        <v>218</v>
      </c>
      <c r="B904">
        <v>4</v>
      </c>
    </row>
    <row r="905" spans="1:2">
      <c r="A905" t="s">
        <v>27</v>
      </c>
      <c r="B905">
        <v>5</v>
      </c>
    </row>
    <row r="906" spans="1:2">
      <c r="A906" t="s">
        <v>219</v>
      </c>
      <c r="B906">
        <v>7</v>
      </c>
    </row>
    <row r="907" spans="1:2">
      <c r="A907" t="s">
        <v>233</v>
      </c>
      <c r="B907">
        <v>2</v>
      </c>
    </row>
    <row r="908" spans="1:2">
      <c r="A908" t="s">
        <v>246</v>
      </c>
      <c r="B908">
        <v>1</v>
      </c>
    </row>
    <row r="909" spans="1:2">
      <c r="A909" t="s">
        <v>249</v>
      </c>
      <c r="B909">
        <v>1</v>
      </c>
    </row>
    <row r="910" spans="1:2">
      <c r="A910" t="s">
        <v>259</v>
      </c>
      <c r="B910">
        <v>1</v>
      </c>
    </row>
    <row r="911" spans="1:2">
      <c r="A911" t="s">
        <v>233</v>
      </c>
      <c r="B911">
        <v>6</v>
      </c>
    </row>
    <row r="912" spans="1:2">
      <c r="A912" t="s">
        <v>273</v>
      </c>
      <c r="B912">
        <v>1</v>
      </c>
    </row>
    <row r="913" spans="1:2">
      <c r="A913" t="s">
        <v>283</v>
      </c>
      <c r="B913">
        <v>2</v>
      </c>
    </row>
    <row r="914" spans="1:2">
      <c r="A914" t="s">
        <v>249</v>
      </c>
      <c r="B914">
        <v>8</v>
      </c>
    </row>
    <row r="915" spans="1:2">
      <c r="A915" t="s">
        <v>288</v>
      </c>
      <c r="B915">
        <v>1</v>
      </c>
    </row>
    <row r="916" spans="1:2">
      <c r="A916" t="s">
        <v>259</v>
      </c>
      <c r="B916">
        <v>1</v>
      </c>
    </row>
    <row r="917" spans="1:2">
      <c r="A917" t="s">
        <v>320</v>
      </c>
      <c r="B917">
        <v>1</v>
      </c>
    </row>
    <row r="918" spans="1:2">
      <c r="A918" t="s">
        <v>328</v>
      </c>
      <c r="B918">
        <v>3</v>
      </c>
    </row>
    <row r="919" spans="1:2">
      <c r="A919" t="s">
        <v>342</v>
      </c>
      <c r="B919">
        <v>2</v>
      </c>
    </row>
    <row r="920" spans="1:2">
      <c r="A920" t="s">
        <v>372</v>
      </c>
      <c r="B920">
        <v>1</v>
      </c>
    </row>
    <row r="921" spans="1:2">
      <c r="A921" t="s">
        <v>381</v>
      </c>
      <c r="B921">
        <v>2</v>
      </c>
    </row>
    <row r="922" spans="1:2">
      <c r="A922" t="s">
        <v>39</v>
      </c>
      <c r="B922">
        <v>2</v>
      </c>
    </row>
    <row r="923" spans="1:2">
      <c r="A923" t="s">
        <v>18</v>
      </c>
      <c r="B923">
        <v>1</v>
      </c>
    </row>
    <row r="924" spans="1:2">
      <c r="A924" t="s">
        <v>411</v>
      </c>
      <c r="B924">
        <v>1</v>
      </c>
    </row>
    <row r="925" spans="1:2">
      <c r="A925" t="s">
        <v>438</v>
      </c>
      <c r="B925">
        <v>1</v>
      </c>
    </row>
    <row r="926" spans="1:2">
      <c r="A926" t="s">
        <v>440</v>
      </c>
      <c r="B926">
        <v>2</v>
      </c>
    </row>
    <row r="927" spans="1:2">
      <c r="A927" t="s">
        <v>441</v>
      </c>
      <c r="B927">
        <v>1</v>
      </c>
    </row>
    <row r="928" spans="1:2">
      <c r="A928" t="s">
        <v>456</v>
      </c>
      <c r="B928">
        <v>1</v>
      </c>
    </row>
    <row r="929" spans="1:2">
      <c r="A929" s="2" t="s">
        <v>9</v>
      </c>
      <c r="B929" s="2">
        <v>58</v>
      </c>
    </row>
    <row r="931" spans="1:2">
      <c r="A931" s="2" t="s">
        <v>51</v>
      </c>
    </row>
    <row r="932" spans="1:2">
      <c r="A932" s="2" t="s">
        <v>0</v>
      </c>
      <c r="B932" s="2" t="s">
        <v>1</v>
      </c>
    </row>
    <row r="933" spans="1:2">
      <c r="A933" t="s">
        <v>224</v>
      </c>
      <c r="B933">
        <v>2</v>
      </c>
    </row>
    <row r="934" spans="1:2">
      <c r="A934" t="s">
        <v>245</v>
      </c>
      <c r="B934">
        <v>1</v>
      </c>
    </row>
    <row r="935" spans="1:2">
      <c r="A935" t="s">
        <v>258</v>
      </c>
      <c r="B935">
        <v>1</v>
      </c>
    </row>
    <row r="936" spans="1:2">
      <c r="A936" t="s">
        <v>282</v>
      </c>
      <c r="B936">
        <v>1</v>
      </c>
    </row>
    <row r="937" spans="1:2">
      <c r="A937" t="s">
        <v>290</v>
      </c>
      <c r="B937">
        <v>1</v>
      </c>
    </row>
    <row r="938" spans="1:2">
      <c r="A938" t="s">
        <v>258</v>
      </c>
      <c r="B938">
        <v>1</v>
      </c>
    </row>
    <row r="939" spans="1:2">
      <c r="A939" t="s">
        <v>293</v>
      </c>
      <c r="B939">
        <v>3</v>
      </c>
    </row>
    <row r="940" spans="1:2">
      <c r="A940" t="s">
        <v>295</v>
      </c>
      <c r="B940">
        <v>1</v>
      </c>
    </row>
    <row r="941" spans="1:2">
      <c r="A941" t="s">
        <v>307</v>
      </c>
      <c r="B941">
        <v>1</v>
      </c>
    </row>
    <row r="942" spans="1:2">
      <c r="A942" t="s">
        <v>425</v>
      </c>
      <c r="B942">
        <v>1</v>
      </c>
    </row>
    <row r="943" spans="1:2">
      <c r="A943" s="2" t="s">
        <v>9</v>
      </c>
      <c r="B943" s="2">
        <v>13</v>
      </c>
    </row>
    <row r="945" spans="1:2">
      <c r="A945" s="2" t="s">
        <v>541</v>
      </c>
    </row>
    <row r="946" spans="1:2">
      <c r="A946" s="2" t="s">
        <v>0</v>
      </c>
      <c r="B946" s="2" t="s">
        <v>1</v>
      </c>
    </row>
    <row r="947" spans="1:2">
      <c r="A947" t="s">
        <v>227</v>
      </c>
      <c r="B947">
        <v>2</v>
      </c>
    </row>
    <row r="948" spans="1:2">
      <c r="A948" t="s">
        <v>232</v>
      </c>
      <c r="B948">
        <v>2</v>
      </c>
    </row>
    <row r="949" spans="1:2">
      <c r="A949" t="s">
        <v>234</v>
      </c>
      <c r="B949">
        <v>2</v>
      </c>
    </row>
    <row r="950" spans="1:2">
      <c r="A950" t="s">
        <v>250</v>
      </c>
      <c r="B950">
        <v>1</v>
      </c>
    </row>
    <row r="951" spans="1:2">
      <c r="A951" t="s">
        <v>251</v>
      </c>
      <c r="B951">
        <v>1</v>
      </c>
    </row>
    <row r="952" spans="1:2">
      <c r="A952" t="s">
        <v>252</v>
      </c>
      <c r="B952">
        <v>1</v>
      </c>
    </row>
    <row r="953" spans="1:2">
      <c r="A953" t="s">
        <v>254</v>
      </c>
      <c r="B953">
        <v>1</v>
      </c>
    </row>
    <row r="954" spans="1:2">
      <c r="A954" t="s">
        <v>255</v>
      </c>
      <c r="B954">
        <v>1</v>
      </c>
    </row>
    <row r="955" spans="1:2">
      <c r="A955" t="s">
        <v>256</v>
      </c>
      <c r="B955">
        <v>1</v>
      </c>
    </row>
    <row r="956" spans="1:2">
      <c r="A956" t="s">
        <v>257</v>
      </c>
      <c r="B956">
        <v>1</v>
      </c>
    </row>
    <row r="957" spans="1:2">
      <c r="A957" t="s">
        <v>232</v>
      </c>
      <c r="B957">
        <v>4</v>
      </c>
    </row>
    <row r="958" spans="1:2">
      <c r="A958" t="s">
        <v>234</v>
      </c>
      <c r="B958">
        <v>3</v>
      </c>
    </row>
    <row r="959" spans="1:2">
      <c r="A959" t="s">
        <v>279</v>
      </c>
      <c r="B959">
        <v>14</v>
      </c>
    </row>
    <row r="960" spans="1:2">
      <c r="A960" t="s">
        <v>280</v>
      </c>
      <c r="B960">
        <v>6</v>
      </c>
    </row>
    <row r="961" spans="1:2">
      <c r="A961" t="s">
        <v>285</v>
      </c>
      <c r="B961">
        <v>9</v>
      </c>
    </row>
    <row r="962" spans="1:2">
      <c r="A962" t="s">
        <v>251</v>
      </c>
      <c r="B962">
        <v>15</v>
      </c>
    </row>
    <row r="963" spans="1:2">
      <c r="A963" t="s">
        <v>252</v>
      </c>
      <c r="B963">
        <v>8</v>
      </c>
    </row>
    <row r="964" spans="1:2">
      <c r="A964" t="s">
        <v>254</v>
      </c>
      <c r="B964">
        <v>8</v>
      </c>
    </row>
    <row r="965" spans="1:2">
      <c r="A965" t="s">
        <v>255</v>
      </c>
      <c r="B965">
        <v>6</v>
      </c>
    </row>
    <row r="966" spans="1:2">
      <c r="A966" t="s">
        <v>256</v>
      </c>
      <c r="B966">
        <v>9</v>
      </c>
    </row>
    <row r="967" spans="1:2">
      <c r="A967" t="s">
        <v>257</v>
      </c>
      <c r="B967">
        <v>9</v>
      </c>
    </row>
    <row r="968" spans="1:2">
      <c r="A968" t="s">
        <v>296</v>
      </c>
      <c r="B968">
        <v>1</v>
      </c>
    </row>
    <row r="969" spans="1:2">
      <c r="A969" t="s">
        <v>308</v>
      </c>
      <c r="B969">
        <v>1</v>
      </c>
    </row>
    <row r="970" spans="1:2">
      <c r="A970" t="s">
        <v>314</v>
      </c>
      <c r="B970">
        <v>2</v>
      </c>
    </row>
    <row r="971" spans="1:2">
      <c r="A971" t="s">
        <v>356</v>
      </c>
      <c r="B971">
        <v>1</v>
      </c>
    </row>
    <row r="972" spans="1:2">
      <c r="A972" t="s">
        <v>393</v>
      </c>
      <c r="B972">
        <v>1</v>
      </c>
    </row>
    <row r="973" spans="1:2">
      <c r="A973" t="s">
        <v>478</v>
      </c>
      <c r="B973">
        <v>1</v>
      </c>
    </row>
    <row r="974" spans="1:2">
      <c r="A974" t="s">
        <v>481</v>
      </c>
      <c r="B974">
        <v>1</v>
      </c>
    </row>
    <row r="975" spans="1:2">
      <c r="A975" t="s">
        <v>486</v>
      </c>
      <c r="B975">
        <v>2</v>
      </c>
    </row>
    <row r="976" spans="1:2">
      <c r="A976" t="s">
        <v>502</v>
      </c>
      <c r="B976">
        <v>1</v>
      </c>
    </row>
    <row r="977" spans="1:2">
      <c r="A977" s="2" t="s">
        <v>9</v>
      </c>
      <c r="B977" s="2">
        <v>115</v>
      </c>
    </row>
    <row r="979" spans="1:2">
      <c r="A979" s="2" t="s">
        <v>13</v>
      </c>
    </row>
    <row r="980" spans="1:2">
      <c r="A980" s="2" t="s">
        <v>0</v>
      </c>
      <c r="B980" s="2" t="s">
        <v>1</v>
      </c>
    </row>
    <row r="981" spans="1:2">
      <c r="A981" t="s">
        <v>241</v>
      </c>
      <c r="B981">
        <v>1</v>
      </c>
    </row>
    <row r="982" spans="1:2">
      <c r="A982" t="s">
        <v>278</v>
      </c>
      <c r="B982">
        <v>1</v>
      </c>
    </row>
    <row r="983" spans="1:2">
      <c r="A983" t="s">
        <v>241</v>
      </c>
      <c r="B983">
        <v>1</v>
      </c>
    </row>
    <row r="984" spans="1:2">
      <c r="A984" t="s">
        <v>349</v>
      </c>
      <c r="B984">
        <v>1</v>
      </c>
    </row>
    <row r="985" spans="1:2">
      <c r="A985" s="2" t="s">
        <v>9</v>
      </c>
      <c r="B985" s="2">
        <v>4</v>
      </c>
    </row>
    <row r="987" spans="1:2">
      <c r="A987" s="2" t="s">
        <v>53</v>
      </c>
    </row>
    <row r="988" spans="1:2">
      <c r="A988" s="2" t="s">
        <v>0</v>
      </c>
      <c r="B988" s="2" t="s">
        <v>1</v>
      </c>
    </row>
    <row r="989" spans="1:2">
      <c r="A989" t="s">
        <v>253</v>
      </c>
      <c r="B989">
        <v>1</v>
      </c>
    </row>
    <row r="990" spans="1:2">
      <c r="A990" t="s">
        <v>36</v>
      </c>
      <c r="B990">
        <v>1</v>
      </c>
    </row>
    <row r="991" spans="1:2">
      <c r="A991" t="s">
        <v>248</v>
      </c>
      <c r="B991">
        <v>1</v>
      </c>
    </row>
    <row r="992" spans="1:2">
      <c r="A992" t="s">
        <v>36</v>
      </c>
      <c r="B992">
        <v>8</v>
      </c>
    </row>
    <row r="993" spans="1:2">
      <c r="A993" t="s">
        <v>253</v>
      </c>
      <c r="B993">
        <v>10</v>
      </c>
    </row>
    <row r="994" spans="1:2">
      <c r="A994" t="s">
        <v>504</v>
      </c>
      <c r="B994">
        <v>1</v>
      </c>
    </row>
    <row r="995" spans="1:2">
      <c r="A995" s="2" t="s">
        <v>9</v>
      </c>
      <c r="B995" s="2">
        <v>22</v>
      </c>
    </row>
    <row r="997" spans="1:2">
      <c r="A997" s="2" t="s">
        <v>542</v>
      </c>
    </row>
    <row r="998" spans="1:2">
      <c r="A998" s="2" t="s">
        <v>0</v>
      </c>
      <c r="B998" s="2" t="s">
        <v>1</v>
      </c>
    </row>
    <row r="999" spans="1:2">
      <c r="A999" t="s">
        <v>271</v>
      </c>
      <c r="B999">
        <v>4</v>
      </c>
    </row>
    <row r="1000" spans="1:2">
      <c r="A1000" t="s">
        <v>451</v>
      </c>
      <c r="B1000">
        <v>1</v>
      </c>
    </row>
    <row r="1001" spans="1:2">
      <c r="A1001" t="s">
        <v>507</v>
      </c>
      <c r="B1001">
        <v>1</v>
      </c>
    </row>
    <row r="1002" spans="1:2">
      <c r="A1002" s="2" t="s">
        <v>9</v>
      </c>
      <c r="B1002" s="2">
        <v>6</v>
      </c>
    </row>
    <row r="1004" spans="1:2">
      <c r="A1004" s="2" t="s">
        <v>543</v>
      </c>
    </row>
    <row r="1005" spans="1:2">
      <c r="A1005" s="2" t="s">
        <v>0</v>
      </c>
      <c r="B1005" s="2" t="s">
        <v>1</v>
      </c>
    </row>
    <row r="1006" spans="1:2">
      <c r="A1006" t="s">
        <v>291</v>
      </c>
      <c r="B1006">
        <v>1</v>
      </c>
    </row>
    <row r="1007" spans="1:2">
      <c r="A1007" s="2" t="s">
        <v>9</v>
      </c>
      <c r="B1007" s="2">
        <v>1</v>
      </c>
    </row>
    <row r="1009" spans="1:2">
      <c r="A1009" s="2" t="s">
        <v>544</v>
      </c>
    </row>
    <row r="1010" spans="1:2">
      <c r="A1010" s="2" t="s">
        <v>0</v>
      </c>
      <c r="B1010" s="2" t="s">
        <v>1</v>
      </c>
    </row>
    <row r="1011" spans="1:2">
      <c r="A1011" t="s">
        <v>318</v>
      </c>
      <c r="B1011">
        <v>1</v>
      </c>
    </row>
    <row r="1012" spans="1:2">
      <c r="A1012" t="s">
        <v>405</v>
      </c>
      <c r="B1012">
        <v>1</v>
      </c>
    </row>
    <row r="1013" spans="1:2">
      <c r="A1013" t="s">
        <v>427</v>
      </c>
      <c r="B1013">
        <v>1</v>
      </c>
    </row>
    <row r="1014" spans="1:2">
      <c r="A1014" s="2" t="s">
        <v>9</v>
      </c>
      <c r="B1014" s="2">
        <v>3</v>
      </c>
    </row>
    <row r="1016" spans="1:2">
      <c r="A1016" s="2" t="s">
        <v>545</v>
      </c>
    </row>
    <row r="1017" spans="1:2">
      <c r="A1017" s="2" t="s">
        <v>0</v>
      </c>
      <c r="B1017" s="2" t="s">
        <v>1</v>
      </c>
    </row>
    <row r="1018" spans="1:2">
      <c r="A1018" t="s">
        <v>406</v>
      </c>
      <c r="B1018">
        <v>1</v>
      </c>
    </row>
    <row r="1019" spans="1:2">
      <c r="A1019" t="s">
        <v>408</v>
      </c>
      <c r="B1019">
        <v>1</v>
      </c>
    </row>
    <row r="1020" spans="1:2">
      <c r="A1020" t="s">
        <v>458</v>
      </c>
      <c r="B1020">
        <v>1</v>
      </c>
    </row>
    <row r="1021" spans="1:2">
      <c r="A1021" s="2" t="s">
        <v>9</v>
      </c>
      <c r="B1021" s="2">
        <v>3</v>
      </c>
    </row>
    <row r="1023" spans="1:2">
      <c r="A1023" s="2" t="s">
        <v>546</v>
      </c>
    </row>
    <row r="1024" spans="1:2">
      <c r="A1024" s="2" t="s">
        <v>0</v>
      </c>
      <c r="B1024" s="2" t="s">
        <v>1</v>
      </c>
    </row>
    <row r="1025" spans="1:2">
      <c r="A1025" t="s">
        <v>409</v>
      </c>
      <c r="B1025">
        <v>1</v>
      </c>
    </row>
    <row r="1026" spans="1:2">
      <c r="A1026" t="s">
        <v>493</v>
      </c>
      <c r="B1026">
        <v>1</v>
      </c>
    </row>
    <row r="1027" spans="1:2">
      <c r="A1027" s="2" t="s">
        <v>9</v>
      </c>
      <c r="B1027" s="2">
        <v>2</v>
      </c>
    </row>
  </sheetData>
  <pageMargins left="0.75" right="0.75" top="1" bottom="1" header="0.5" footer="0.5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51"/>
  <sheetViews>
    <sheetView topLeftCell="D1" workbookViewId="0">
      <selection activeCell="G16" sqref="G16"/>
    </sheetView>
  </sheetViews>
  <sheetFormatPr defaultRowHeight="14.45"/>
  <cols>
    <col min="1" max="1" width="66.85546875" customWidth="1"/>
    <col min="6" max="6" width="13.140625" bestFit="1" customWidth="1"/>
    <col min="7" max="7" width="15.85546875" bestFit="1" customWidth="1"/>
  </cols>
  <sheetData>
    <row r="1" spans="1:9">
      <c r="A1" s="1" t="s">
        <v>0</v>
      </c>
      <c r="B1" s="2" t="s">
        <v>2</v>
      </c>
      <c r="C1" s="1" t="s">
        <v>1</v>
      </c>
    </row>
    <row r="2" spans="1:9">
      <c r="A2" t="s">
        <v>547</v>
      </c>
      <c r="B2" t="s">
        <v>22</v>
      </c>
      <c r="C2">
        <v>1</v>
      </c>
    </row>
    <row r="3" spans="1:9">
      <c r="A3" t="s">
        <v>414</v>
      </c>
      <c r="B3" t="s">
        <v>16</v>
      </c>
      <c r="C3">
        <v>1</v>
      </c>
    </row>
    <row r="4" spans="1:9">
      <c r="A4" t="s">
        <v>548</v>
      </c>
      <c r="B4" t="s">
        <v>61</v>
      </c>
      <c r="C4">
        <v>1</v>
      </c>
    </row>
    <row r="5" spans="1:9">
      <c r="A5" t="s">
        <v>549</v>
      </c>
      <c r="B5" t="s">
        <v>319</v>
      </c>
      <c r="C5">
        <v>1</v>
      </c>
      <c r="F5" s="7" t="s">
        <v>7</v>
      </c>
      <c r="G5" t="s">
        <v>8</v>
      </c>
      <c r="H5" t="s">
        <v>9</v>
      </c>
      <c r="I5" t="s">
        <v>550</v>
      </c>
    </row>
    <row r="6" spans="1:9">
      <c r="A6" t="s">
        <v>382</v>
      </c>
      <c r="B6" t="s">
        <v>61</v>
      </c>
      <c r="C6">
        <v>1</v>
      </c>
      <c r="F6" s="8" t="s">
        <v>61</v>
      </c>
      <c r="G6">
        <v>5</v>
      </c>
      <c r="H6">
        <v>2</v>
      </c>
      <c r="I6">
        <f>G6/H6</f>
        <v>2.5</v>
      </c>
    </row>
    <row r="7" spans="1:9">
      <c r="A7" t="s">
        <v>551</v>
      </c>
      <c r="B7" t="s">
        <v>61</v>
      </c>
      <c r="C7">
        <v>1</v>
      </c>
      <c r="F7" s="8" t="s">
        <v>22</v>
      </c>
      <c r="G7">
        <v>3</v>
      </c>
      <c r="H7">
        <v>2</v>
      </c>
      <c r="I7">
        <f t="shared" ref="I7:I11" si="0">G7/H7</f>
        <v>1.5</v>
      </c>
    </row>
    <row r="8" spans="1:9">
      <c r="A8" t="s">
        <v>552</v>
      </c>
      <c r="B8" t="s">
        <v>128</v>
      </c>
      <c r="C8">
        <v>1</v>
      </c>
      <c r="F8" s="8" t="s">
        <v>16</v>
      </c>
      <c r="G8">
        <v>2</v>
      </c>
      <c r="H8">
        <v>2</v>
      </c>
      <c r="I8">
        <f t="shared" si="0"/>
        <v>1</v>
      </c>
    </row>
    <row r="9" spans="1:9">
      <c r="A9" t="s">
        <v>553</v>
      </c>
      <c r="B9" t="s">
        <v>22</v>
      </c>
      <c r="C9">
        <v>1</v>
      </c>
      <c r="F9" s="8" t="s">
        <v>128</v>
      </c>
      <c r="G9">
        <v>1</v>
      </c>
      <c r="H9">
        <v>2</v>
      </c>
      <c r="I9">
        <f t="shared" si="0"/>
        <v>0.5</v>
      </c>
    </row>
    <row r="10" spans="1:9">
      <c r="A10" t="s">
        <v>57</v>
      </c>
      <c r="B10" t="s">
        <v>142</v>
      </c>
      <c r="C10">
        <v>2</v>
      </c>
      <c r="F10" s="8" t="s">
        <v>319</v>
      </c>
      <c r="G10">
        <v>1</v>
      </c>
      <c r="H10">
        <v>2</v>
      </c>
      <c r="I10">
        <f t="shared" si="0"/>
        <v>0.5</v>
      </c>
    </row>
    <row r="11" spans="1:9">
      <c r="A11" t="s">
        <v>90</v>
      </c>
      <c r="B11" t="s">
        <v>61</v>
      </c>
      <c r="C11">
        <v>1</v>
      </c>
      <c r="F11" s="8" t="s">
        <v>142</v>
      </c>
      <c r="G11">
        <v>2</v>
      </c>
      <c r="H11">
        <v>2</v>
      </c>
      <c r="I11">
        <f t="shared" si="0"/>
        <v>1</v>
      </c>
    </row>
    <row r="12" spans="1:9">
      <c r="A12" t="s">
        <v>247</v>
      </c>
      <c r="B12" t="s">
        <v>61</v>
      </c>
      <c r="C12">
        <v>1</v>
      </c>
      <c r="F12" s="8" t="s">
        <v>12</v>
      </c>
      <c r="G12">
        <v>14</v>
      </c>
    </row>
    <row r="13" spans="1:9">
      <c r="A13" t="s">
        <v>56</v>
      </c>
      <c r="B13" t="s">
        <v>16</v>
      </c>
      <c r="C13">
        <v>1</v>
      </c>
    </row>
    <row r="14" spans="1:9">
      <c r="A14" t="s">
        <v>554</v>
      </c>
      <c r="B14" t="s">
        <v>22</v>
      </c>
      <c r="C14">
        <v>1</v>
      </c>
    </row>
    <row r="16" spans="1:9">
      <c r="A16" s="2" t="s">
        <v>51</v>
      </c>
    </row>
    <row r="17" spans="1:2">
      <c r="A17" s="2" t="s">
        <v>0</v>
      </c>
      <c r="B17" s="2" t="s">
        <v>1</v>
      </c>
    </row>
    <row r="18" spans="1:2">
      <c r="A18" t="s">
        <v>547</v>
      </c>
      <c r="B18">
        <v>1</v>
      </c>
    </row>
    <row r="19" spans="1:2">
      <c r="A19" t="s">
        <v>553</v>
      </c>
      <c r="B19">
        <v>1</v>
      </c>
    </row>
    <row r="20" spans="1:2">
      <c r="A20" t="s">
        <v>554</v>
      </c>
      <c r="B20">
        <v>1</v>
      </c>
    </row>
    <row r="21" spans="1:2">
      <c r="A21" s="2" t="s">
        <v>9</v>
      </c>
      <c r="B21" s="2">
        <v>3</v>
      </c>
    </row>
    <row r="23" spans="1:2">
      <c r="A23" s="2" t="s">
        <v>47</v>
      </c>
    </row>
    <row r="24" spans="1:2">
      <c r="A24" s="2" t="s">
        <v>0</v>
      </c>
      <c r="B24" s="2" t="s">
        <v>1</v>
      </c>
    </row>
    <row r="25" spans="1:2">
      <c r="A25" t="s">
        <v>414</v>
      </c>
      <c r="B25">
        <v>1</v>
      </c>
    </row>
    <row r="26" spans="1:2">
      <c r="A26" t="s">
        <v>56</v>
      </c>
      <c r="B26">
        <v>1</v>
      </c>
    </row>
    <row r="27" spans="1:2">
      <c r="A27" s="2" t="s">
        <v>9</v>
      </c>
      <c r="B27" s="2">
        <v>2</v>
      </c>
    </row>
    <row r="29" spans="1:2">
      <c r="A29" s="2" t="s">
        <v>95</v>
      </c>
    </row>
    <row r="30" spans="1:2">
      <c r="A30" s="2" t="s">
        <v>0</v>
      </c>
      <c r="B30" s="2" t="s">
        <v>1</v>
      </c>
    </row>
    <row r="31" spans="1:2">
      <c r="A31" t="s">
        <v>548</v>
      </c>
      <c r="B31">
        <v>1</v>
      </c>
    </row>
    <row r="32" spans="1:2">
      <c r="A32" t="s">
        <v>382</v>
      </c>
      <c r="B32">
        <v>1</v>
      </c>
    </row>
    <row r="33" spans="1:2">
      <c r="A33" t="s">
        <v>551</v>
      </c>
      <c r="B33">
        <v>1</v>
      </c>
    </row>
    <row r="34" spans="1:2">
      <c r="A34" t="s">
        <v>90</v>
      </c>
      <c r="B34">
        <v>1</v>
      </c>
    </row>
    <row r="35" spans="1:2">
      <c r="A35" t="s">
        <v>247</v>
      </c>
      <c r="B35">
        <v>1</v>
      </c>
    </row>
    <row r="36" spans="1:2">
      <c r="A36" s="2" t="s">
        <v>9</v>
      </c>
      <c r="B36" s="2">
        <v>5</v>
      </c>
    </row>
    <row r="38" spans="1:2">
      <c r="A38" s="2" t="s">
        <v>544</v>
      </c>
    </row>
    <row r="39" spans="1:2">
      <c r="A39" s="2" t="s">
        <v>0</v>
      </c>
      <c r="B39" s="2" t="s">
        <v>1</v>
      </c>
    </row>
    <row r="40" spans="1:2">
      <c r="A40" t="s">
        <v>549</v>
      </c>
      <c r="B40">
        <v>1</v>
      </c>
    </row>
    <row r="41" spans="1:2">
      <c r="A41" s="2" t="s">
        <v>9</v>
      </c>
      <c r="B41" s="2">
        <v>1</v>
      </c>
    </row>
    <row r="43" spans="1:2">
      <c r="A43" s="2" t="s">
        <v>541</v>
      </c>
    </row>
    <row r="44" spans="1:2">
      <c r="A44" s="2" t="s">
        <v>0</v>
      </c>
      <c r="B44" s="2" t="s">
        <v>1</v>
      </c>
    </row>
    <row r="45" spans="1:2">
      <c r="A45" t="s">
        <v>552</v>
      </c>
      <c r="B45">
        <v>1</v>
      </c>
    </row>
    <row r="46" spans="1:2">
      <c r="A46" s="2" t="s">
        <v>9</v>
      </c>
      <c r="B46" s="2">
        <v>1</v>
      </c>
    </row>
    <row r="48" spans="1:2">
      <c r="A48" s="2" t="s">
        <v>535</v>
      </c>
    </row>
    <row r="49" spans="1:2">
      <c r="A49" s="2" t="s">
        <v>0</v>
      </c>
      <c r="B49" s="2" t="s">
        <v>1</v>
      </c>
    </row>
    <row r="50" spans="1:2">
      <c r="A50" t="s">
        <v>57</v>
      </c>
      <c r="B50">
        <v>2</v>
      </c>
    </row>
    <row r="51" spans="1:2">
      <c r="A51" s="2" t="s">
        <v>9</v>
      </c>
      <c r="B51" s="2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L1623"/>
  <sheetViews>
    <sheetView topLeftCell="F3" workbookViewId="0">
      <selection activeCell="L10" sqref="L10"/>
    </sheetView>
  </sheetViews>
  <sheetFormatPr defaultRowHeight="14.45"/>
  <cols>
    <col min="1" max="1" width="45.7109375" customWidth="1"/>
    <col min="2" max="2" width="20.42578125" customWidth="1"/>
    <col min="3" max="3" width="19.7109375" customWidth="1"/>
    <col min="6" max="6" width="14.140625" bestFit="1" customWidth="1"/>
    <col min="7" max="7" width="15.85546875" bestFit="1" customWidth="1"/>
  </cols>
  <sheetData>
    <row r="1" spans="1:12" s="2" customFormat="1">
      <c r="A1" s="2" t="s">
        <v>0</v>
      </c>
      <c r="B1" s="2" t="s">
        <v>2</v>
      </c>
      <c r="C1" s="2" t="s">
        <v>1</v>
      </c>
    </row>
    <row r="2" spans="1:12">
      <c r="A2" t="s">
        <v>555</v>
      </c>
      <c r="B2" t="s">
        <v>16</v>
      </c>
      <c r="C2">
        <v>22</v>
      </c>
    </row>
    <row r="3" spans="1:12">
      <c r="A3" t="s">
        <v>393</v>
      </c>
      <c r="B3" t="s">
        <v>128</v>
      </c>
      <c r="C3">
        <v>5</v>
      </c>
    </row>
    <row r="4" spans="1:12">
      <c r="A4" t="s">
        <v>556</v>
      </c>
      <c r="B4" t="s">
        <v>272</v>
      </c>
      <c r="C4">
        <v>2</v>
      </c>
    </row>
    <row r="5" spans="1:12">
      <c r="A5" t="s">
        <v>557</v>
      </c>
      <c r="B5" t="s">
        <v>61</v>
      </c>
      <c r="C5">
        <v>1</v>
      </c>
    </row>
    <row r="6" spans="1:12">
      <c r="A6" t="s">
        <v>68</v>
      </c>
      <c r="B6" t="s">
        <v>142</v>
      </c>
      <c r="C6">
        <v>3</v>
      </c>
      <c r="F6" s="7" t="s">
        <v>7</v>
      </c>
      <c r="G6" t="s">
        <v>8</v>
      </c>
      <c r="H6" t="s">
        <v>9</v>
      </c>
      <c r="I6" t="s">
        <v>10</v>
      </c>
    </row>
    <row r="7" spans="1:12">
      <c r="A7" t="s">
        <v>282</v>
      </c>
      <c r="B7" t="s">
        <v>22</v>
      </c>
      <c r="C7">
        <v>1</v>
      </c>
      <c r="F7" s="8" t="s">
        <v>61</v>
      </c>
      <c r="G7">
        <v>98</v>
      </c>
      <c r="H7">
        <v>609</v>
      </c>
      <c r="I7">
        <f>G7/H7</f>
        <v>0.16091954022988506</v>
      </c>
    </row>
    <row r="8" spans="1:12">
      <c r="A8" t="s">
        <v>124</v>
      </c>
      <c r="B8" t="s">
        <v>125</v>
      </c>
      <c r="C8">
        <v>63</v>
      </c>
      <c r="F8" s="8" t="s">
        <v>22</v>
      </c>
      <c r="G8">
        <v>93</v>
      </c>
      <c r="H8">
        <v>609</v>
      </c>
      <c r="I8">
        <f t="shared" ref="I8:I36" si="0">G8/H8</f>
        <v>0.15270935960591134</v>
      </c>
    </row>
    <row r="9" spans="1:12">
      <c r="A9" t="s">
        <v>558</v>
      </c>
      <c r="B9" t="s">
        <v>128</v>
      </c>
      <c r="C9">
        <v>2</v>
      </c>
      <c r="F9" s="8" t="s">
        <v>125</v>
      </c>
      <c r="G9">
        <v>313</v>
      </c>
      <c r="H9">
        <v>609</v>
      </c>
      <c r="I9">
        <f t="shared" si="0"/>
        <v>0.51395730706075538</v>
      </c>
      <c r="K9" t="s">
        <v>138</v>
      </c>
      <c r="L9">
        <f>(46+36)/609</f>
        <v>0.13464696223316913</v>
      </c>
    </row>
    <row r="10" spans="1:12">
      <c r="A10" t="s">
        <v>559</v>
      </c>
      <c r="B10" t="s">
        <v>125</v>
      </c>
      <c r="C10">
        <v>9</v>
      </c>
      <c r="F10" s="8" t="s">
        <v>128</v>
      </c>
      <c r="G10">
        <v>152</v>
      </c>
      <c r="H10">
        <v>609</v>
      </c>
      <c r="I10">
        <f t="shared" si="0"/>
        <v>0.24958949096880131</v>
      </c>
      <c r="K10" t="s">
        <v>30</v>
      </c>
      <c r="L10">
        <f>(274+95)/609</f>
        <v>0.60591133004926112</v>
      </c>
    </row>
    <row r="11" spans="1:12">
      <c r="A11" t="s">
        <v>139</v>
      </c>
      <c r="B11" t="s">
        <v>131</v>
      </c>
      <c r="C11">
        <v>13</v>
      </c>
      <c r="F11" s="8" t="s">
        <v>560</v>
      </c>
      <c r="G11">
        <v>1</v>
      </c>
      <c r="H11">
        <v>609</v>
      </c>
      <c r="I11">
        <f t="shared" si="0"/>
        <v>1.6420361247947454E-3</v>
      </c>
    </row>
    <row r="12" spans="1:12">
      <c r="A12" t="s">
        <v>103</v>
      </c>
      <c r="B12" t="s">
        <v>125</v>
      </c>
      <c r="C12">
        <v>75</v>
      </c>
      <c r="F12" s="8" t="s">
        <v>131</v>
      </c>
      <c r="G12">
        <v>95</v>
      </c>
      <c r="H12">
        <v>609</v>
      </c>
      <c r="I12">
        <f t="shared" si="0"/>
        <v>0.15599343185550082</v>
      </c>
    </row>
    <row r="13" spans="1:12">
      <c r="A13" t="s">
        <v>238</v>
      </c>
      <c r="B13" t="s">
        <v>61</v>
      </c>
      <c r="C13">
        <v>10</v>
      </c>
      <c r="F13" s="8" t="s">
        <v>30</v>
      </c>
      <c r="G13">
        <v>274</v>
      </c>
      <c r="H13">
        <v>609</v>
      </c>
      <c r="I13">
        <f t="shared" si="0"/>
        <v>0.44991789819376027</v>
      </c>
    </row>
    <row r="14" spans="1:12">
      <c r="A14" t="s">
        <v>97</v>
      </c>
      <c r="B14" t="s">
        <v>125</v>
      </c>
      <c r="C14">
        <v>43</v>
      </c>
      <c r="F14" s="8" t="s">
        <v>113</v>
      </c>
      <c r="G14">
        <v>44</v>
      </c>
      <c r="H14">
        <v>609</v>
      </c>
      <c r="I14">
        <f t="shared" si="0"/>
        <v>7.2249589490968796E-2</v>
      </c>
    </row>
    <row r="15" spans="1:12">
      <c r="A15" t="s">
        <v>100</v>
      </c>
      <c r="B15" t="s">
        <v>125</v>
      </c>
      <c r="C15">
        <v>11</v>
      </c>
      <c r="F15" s="8" t="s">
        <v>134</v>
      </c>
      <c r="G15">
        <v>4</v>
      </c>
      <c r="H15">
        <v>609</v>
      </c>
      <c r="I15">
        <f t="shared" si="0"/>
        <v>6.5681444991789817E-3</v>
      </c>
    </row>
    <row r="16" spans="1:12">
      <c r="A16" t="s">
        <v>177</v>
      </c>
      <c r="B16" t="s">
        <v>16</v>
      </c>
      <c r="C16">
        <v>13</v>
      </c>
      <c r="F16" s="8" t="s">
        <v>561</v>
      </c>
      <c r="G16">
        <v>7</v>
      </c>
      <c r="H16">
        <v>609</v>
      </c>
      <c r="I16">
        <f t="shared" si="0"/>
        <v>1.1494252873563218E-2</v>
      </c>
    </row>
    <row r="17" spans="1:9">
      <c r="A17" t="s">
        <v>116</v>
      </c>
      <c r="B17" t="s">
        <v>26</v>
      </c>
      <c r="C17">
        <v>13</v>
      </c>
      <c r="F17" s="8" t="s">
        <v>32</v>
      </c>
      <c r="G17">
        <v>36</v>
      </c>
      <c r="H17">
        <v>609</v>
      </c>
      <c r="I17">
        <f t="shared" si="0"/>
        <v>5.9113300492610835E-2</v>
      </c>
    </row>
    <row r="18" spans="1:9">
      <c r="A18" t="s">
        <v>395</v>
      </c>
      <c r="B18" t="s">
        <v>16</v>
      </c>
      <c r="C18">
        <v>8</v>
      </c>
      <c r="F18" s="8" t="s">
        <v>34</v>
      </c>
      <c r="G18">
        <v>201</v>
      </c>
      <c r="H18">
        <v>609</v>
      </c>
      <c r="I18">
        <f t="shared" si="0"/>
        <v>0.33004926108374383</v>
      </c>
    </row>
    <row r="19" spans="1:9">
      <c r="A19" t="s">
        <v>562</v>
      </c>
      <c r="B19" t="s">
        <v>64</v>
      </c>
      <c r="C19">
        <v>6</v>
      </c>
      <c r="F19" s="8" t="s">
        <v>138</v>
      </c>
      <c r="G19">
        <v>46</v>
      </c>
      <c r="H19">
        <v>609</v>
      </c>
      <c r="I19">
        <f t="shared" si="0"/>
        <v>7.5533661740558297E-2</v>
      </c>
    </row>
    <row r="20" spans="1:9">
      <c r="A20" t="s">
        <v>563</v>
      </c>
      <c r="B20" t="s">
        <v>407</v>
      </c>
      <c r="C20">
        <v>5</v>
      </c>
      <c r="F20" s="8" t="s">
        <v>12</v>
      </c>
      <c r="G20">
        <v>1364</v>
      </c>
      <c r="H20">
        <v>609</v>
      </c>
      <c r="I20">
        <f t="shared" si="0"/>
        <v>2.2397372742200328</v>
      </c>
    </row>
    <row r="21" spans="1:9">
      <c r="A21" t="s">
        <v>564</v>
      </c>
      <c r="B21" t="s">
        <v>30</v>
      </c>
      <c r="C21">
        <v>11</v>
      </c>
      <c r="H21">
        <v>609</v>
      </c>
      <c r="I21">
        <f t="shared" si="0"/>
        <v>0</v>
      </c>
    </row>
    <row r="22" spans="1:9">
      <c r="A22" t="s">
        <v>94</v>
      </c>
      <c r="B22" t="s">
        <v>131</v>
      </c>
      <c r="C22">
        <v>17</v>
      </c>
      <c r="H22">
        <v>609</v>
      </c>
      <c r="I22">
        <f t="shared" si="0"/>
        <v>0</v>
      </c>
    </row>
    <row r="23" spans="1:9">
      <c r="A23" t="s">
        <v>25</v>
      </c>
      <c r="B23" t="s">
        <v>26</v>
      </c>
      <c r="C23">
        <v>57</v>
      </c>
      <c r="H23">
        <v>609</v>
      </c>
      <c r="I23">
        <f t="shared" si="0"/>
        <v>0</v>
      </c>
    </row>
    <row r="24" spans="1:9">
      <c r="A24" t="s">
        <v>565</v>
      </c>
      <c r="B24" t="s">
        <v>319</v>
      </c>
      <c r="C24">
        <v>13</v>
      </c>
      <c r="H24">
        <v>609</v>
      </c>
      <c r="I24">
        <f t="shared" si="0"/>
        <v>0</v>
      </c>
    </row>
    <row r="25" spans="1:9">
      <c r="A25" t="s">
        <v>233</v>
      </c>
      <c r="B25" t="s">
        <v>19</v>
      </c>
      <c r="C25">
        <v>68</v>
      </c>
      <c r="H25">
        <v>609</v>
      </c>
      <c r="I25">
        <f t="shared" si="0"/>
        <v>0</v>
      </c>
    </row>
    <row r="26" spans="1:9">
      <c r="A26" t="s">
        <v>566</v>
      </c>
      <c r="B26" t="s">
        <v>34</v>
      </c>
      <c r="C26">
        <v>27</v>
      </c>
      <c r="H26">
        <v>609</v>
      </c>
      <c r="I26">
        <f t="shared" si="0"/>
        <v>0</v>
      </c>
    </row>
    <row r="27" spans="1:9">
      <c r="A27" t="s">
        <v>286</v>
      </c>
      <c r="B27" t="s">
        <v>567</v>
      </c>
      <c r="C27">
        <v>16</v>
      </c>
      <c r="H27">
        <v>609</v>
      </c>
      <c r="I27">
        <f t="shared" si="0"/>
        <v>0</v>
      </c>
    </row>
    <row r="28" spans="1:9">
      <c r="A28" t="s">
        <v>328</v>
      </c>
      <c r="B28" t="s">
        <v>19</v>
      </c>
      <c r="C28">
        <v>27</v>
      </c>
      <c r="H28">
        <v>609</v>
      </c>
      <c r="I28">
        <f t="shared" si="0"/>
        <v>0</v>
      </c>
    </row>
    <row r="29" spans="1:9">
      <c r="A29" t="s">
        <v>568</v>
      </c>
      <c r="B29" t="s">
        <v>22</v>
      </c>
      <c r="C29">
        <v>10</v>
      </c>
      <c r="H29">
        <v>609</v>
      </c>
      <c r="I29">
        <f t="shared" si="0"/>
        <v>0</v>
      </c>
    </row>
    <row r="30" spans="1:9">
      <c r="A30" t="s">
        <v>569</v>
      </c>
      <c r="B30" t="s">
        <v>24</v>
      </c>
      <c r="C30">
        <v>8</v>
      </c>
      <c r="H30">
        <v>609</v>
      </c>
      <c r="I30">
        <f t="shared" si="0"/>
        <v>0</v>
      </c>
    </row>
    <row r="31" spans="1:9">
      <c r="A31" t="s">
        <v>570</v>
      </c>
      <c r="B31" t="s">
        <v>19</v>
      </c>
      <c r="C31">
        <v>32</v>
      </c>
      <c r="H31">
        <v>609</v>
      </c>
      <c r="I31">
        <f t="shared" si="0"/>
        <v>0</v>
      </c>
    </row>
    <row r="32" spans="1:9">
      <c r="A32" t="s">
        <v>376</v>
      </c>
      <c r="B32" t="s">
        <v>34</v>
      </c>
      <c r="C32">
        <v>13</v>
      </c>
      <c r="H32">
        <v>609</v>
      </c>
      <c r="I32">
        <f t="shared" si="0"/>
        <v>0</v>
      </c>
    </row>
    <row r="33" spans="1:9">
      <c r="A33" t="s">
        <v>330</v>
      </c>
      <c r="B33" t="s">
        <v>61</v>
      </c>
      <c r="C33">
        <v>13</v>
      </c>
      <c r="H33">
        <v>609</v>
      </c>
      <c r="I33">
        <f t="shared" si="0"/>
        <v>0</v>
      </c>
    </row>
    <row r="34" spans="1:9">
      <c r="A34" t="s">
        <v>56</v>
      </c>
      <c r="B34" t="s">
        <v>16</v>
      </c>
      <c r="C34">
        <v>7</v>
      </c>
      <c r="H34">
        <v>609</v>
      </c>
      <c r="I34">
        <f t="shared" si="0"/>
        <v>0</v>
      </c>
    </row>
    <row r="35" spans="1:9">
      <c r="A35" t="s">
        <v>571</v>
      </c>
      <c r="B35" t="s">
        <v>16</v>
      </c>
      <c r="C35">
        <v>4</v>
      </c>
      <c r="H35">
        <v>609</v>
      </c>
      <c r="I35">
        <f t="shared" si="0"/>
        <v>0</v>
      </c>
    </row>
    <row r="36" spans="1:9">
      <c r="A36" t="s">
        <v>408</v>
      </c>
      <c r="B36" t="s">
        <v>407</v>
      </c>
      <c r="C36">
        <v>6</v>
      </c>
      <c r="H36">
        <v>609</v>
      </c>
      <c r="I36">
        <f t="shared" si="0"/>
        <v>0</v>
      </c>
    </row>
    <row r="37" spans="1:9">
      <c r="A37" t="s">
        <v>385</v>
      </c>
      <c r="B37" t="s">
        <v>34</v>
      </c>
      <c r="C37">
        <v>14</v>
      </c>
    </row>
    <row r="38" spans="1:9">
      <c r="A38" t="s">
        <v>167</v>
      </c>
      <c r="B38" t="s">
        <v>16</v>
      </c>
      <c r="C38">
        <v>20</v>
      </c>
    </row>
    <row r="39" spans="1:9">
      <c r="A39" t="s">
        <v>154</v>
      </c>
      <c r="B39" t="s">
        <v>24</v>
      </c>
      <c r="C39">
        <v>12</v>
      </c>
    </row>
    <row r="40" spans="1:9">
      <c r="A40" t="s">
        <v>133</v>
      </c>
      <c r="B40" t="s">
        <v>16</v>
      </c>
      <c r="C40">
        <v>58</v>
      </c>
    </row>
    <row r="41" spans="1:9">
      <c r="A41" t="s">
        <v>572</v>
      </c>
      <c r="B41" t="s">
        <v>19</v>
      </c>
      <c r="C41">
        <v>2</v>
      </c>
    </row>
    <row r="42" spans="1:9">
      <c r="A42" t="s">
        <v>573</v>
      </c>
      <c r="B42" t="s">
        <v>16</v>
      </c>
      <c r="C42">
        <v>1</v>
      </c>
    </row>
    <row r="43" spans="1:9">
      <c r="A43" t="s">
        <v>219</v>
      </c>
      <c r="B43" t="s">
        <v>19</v>
      </c>
      <c r="C43">
        <v>18</v>
      </c>
    </row>
    <row r="44" spans="1:9">
      <c r="A44" t="s">
        <v>574</v>
      </c>
      <c r="B44" t="s">
        <v>131</v>
      </c>
      <c r="C44">
        <v>2</v>
      </c>
    </row>
    <row r="45" spans="1:9">
      <c r="A45" t="s">
        <v>130</v>
      </c>
      <c r="B45" t="s">
        <v>64</v>
      </c>
      <c r="C45">
        <v>21</v>
      </c>
    </row>
    <row r="46" spans="1:9">
      <c r="A46" t="s">
        <v>575</v>
      </c>
      <c r="B46" t="s">
        <v>118</v>
      </c>
      <c r="C46">
        <v>1</v>
      </c>
    </row>
    <row r="47" spans="1:9">
      <c r="A47" t="s">
        <v>121</v>
      </c>
      <c r="B47" t="s">
        <v>34</v>
      </c>
      <c r="C47">
        <v>2</v>
      </c>
    </row>
    <row r="48" spans="1:9">
      <c r="A48" t="s">
        <v>576</v>
      </c>
      <c r="B48" t="s">
        <v>34</v>
      </c>
      <c r="C48">
        <v>11</v>
      </c>
    </row>
    <row r="49" spans="1:3">
      <c r="A49" t="s">
        <v>306</v>
      </c>
      <c r="B49" t="s">
        <v>30</v>
      </c>
      <c r="C49">
        <v>7</v>
      </c>
    </row>
    <row r="50" spans="1:3">
      <c r="A50" t="s">
        <v>86</v>
      </c>
      <c r="B50" t="s">
        <v>26</v>
      </c>
      <c r="C50">
        <v>31</v>
      </c>
    </row>
    <row r="51" spans="1:3">
      <c r="A51" t="s">
        <v>577</v>
      </c>
      <c r="B51" t="s">
        <v>113</v>
      </c>
      <c r="C51">
        <v>3</v>
      </c>
    </row>
    <row r="52" spans="1:3">
      <c r="A52" t="s">
        <v>578</v>
      </c>
      <c r="B52" t="s">
        <v>30</v>
      </c>
      <c r="C52">
        <v>2</v>
      </c>
    </row>
    <row r="53" spans="1:3">
      <c r="A53" t="s">
        <v>35</v>
      </c>
      <c r="B53" t="s">
        <v>30</v>
      </c>
      <c r="C53">
        <v>39</v>
      </c>
    </row>
    <row r="54" spans="1:3">
      <c r="A54" t="s">
        <v>381</v>
      </c>
      <c r="B54" t="s">
        <v>19</v>
      </c>
      <c r="C54">
        <v>16</v>
      </c>
    </row>
    <row r="55" spans="1:3">
      <c r="A55" t="s">
        <v>579</v>
      </c>
      <c r="B55" t="s">
        <v>22</v>
      </c>
      <c r="C55">
        <v>2</v>
      </c>
    </row>
    <row r="56" spans="1:3">
      <c r="A56" t="s">
        <v>580</v>
      </c>
      <c r="B56" t="s">
        <v>128</v>
      </c>
      <c r="C56">
        <v>14</v>
      </c>
    </row>
    <row r="57" spans="1:3">
      <c r="A57" t="s">
        <v>342</v>
      </c>
      <c r="B57" t="s">
        <v>19</v>
      </c>
      <c r="C57">
        <v>17</v>
      </c>
    </row>
    <row r="58" spans="1:3">
      <c r="A58" t="s">
        <v>581</v>
      </c>
      <c r="B58" t="s">
        <v>128</v>
      </c>
      <c r="C58">
        <v>21</v>
      </c>
    </row>
    <row r="59" spans="1:3">
      <c r="A59" t="s">
        <v>582</v>
      </c>
      <c r="B59" t="s">
        <v>19</v>
      </c>
      <c r="C59">
        <v>3</v>
      </c>
    </row>
    <row r="60" spans="1:3">
      <c r="A60" t="s">
        <v>583</v>
      </c>
      <c r="B60" t="s">
        <v>16</v>
      </c>
      <c r="C60">
        <v>23</v>
      </c>
    </row>
    <row r="61" spans="1:3">
      <c r="A61" t="s">
        <v>584</v>
      </c>
      <c r="B61" t="s">
        <v>585</v>
      </c>
      <c r="C61">
        <v>2</v>
      </c>
    </row>
    <row r="62" spans="1:3">
      <c r="A62" t="s">
        <v>586</v>
      </c>
      <c r="B62" t="s">
        <v>19</v>
      </c>
      <c r="C62">
        <v>3</v>
      </c>
    </row>
    <row r="63" spans="1:3">
      <c r="A63" t="s">
        <v>587</v>
      </c>
      <c r="B63" t="s">
        <v>4</v>
      </c>
      <c r="C63">
        <v>3</v>
      </c>
    </row>
    <row r="64" spans="1:3">
      <c r="A64" t="s">
        <v>588</v>
      </c>
      <c r="B64" t="s">
        <v>19</v>
      </c>
      <c r="C64">
        <v>2</v>
      </c>
    </row>
    <row r="65" spans="1:3">
      <c r="A65" t="s">
        <v>493</v>
      </c>
      <c r="B65" t="s">
        <v>410</v>
      </c>
      <c r="C65">
        <v>3</v>
      </c>
    </row>
    <row r="66" spans="1:3">
      <c r="A66" t="s">
        <v>589</v>
      </c>
      <c r="B66" t="s">
        <v>19</v>
      </c>
      <c r="C66">
        <v>3</v>
      </c>
    </row>
    <row r="67" spans="1:3">
      <c r="A67" t="s">
        <v>43</v>
      </c>
      <c r="B67" t="s">
        <v>19</v>
      </c>
      <c r="C67">
        <v>7</v>
      </c>
    </row>
    <row r="68" spans="1:3">
      <c r="A68" t="s">
        <v>590</v>
      </c>
      <c r="B68" t="s">
        <v>19</v>
      </c>
      <c r="C68">
        <v>5</v>
      </c>
    </row>
    <row r="69" spans="1:3">
      <c r="A69" t="s">
        <v>591</v>
      </c>
      <c r="B69" t="s">
        <v>128</v>
      </c>
      <c r="C69">
        <v>3</v>
      </c>
    </row>
    <row r="70" spans="1:3">
      <c r="A70" t="s">
        <v>486</v>
      </c>
      <c r="B70" t="s">
        <v>128</v>
      </c>
      <c r="C70">
        <v>21</v>
      </c>
    </row>
    <row r="71" spans="1:3">
      <c r="A71" t="s">
        <v>592</v>
      </c>
      <c r="B71" t="s">
        <v>19</v>
      </c>
      <c r="C71">
        <v>2</v>
      </c>
    </row>
    <row r="72" spans="1:3">
      <c r="A72" t="s">
        <v>218</v>
      </c>
      <c r="B72" t="s">
        <v>19</v>
      </c>
      <c r="C72">
        <v>10</v>
      </c>
    </row>
    <row r="73" spans="1:3">
      <c r="A73" t="s">
        <v>593</v>
      </c>
      <c r="B73" t="s">
        <v>19</v>
      </c>
      <c r="C73">
        <v>10</v>
      </c>
    </row>
    <row r="74" spans="1:3">
      <c r="A74" t="s">
        <v>594</v>
      </c>
      <c r="B74" t="s">
        <v>19</v>
      </c>
      <c r="C74">
        <v>11</v>
      </c>
    </row>
    <row r="75" spans="1:3">
      <c r="A75" t="s">
        <v>595</v>
      </c>
      <c r="B75" t="s">
        <v>24</v>
      </c>
      <c r="C75">
        <v>2</v>
      </c>
    </row>
    <row r="76" spans="1:3">
      <c r="A76" t="s">
        <v>596</v>
      </c>
      <c r="B76" t="s">
        <v>19</v>
      </c>
      <c r="C76">
        <v>3</v>
      </c>
    </row>
    <row r="77" spans="1:3">
      <c r="A77" t="s">
        <v>597</v>
      </c>
      <c r="B77" t="s">
        <v>30</v>
      </c>
      <c r="C77">
        <v>7</v>
      </c>
    </row>
    <row r="78" spans="1:3">
      <c r="A78" t="s">
        <v>598</v>
      </c>
      <c r="B78" t="s">
        <v>407</v>
      </c>
      <c r="C78">
        <v>4</v>
      </c>
    </row>
    <row r="79" spans="1:3">
      <c r="A79" t="s">
        <v>599</v>
      </c>
      <c r="B79" t="s">
        <v>61</v>
      </c>
      <c r="C79">
        <v>5</v>
      </c>
    </row>
    <row r="80" spans="1:3">
      <c r="A80" t="s">
        <v>600</v>
      </c>
      <c r="B80" t="s">
        <v>6</v>
      </c>
      <c r="C80">
        <v>2</v>
      </c>
    </row>
    <row r="81" spans="1:3">
      <c r="A81" t="s">
        <v>601</v>
      </c>
      <c r="B81" t="s">
        <v>407</v>
      </c>
      <c r="C81">
        <v>2</v>
      </c>
    </row>
    <row r="82" spans="1:3">
      <c r="A82" t="s">
        <v>371</v>
      </c>
      <c r="B82" t="s">
        <v>34</v>
      </c>
      <c r="C82">
        <v>22</v>
      </c>
    </row>
    <row r="83" spans="1:3">
      <c r="A83" t="s">
        <v>602</v>
      </c>
      <c r="B83" t="s">
        <v>4</v>
      </c>
      <c r="C83">
        <v>4</v>
      </c>
    </row>
    <row r="84" spans="1:3">
      <c r="A84" t="s">
        <v>603</v>
      </c>
      <c r="B84" t="s">
        <v>16</v>
      </c>
      <c r="C84">
        <v>5</v>
      </c>
    </row>
    <row r="85" spans="1:3">
      <c r="A85" t="s">
        <v>259</v>
      </c>
      <c r="B85" t="s">
        <v>19</v>
      </c>
      <c r="C85">
        <v>2</v>
      </c>
    </row>
    <row r="86" spans="1:3">
      <c r="A86" t="s">
        <v>422</v>
      </c>
      <c r="B86" t="s">
        <v>115</v>
      </c>
      <c r="C86">
        <v>25</v>
      </c>
    </row>
    <row r="87" spans="1:3">
      <c r="A87" t="s">
        <v>348</v>
      </c>
      <c r="B87" t="s">
        <v>26</v>
      </c>
      <c r="C87">
        <v>14</v>
      </c>
    </row>
    <row r="88" spans="1:3">
      <c r="A88" t="s">
        <v>17</v>
      </c>
      <c r="B88" t="s">
        <v>16</v>
      </c>
      <c r="C88">
        <v>6</v>
      </c>
    </row>
    <row r="89" spans="1:3">
      <c r="A89" t="s">
        <v>309</v>
      </c>
      <c r="B89" t="s">
        <v>34</v>
      </c>
      <c r="C89">
        <v>4</v>
      </c>
    </row>
    <row r="90" spans="1:3">
      <c r="A90" t="s">
        <v>65</v>
      </c>
      <c r="B90" t="s">
        <v>30</v>
      </c>
      <c r="C90">
        <v>6</v>
      </c>
    </row>
    <row r="91" spans="1:3">
      <c r="A91" t="s">
        <v>181</v>
      </c>
      <c r="B91" t="s">
        <v>30</v>
      </c>
      <c r="C91">
        <v>6</v>
      </c>
    </row>
    <row r="92" spans="1:3">
      <c r="A92" t="s">
        <v>492</v>
      </c>
      <c r="B92" t="s">
        <v>26</v>
      </c>
      <c r="C92">
        <v>8</v>
      </c>
    </row>
    <row r="93" spans="1:3">
      <c r="A93" t="s">
        <v>461</v>
      </c>
      <c r="B93" t="s">
        <v>26</v>
      </c>
      <c r="C93">
        <v>4</v>
      </c>
    </row>
    <row r="94" spans="1:3">
      <c r="A94" t="s">
        <v>157</v>
      </c>
      <c r="B94" t="s">
        <v>26</v>
      </c>
      <c r="C94">
        <v>25</v>
      </c>
    </row>
    <row r="95" spans="1:3">
      <c r="A95" t="s">
        <v>604</v>
      </c>
      <c r="B95" t="s">
        <v>30</v>
      </c>
      <c r="C95">
        <v>2</v>
      </c>
    </row>
    <row r="96" spans="1:3">
      <c r="A96" t="s">
        <v>605</v>
      </c>
      <c r="B96" t="s">
        <v>30</v>
      </c>
      <c r="C96">
        <v>3</v>
      </c>
    </row>
    <row r="97" spans="1:3">
      <c r="A97" t="s">
        <v>606</v>
      </c>
      <c r="B97" t="s">
        <v>34</v>
      </c>
      <c r="C97">
        <v>2</v>
      </c>
    </row>
    <row r="98" spans="1:3">
      <c r="A98" t="s">
        <v>607</v>
      </c>
      <c r="B98" t="s">
        <v>16</v>
      </c>
      <c r="C98">
        <v>4</v>
      </c>
    </row>
    <row r="99" spans="1:3">
      <c r="A99" t="s">
        <v>608</v>
      </c>
      <c r="B99" t="s">
        <v>410</v>
      </c>
      <c r="C99">
        <v>1</v>
      </c>
    </row>
    <row r="100" spans="1:3">
      <c r="A100" t="s">
        <v>71</v>
      </c>
      <c r="B100" t="s">
        <v>34</v>
      </c>
      <c r="C100">
        <v>14</v>
      </c>
    </row>
    <row r="101" spans="1:3">
      <c r="A101" t="s">
        <v>609</v>
      </c>
      <c r="B101" t="s">
        <v>19</v>
      </c>
      <c r="C101">
        <v>7</v>
      </c>
    </row>
    <row r="102" spans="1:3">
      <c r="A102" t="s">
        <v>610</v>
      </c>
      <c r="B102" t="s">
        <v>34</v>
      </c>
      <c r="C102">
        <v>1</v>
      </c>
    </row>
    <row r="103" spans="1:3">
      <c r="A103" t="s">
        <v>611</v>
      </c>
      <c r="B103" t="s">
        <v>407</v>
      </c>
      <c r="C103">
        <v>1</v>
      </c>
    </row>
    <row r="104" spans="1:3">
      <c r="A104" t="s">
        <v>102</v>
      </c>
      <c r="B104" t="s">
        <v>125</v>
      </c>
      <c r="C104">
        <v>16</v>
      </c>
    </row>
    <row r="105" spans="1:3">
      <c r="A105" t="s">
        <v>383</v>
      </c>
      <c r="B105" t="s">
        <v>34</v>
      </c>
      <c r="C105">
        <v>2</v>
      </c>
    </row>
    <row r="106" spans="1:3">
      <c r="A106" t="s">
        <v>99</v>
      </c>
      <c r="B106" t="s">
        <v>125</v>
      </c>
      <c r="C106">
        <v>6</v>
      </c>
    </row>
    <row r="107" spans="1:3">
      <c r="A107" t="s">
        <v>612</v>
      </c>
      <c r="B107" t="s">
        <v>272</v>
      </c>
      <c r="C107">
        <v>2</v>
      </c>
    </row>
    <row r="108" spans="1:3">
      <c r="A108" t="s">
        <v>613</v>
      </c>
      <c r="B108" t="s">
        <v>34</v>
      </c>
      <c r="C108">
        <v>2</v>
      </c>
    </row>
    <row r="109" spans="1:3">
      <c r="A109" t="s">
        <v>614</v>
      </c>
      <c r="B109" t="s">
        <v>19</v>
      </c>
      <c r="C109">
        <v>1</v>
      </c>
    </row>
    <row r="110" spans="1:3">
      <c r="A110" t="s">
        <v>303</v>
      </c>
      <c r="B110" t="s">
        <v>61</v>
      </c>
      <c r="C110">
        <v>8</v>
      </c>
    </row>
    <row r="111" spans="1:3">
      <c r="A111" t="s">
        <v>615</v>
      </c>
      <c r="B111" t="s">
        <v>34</v>
      </c>
      <c r="C111">
        <v>3</v>
      </c>
    </row>
    <row r="112" spans="1:3">
      <c r="A112" t="s">
        <v>616</v>
      </c>
      <c r="B112" t="s">
        <v>319</v>
      </c>
      <c r="C112">
        <v>1</v>
      </c>
    </row>
    <row r="113" spans="1:3">
      <c r="A113" t="s">
        <v>617</v>
      </c>
      <c r="B113" t="s">
        <v>24</v>
      </c>
      <c r="C113">
        <v>1</v>
      </c>
    </row>
    <row r="114" spans="1:3">
      <c r="A114" t="s">
        <v>618</v>
      </c>
      <c r="B114" t="s">
        <v>30</v>
      </c>
      <c r="C114">
        <v>3</v>
      </c>
    </row>
    <row r="115" spans="1:3">
      <c r="A115" t="s">
        <v>351</v>
      </c>
      <c r="B115" t="s">
        <v>4</v>
      </c>
      <c r="C115">
        <v>1</v>
      </c>
    </row>
    <row r="116" spans="1:3">
      <c r="A116" t="s">
        <v>336</v>
      </c>
      <c r="B116" t="s">
        <v>16</v>
      </c>
      <c r="C116">
        <v>14</v>
      </c>
    </row>
    <row r="117" spans="1:3">
      <c r="A117" t="s">
        <v>200</v>
      </c>
      <c r="B117" t="s">
        <v>125</v>
      </c>
      <c r="C117">
        <v>17</v>
      </c>
    </row>
    <row r="118" spans="1:3">
      <c r="A118" t="s">
        <v>455</v>
      </c>
      <c r="B118" t="s">
        <v>16</v>
      </c>
      <c r="C118">
        <v>13</v>
      </c>
    </row>
    <row r="119" spans="1:3">
      <c r="A119" t="s">
        <v>619</v>
      </c>
      <c r="B119" t="s">
        <v>26</v>
      </c>
      <c r="C119">
        <v>2</v>
      </c>
    </row>
    <row r="120" spans="1:3">
      <c r="A120" t="s">
        <v>168</v>
      </c>
      <c r="B120" t="s">
        <v>16</v>
      </c>
      <c r="C120">
        <v>3</v>
      </c>
    </row>
    <row r="121" spans="1:3">
      <c r="A121" t="s">
        <v>620</v>
      </c>
      <c r="B121" t="s">
        <v>16</v>
      </c>
      <c r="C121">
        <v>1</v>
      </c>
    </row>
    <row r="122" spans="1:3">
      <c r="A122" t="s">
        <v>621</v>
      </c>
      <c r="B122" t="s">
        <v>64</v>
      </c>
      <c r="C122">
        <v>3</v>
      </c>
    </row>
    <row r="123" spans="1:3">
      <c r="A123" t="s">
        <v>622</v>
      </c>
      <c r="B123" t="s">
        <v>34</v>
      </c>
      <c r="C123">
        <v>2</v>
      </c>
    </row>
    <row r="124" spans="1:3">
      <c r="A124" t="s">
        <v>623</v>
      </c>
      <c r="B124" t="s">
        <v>61</v>
      </c>
      <c r="C124">
        <v>1</v>
      </c>
    </row>
    <row r="125" spans="1:3">
      <c r="A125" t="s">
        <v>624</v>
      </c>
      <c r="B125" t="s">
        <v>4</v>
      </c>
      <c r="C125">
        <v>16</v>
      </c>
    </row>
    <row r="126" spans="1:3">
      <c r="A126" t="s">
        <v>625</v>
      </c>
      <c r="B126" t="s">
        <v>61</v>
      </c>
      <c r="C126">
        <v>1</v>
      </c>
    </row>
    <row r="127" spans="1:3">
      <c r="A127" t="s">
        <v>626</v>
      </c>
      <c r="B127" t="s">
        <v>34</v>
      </c>
      <c r="C127">
        <v>3</v>
      </c>
    </row>
    <row r="128" spans="1:3">
      <c r="A128" t="s">
        <v>175</v>
      </c>
      <c r="B128" t="s">
        <v>26</v>
      </c>
      <c r="C128">
        <v>24</v>
      </c>
    </row>
    <row r="129" spans="1:3">
      <c r="A129" t="s">
        <v>627</v>
      </c>
      <c r="B129" t="s">
        <v>128</v>
      </c>
      <c r="C129">
        <v>7</v>
      </c>
    </row>
    <row r="130" spans="1:3">
      <c r="A130" t="s">
        <v>210</v>
      </c>
      <c r="B130" t="s">
        <v>410</v>
      </c>
      <c r="C130">
        <v>2</v>
      </c>
    </row>
    <row r="131" spans="1:3">
      <c r="A131" t="s">
        <v>628</v>
      </c>
      <c r="B131" t="s">
        <v>32</v>
      </c>
      <c r="C131">
        <v>4</v>
      </c>
    </row>
    <row r="132" spans="1:3">
      <c r="A132" t="s">
        <v>332</v>
      </c>
      <c r="B132" t="s">
        <v>24</v>
      </c>
      <c r="C132">
        <v>2</v>
      </c>
    </row>
    <row r="133" spans="1:3">
      <c r="A133" t="s">
        <v>629</v>
      </c>
      <c r="B133" t="s">
        <v>319</v>
      </c>
      <c r="C133">
        <v>1</v>
      </c>
    </row>
    <row r="134" spans="1:3">
      <c r="A134" t="s">
        <v>630</v>
      </c>
      <c r="B134" t="s">
        <v>61</v>
      </c>
      <c r="C134">
        <v>1</v>
      </c>
    </row>
    <row r="135" spans="1:3">
      <c r="A135" t="s">
        <v>631</v>
      </c>
      <c r="B135" t="s">
        <v>34</v>
      </c>
      <c r="C135">
        <v>1</v>
      </c>
    </row>
    <row r="136" spans="1:3">
      <c r="A136" t="s">
        <v>632</v>
      </c>
      <c r="B136" t="s">
        <v>24</v>
      </c>
      <c r="C136">
        <v>2</v>
      </c>
    </row>
    <row r="137" spans="1:3">
      <c r="A137" t="s">
        <v>633</v>
      </c>
      <c r="B137" t="s">
        <v>24</v>
      </c>
      <c r="C137">
        <v>1</v>
      </c>
    </row>
    <row r="138" spans="1:3">
      <c r="A138" t="s">
        <v>149</v>
      </c>
      <c r="B138" t="s">
        <v>319</v>
      </c>
      <c r="C138">
        <v>10</v>
      </c>
    </row>
    <row r="139" spans="1:3">
      <c r="A139" t="s">
        <v>373</v>
      </c>
      <c r="B139" t="s">
        <v>4</v>
      </c>
      <c r="C139">
        <v>10</v>
      </c>
    </row>
    <row r="140" spans="1:3">
      <c r="A140" t="s">
        <v>162</v>
      </c>
      <c r="B140" t="s">
        <v>64</v>
      </c>
      <c r="C140">
        <v>24</v>
      </c>
    </row>
    <row r="141" spans="1:3">
      <c r="A141" t="s">
        <v>74</v>
      </c>
      <c r="B141" t="s">
        <v>30</v>
      </c>
      <c r="C141">
        <v>14</v>
      </c>
    </row>
    <row r="142" spans="1:3">
      <c r="A142" t="s">
        <v>191</v>
      </c>
      <c r="B142" t="s">
        <v>125</v>
      </c>
      <c r="C142">
        <v>9</v>
      </c>
    </row>
    <row r="143" spans="1:3">
      <c r="A143" t="s">
        <v>634</v>
      </c>
      <c r="B143" t="s">
        <v>4</v>
      </c>
      <c r="C143">
        <v>10</v>
      </c>
    </row>
    <row r="144" spans="1:3">
      <c r="A144" t="s">
        <v>635</v>
      </c>
      <c r="B144" t="s">
        <v>24</v>
      </c>
      <c r="C144">
        <v>7</v>
      </c>
    </row>
    <row r="145" spans="1:3">
      <c r="A145" t="s">
        <v>135</v>
      </c>
      <c r="B145" t="s">
        <v>64</v>
      </c>
      <c r="C145">
        <v>15</v>
      </c>
    </row>
    <row r="146" spans="1:3">
      <c r="A146" t="s">
        <v>636</v>
      </c>
      <c r="B146" t="s">
        <v>24</v>
      </c>
      <c r="C146">
        <v>7</v>
      </c>
    </row>
    <row r="147" spans="1:3">
      <c r="A147" t="s">
        <v>477</v>
      </c>
      <c r="B147" t="s">
        <v>16</v>
      </c>
      <c r="C147">
        <v>19</v>
      </c>
    </row>
    <row r="148" spans="1:3">
      <c r="A148" t="s">
        <v>637</v>
      </c>
      <c r="B148" t="s">
        <v>319</v>
      </c>
      <c r="C148">
        <v>8</v>
      </c>
    </row>
    <row r="149" spans="1:3">
      <c r="A149" t="s">
        <v>143</v>
      </c>
      <c r="B149" t="s">
        <v>142</v>
      </c>
      <c r="C149">
        <v>18</v>
      </c>
    </row>
    <row r="150" spans="1:3">
      <c r="A150" t="s">
        <v>638</v>
      </c>
      <c r="B150" t="s">
        <v>30</v>
      </c>
      <c r="C150">
        <v>9</v>
      </c>
    </row>
    <row r="151" spans="1:3">
      <c r="A151" t="s">
        <v>639</v>
      </c>
      <c r="B151" t="s">
        <v>138</v>
      </c>
      <c r="C151">
        <v>21</v>
      </c>
    </row>
    <row r="152" spans="1:3">
      <c r="A152" t="s">
        <v>640</v>
      </c>
      <c r="B152" t="s">
        <v>64</v>
      </c>
      <c r="C152">
        <v>7</v>
      </c>
    </row>
    <row r="153" spans="1:3">
      <c r="A153" t="s">
        <v>488</v>
      </c>
      <c r="B153" t="s">
        <v>26</v>
      </c>
      <c r="C153">
        <v>7</v>
      </c>
    </row>
    <row r="154" spans="1:3">
      <c r="A154" t="s">
        <v>27</v>
      </c>
      <c r="B154" t="s">
        <v>19</v>
      </c>
      <c r="C154">
        <v>10</v>
      </c>
    </row>
    <row r="155" spans="1:3">
      <c r="A155" t="s">
        <v>641</v>
      </c>
      <c r="B155" t="s">
        <v>113</v>
      </c>
      <c r="C155">
        <v>1</v>
      </c>
    </row>
    <row r="156" spans="1:3">
      <c r="A156" t="s">
        <v>122</v>
      </c>
      <c r="B156" t="s">
        <v>113</v>
      </c>
      <c r="C156">
        <v>6</v>
      </c>
    </row>
    <row r="157" spans="1:3">
      <c r="A157" t="s">
        <v>498</v>
      </c>
      <c r="B157" t="s">
        <v>113</v>
      </c>
      <c r="C157">
        <v>3</v>
      </c>
    </row>
    <row r="158" spans="1:3">
      <c r="A158" t="s">
        <v>112</v>
      </c>
      <c r="B158" t="s">
        <v>113</v>
      </c>
      <c r="C158">
        <v>2</v>
      </c>
    </row>
    <row r="159" spans="1:3">
      <c r="A159" t="s">
        <v>642</v>
      </c>
      <c r="B159" t="s">
        <v>113</v>
      </c>
      <c r="C159">
        <v>1</v>
      </c>
    </row>
    <row r="160" spans="1:3">
      <c r="A160" t="s">
        <v>643</v>
      </c>
      <c r="B160" t="s">
        <v>113</v>
      </c>
      <c r="C160">
        <v>2</v>
      </c>
    </row>
    <row r="161" spans="1:3">
      <c r="A161" t="s">
        <v>444</v>
      </c>
      <c r="B161" t="s">
        <v>64</v>
      </c>
      <c r="C161">
        <v>1</v>
      </c>
    </row>
    <row r="162" spans="1:3">
      <c r="A162" t="s">
        <v>644</v>
      </c>
      <c r="B162" t="s">
        <v>113</v>
      </c>
      <c r="C162">
        <v>1</v>
      </c>
    </row>
    <row r="163" spans="1:3">
      <c r="A163" t="s">
        <v>645</v>
      </c>
      <c r="B163" t="s">
        <v>407</v>
      </c>
      <c r="C163">
        <v>2</v>
      </c>
    </row>
    <row r="164" spans="1:3">
      <c r="A164" t="s">
        <v>525</v>
      </c>
      <c r="B164" t="s">
        <v>30</v>
      </c>
      <c r="C164">
        <v>3</v>
      </c>
    </row>
    <row r="165" spans="1:3">
      <c r="A165" t="s">
        <v>646</v>
      </c>
      <c r="B165" t="s">
        <v>61</v>
      </c>
      <c r="C165">
        <v>3</v>
      </c>
    </row>
    <row r="166" spans="1:3">
      <c r="A166" t="s">
        <v>163</v>
      </c>
      <c r="B166" t="s">
        <v>16</v>
      </c>
      <c r="C166">
        <v>7</v>
      </c>
    </row>
    <row r="167" spans="1:3">
      <c r="A167" t="s">
        <v>647</v>
      </c>
      <c r="B167" t="s">
        <v>131</v>
      </c>
      <c r="C167">
        <v>4</v>
      </c>
    </row>
    <row r="168" spans="1:3">
      <c r="A168" t="s">
        <v>169</v>
      </c>
      <c r="B168" t="s">
        <v>30</v>
      </c>
      <c r="C168">
        <v>9</v>
      </c>
    </row>
    <row r="169" spans="1:3">
      <c r="A169" t="s">
        <v>354</v>
      </c>
      <c r="B169" t="s">
        <v>26</v>
      </c>
      <c r="C169">
        <v>2</v>
      </c>
    </row>
    <row r="170" spans="1:3">
      <c r="A170" t="s">
        <v>152</v>
      </c>
      <c r="B170" t="s">
        <v>30</v>
      </c>
      <c r="C170">
        <v>7</v>
      </c>
    </row>
    <row r="171" spans="1:3">
      <c r="A171" t="s">
        <v>394</v>
      </c>
      <c r="B171" t="s">
        <v>16</v>
      </c>
      <c r="C171">
        <v>5</v>
      </c>
    </row>
    <row r="172" spans="1:3">
      <c r="A172" t="s">
        <v>648</v>
      </c>
      <c r="B172" t="s">
        <v>34</v>
      </c>
      <c r="C172">
        <v>2</v>
      </c>
    </row>
    <row r="173" spans="1:3">
      <c r="A173" t="s">
        <v>649</v>
      </c>
      <c r="B173" t="s">
        <v>4</v>
      </c>
      <c r="C173">
        <v>1</v>
      </c>
    </row>
    <row r="174" spans="1:3">
      <c r="A174" t="s">
        <v>650</v>
      </c>
      <c r="B174" t="s">
        <v>16</v>
      </c>
      <c r="C174">
        <v>2</v>
      </c>
    </row>
    <row r="175" spans="1:3">
      <c r="A175" t="s">
        <v>651</v>
      </c>
      <c r="B175" t="s">
        <v>16</v>
      </c>
      <c r="C175">
        <v>12</v>
      </c>
    </row>
    <row r="176" spans="1:3">
      <c r="A176" t="s">
        <v>652</v>
      </c>
      <c r="B176" t="s">
        <v>32</v>
      </c>
      <c r="C176">
        <v>4</v>
      </c>
    </row>
    <row r="177" spans="1:3">
      <c r="A177" t="s">
        <v>92</v>
      </c>
      <c r="B177" t="s">
        <v>30</v>
      </c>
      <c r="C177">
        <v>5</v>
      </c>
    </row>
    <row r="178" spans="1:3">
      <c r="A178" t="s">
        <v>227</v>
      </c>
      <c r="B178" t="s">
        <v>128</v>
      </c>
      <c r="C178">
        <v>6</v>
      </c>
    </row>
    <row r="179" spans="1:3">
      <c r="A179" t="s">
        <v>216</v>
      </c>
      <c r="B179" t="s">
        <v>19</v>
      </c>
      <c r="C179">
        <v>24</v>
      </c>
    </row>
    <row r="180" spans="1:3">
      <c r="A180" t="s">
        <v>321</v>
      </c>
      <c r="B180" t="s">
        <v>319</v>
      </c>
      <c r="C180">
        <v>7</v>
      </c>
    </row>
    <row r="181" spans="1:3">
      <c r="A181" t="s">
        <v>653</v>
      </c>
      <c r="B181" t="s">
        <v>30</v>
      </c>
      <c r="C181">
        <v>1</v>
      </c>
    </row>
    <row r="182" spans="1:3">
      <c r="A182" t="s">
        <v>426</v>
      </c>
      <c r="B182" t="s">
        <v>4</v>
      </c>
      <c r="C182">
        <v>7</v>
      </c>
    </row>
    <row r="183" spans="1:3">
      <c r="A183" t="s">
        <v>279</v>
      </c>
      <c r="B183" t="s">
        <v>128</v>
      </c>
      <c r="C183">
        <v>9</v>
      </c>
    </row>
    <row r="184" spans="1:3">
      <c r="A184" t="s">
        <v>654</v>
      </c>
      <c r="B184" t="s">
        <v>319</v>
      </c>
      <c r="C184">
        <v>1</v>
      </c>
    </row>
    <row r="185" spans="1:3">
      <c r="A185" t="s">
        <v>176</v>
      </c>
      <c r="B185" t="s">
        <v>34</v>
      </c>
      <c r="C185">
        <v>28</v>
      </c>
    </row>
    <row r="186" spans="1:3">
      <c r="A186" t="s">
        <v>655</v>
      </c>
      <c r="B186" t="s">
        <v>128</v>
      </c>
      <c r="C186">
        <v>1</v>
      </c>
    </row>
    <row r="187" spans="1:3">
      <c r="A187" t="s">
        <v>656</v>
      </c>
      <c r="B187" t="s">
        <v>128</v>
      </c>
      <c r="C187">
        <v>3</v>
      </c>
    </row>
    <row r="188" spans="1:3">
      <c r="A188" t="s">
        <v>657</v>
      </c>
      <c r="B188" t="s">
        <v>410</v>
      </c>
      <c r="C188">
        <v>1</v>
      </c>
    </row>
    <row r="189" spans="1:3">
      <c r="A189" t="s">
        <v>658</v>
      </c>
      <c r="B189" t="s">
        <v>61</v>
      </c>
      <c r="C189">
        <v>1</v>
      </c>
    </row>
    <row r="190" spans="1:3">
      <c r="A190" t="s">
        <v>659</v>
      </c>
      <c r="B190" t="s">
        <v>61</v>
      </c>
      <c r="C190">
        <v>1</v>
      </c>
    </row>
    <row r="191" spans="1:3">
      <c r="A191" t="s">
        <v>148</v>
      </c>
      <c r="B191" t="s">
        <v>24</v>
      </c>
      <c r="C191">
        <v>10</v>
      </c>
    </row>
    <row r="192" spans="1:3">
      <c r="A192" t="s">
        <v>412</v>
      </c>
      <c r="B192" t="s">
        <v>61</v>
      </c>
      <c r="C192">
        <v>2</v>
      </c>
    </row>
    <row r="193" spans="1:3">
      <c r="A193" t="s">
        <v>660</v>
      </c>
      <c r="B193" t="s">
        <v>34</v>
      </c>
      <c r="C193">
        <v>1</v>
      </c>
    </row>
    <row r="194" spans="1:3">
      <c r="A194" t="s">
        <v>261</v>
      </c>
      <c r="B194" t="s">
        <v>34</v>
      </c>
      <c r="C194">
        <v>2</v>
      </c>
    </row>
    <row r="195" spans="1:3">
      <c r="A195" t="s">
        <v>307</v>
      </c>
      <c r="B195" t="s">
        <v>22</v>
      </c>
      <c r="C195">
        <v>2</v>
      </c>
    </row>
    <row r="196" spans="1:3">
      <c r="A196" t="s">
        <v>661</v>
      </c>
      <c r="B196" t="s">
        <v>138</v>
      </c>
      <c r="C196">
        <v>8</v>
      </c>
    </row>
    <row r="197" spans="1:3">
      <c r="A197" t="s">
        <v>662</v>
      </c>
      <c r="B197" t="s">
        <v>410</v>
      </c>
      <c r="C197">
        <v>2</v>
      </c>
    </row>
    <row r="198" spans="1:3">
      <c r="A198" t="s">
        <v>663</v>
      </c>
      <c r="B198" t="s">
        <v>24</v>
      </c>
      <c r="C198">
        <v>1</v>
      </c>
    </row>
    <row r="199" spans="1:3">
      <c r="A199" t="s">
        <v>664</v>
      </c>
      <c r="B199" t="s">
        <v>32</v>
      </c>
      <c r="C199">
        <v>2</v>
      </c>
    </row>
    <row r="200" spans="1:3">
      <c r="A200" t="s">
        <v>212</v>
      </c>
      <c r="B200" t="s">
        <v>16</v>
      </c>
      <c r="C200">
        <v>25</v>
      </c>
    </row>
    <row r="201" spans="1:3">
      <c r="A201" t="s">
        <v>105</v>
      </c>
      <c r="B201" t="s">
        <v>19</v>
      </c>
      <c r="C201">
        <v>4</v>
      </c>
    </row>
    <row r="202" spans="1:3">
      <c r="A202" t="s">
        <v>665</v>
      </c>
      <c r="B202" t="s">
        <v>61</v>
      </c>
      <c r="C202">
        <v>3</v>
      </c>
    </row>
    <row r="203" spans="1:3">
      <c r="A203" t="s">
        <v>666</v>
      </c>
      <c r="B203" t="s">
        <v>32</v>
      </c>
      <c r="C203">
        <v>1</v>
      </c>
    </row>
    <row r="204" spans="1:3">
      <c r="A204" t="s">
        <v>667</v>
      </c>
      <c r="B204" t="s">
        <v>30</v>
      </c>
      <c r="C204">
        <v>2</v>
      </c>
    </row>
    <row r="205" spans="1:3">
      <c r="A205" t="s">
        <v>668</v>
      </c>
      <c r="B205" t="s">
        <v>24</v>
      </c>
      <c r="C205">
        <v>1</v>
      </c>
    </row>
    <row r="206" spans="1:3">
      <c r="A206" t="s">
        <v>251</v>
      </c>
      <c r="B206" t="s">
        <v>128</v>
      </c>
      <c r="C206">
        <v>8</v>
      </c>
    </row>
    <row r="207" spans="1:3">
      <c r="A207" t="s">
        <v>669</v>
      </c>
      <c r="B207" t="s">
        <v>24</v>
      </c>
      <c r="C207">
        <v>1</v>
      </c>
    </row>
    <row r="208" spans="1:3">
      <c r="A208" t="s">
        <v>388</v>
      </c>
      <c r="B208" t="s">
        <v>61</v>
      </c>
      <c r="C208">
        <v>1</v>
      </c>
    </row>
    <row r="209" spans="1:3">
      <c r="A209" t="s">
        <v>670</v>
      </c>
      <c r="B209" t="s">
        <v>24</v>
      </c>
      <c r="C209">
        <v>1</v>
      </c>
    </row>
    <row r="210" spans="1:3">
      <c r="A210" t="s">
        <v>671</v>
      </c>
      <c r="B210" t="s">
        <v>19</v>
      </c>
      <c r="C210">
        <v>1</v>
      </c>
    </row>
    <row r="211" spans="1:3">
      <c r="A211" t="s">
        <v>672</v>
      </c>
      <c r="B211" t="s">
        <v>24</v>
      </c>
      <c r="C211">
        <v>2</v>
      </c>
    </row>
    <row r="212" spans="1:3">
      <c r="A212" t="s">
        <v>331</v>
      </c>
      <c r="B212" t="s">
        <v>61</v>
      </c>
      <c r="C212">
        <v>7</v>
      </c>
    </row>
    <row r="213" spans="1:3">
      <c r="A213" t="s">
        <v>673</v>
      </c>
      <c r="B213" t="s">
        <v>113</v>
      </c>
      <c r="C213">
        <v>2</v>
      </c>
    </row>
    <row r="214" spans="1:3">
      <c r="A214" t="s">
        <v>66</v>
      </c>
      <c r="B214" t="s">
        <v>319</v>
      </c>
      <c r="C214">
        <v>1</v>
      </c>
    </row>
    <row r="215" spans="1:3">
      <c r="A215" t="s">
        <v>151</v>
      </c>
      <c r="B215" t="s">
        <v>30</v>
      </c>
      <c r="C215">
        <v>3</v>
      </c>
    </row>
    <row r="216" spans="1:3">
      <c r="A216" t="s">
        <v>28</v>
      </c>
      <c r="B216" t="s">
        <v>22</v>
      </c>
      <c r="C216">
        <v>10</v>
      </c>
    </row>
    <row r="217" spans="1:3">
      <c r="A217" t="s">
        <v>18</v>
      </c>
      <c r="B217" t="s">
        <v>19</v>
      </c>
      <c r="C217">
        <v>4</v>
      </c>
    </row>
    <row r="218" spans="1:3">
      <c r="A218" t="s">
        <v>674</v>
      </c>
      <c r="B218" t="s">
        <v>19</v>
      </c>
      <c r="C218">
        <v>3</v>
      </c>
    </row>
    <row r="219" spans="1:3">
      <c r="A219" t="s">
        <v>675</v>
      </c>
      <c r="B219" t="s">
        <v>19</v>
      </c>
      <c r="C219">
        <v>12</v>
      </c>
    </row>
    <row r="220" spans="1:3">
      <c r="A220" t="s">
        <v>23</v>
      </c>
      <c r="B220" t="s">
        <v>22</v>
      </c>
      <c r="C220">
        <v>5</v>
      </c>
    </row>
    <row r="221" spans="1:3">
      <c r="A221" t="s">
        <v>39</v>
      </c>
      <c r="B221" t="s">
        <v>19</v>
      </c>
      <c r="C221">
        <v>3</v>
      </c>
    </row>
    <row r="222" spans="1:3">
      <c r="A222" t="s">
        <v>362</v>
      </c>
      <c r="B222" t="s">
        <v>125</v>
      </c>
      <c r="C222">
        <v>8</v>
      </c>
    </row>
    <row r="223" spans="1:3">
      <c r="A223" t="s">
        <v>676</v>
      </c>
      <c r="B223" t="s">
        <v>125</v>
      </c>
      <c r="C223">
        <v>6</v>
      </c>
    </row>
    <row r="224" spans="1:3">
      <c r="A224" t="s">
        <v>253</v>
      </c>
      <c r="B224" t="s">
        <v>32</v>
      </c>
      <c r="C224">
        <v>9</v>
      </c>
    </row>
    <row r="225" spans="1:3">
      <c r="A225" t="s">
        <v>677</v>
      </c>
      <c r="B225" t="s">
        <v>319</v>
      </c>
      <c r="C225">
        <v>6</v>
      </c>
    </row>
    <row r="226" spans="1:3">
      <c r="A226" t="s">
        <v>678</v>
      </c>
      <c r="B226" t="s">
        <v>16</v>
      </c>
      <c r="C226">
        <v>3</v>
      </c>
    </row>
    <row r="227" spans="1:3">
      <c r="A227" t="s">
        <v>502</v>
      </c>
      <c r="B227" t="s">
        <v>128</v>
      </c>
      <c r="C227">
        <v>1</v>
      </c>
    </row>
    <row r="228" spans="1:3">
      <c r="A228" t="s">
        <v>679</v>
      </c>
      <c r="B228" t="s">
        <v>30</v>
      </c>
      <c r="C228">
        <v>2</v>
      </c>
    </row>
    <row r="229" spans="1:3">
      <c r="A229" t="s">
        <v>241</v>
      </c>
      <c r="B229" t="s">
        <v>6</v>
      </c>
      <c r="C229">
        <v>5</v>
      </c>
    </row>
    <row r="230" spans="1:3">
      <c r="A230" t="s">
        <v>680</v>
      </c>
      <c r="B230" t="s">
        <v>26</v>
      </c>
      <c r="C230">
        <v>3</v>
      </c>
    </row>
    <row r="231" spans="1:3">
      <c r="A231" t="s">
        <v>681</v>
      </c>
      <c r="B231" t="s">
        <v>6</v>
      </c>
      <c r="C231">
        <v>3</v>
      </c>
    </row>
    <row r="232" spans="1:3">
      <c r="A232" t="s">
        <v>682</v>
      </c>
      <c r="B232" t="s">
        <v>128</v>
      </c>
      <c r="C232">
        <v>2</v>
      </c>
    </row>
    <row r="233" spans="1:3">
      <c r="A233" t="s">
        <v>77</v>
      </c>
      <c r="B233" t="s">
        <v>22</v>
      </c>
      <c r="C233">
        <v>27</v>
      </c>
    </row>
    <row r="234" spans="1:3">
      <c r="A234" t="s">
        <v>683</v>
      </c>
      <c r="B234" t="s">
        <v>560</v>
      </c>
      <c r="C234">
        <v>1</v>
      </c>
    </row>
    <row r="235" spans="1:3">
      <c r="A235" t="s">
        <v>684</v>
      </c>
      <c r="B235" t="s">
        <v>131</v>
      </c>
      <c r="C235">
        <v>2</v>
      </c>
    </row>
    <row r="236" spans="1:3">
      <c r="A236" t="s">
        <v>685</v>
      </c>
      <c r="B236" t="s">
        <v>19</v>
      </c>
      <c r="C236">
        <v>1</v>
      </c>
    </row>
    <row r="237" spans="1:3">
      <c r="A237" t="s">
        <v>443</v>
      </c>
      <c r="B237" t="s">
        <v>16</v>
      </c>
      <c r="C237">
        <v>2</v>
      </c>
    </row>
    <row r="238" spans="1:3">
      <c r="A238" t="s">
        <v>686</v>
      </c>
      <c r="B238" t="s">
        <v>4</v>
      </c>
      <c r="C238">
        <v>2</v>
      </c>
    </row>
    <row r="239" spans="1:3">
      <c r="A239" t="s">
        <v>687</v>
      </c>
      <c r="B239" t="s">
        <v>34</v>
      </c>
      <c r="C239">
        <v>2</v>
      </c>
    </row>
    <row r="240" spans="1:3">
      <c r="A240" t="s">
        <v>688</v>
      </c>
      <c r="B240" t="s">
        <v>131</v>
      </c>
      <c r="C240">
        <v>1</v>
      </c>
    </row>
    <row r="241" spans="1:3">
      <c r="A241" t="s">
        <v>689</v>
      </c>
      <c r="B241" t="s">
        <v>30</v>
      </c>
      <c r="C241">
        <v>1</v>
      </c>
    </row>
    <row r="242" spans="1:3">
      <c r="A242" t="s">
        <v>690</v>
      </c>
      <c r="B242" t="s">
        <v>561</v>
      </c>
      <c r="C242">
        <v>6</v>
      </c>
    </row>
    <row r="243" spans="1:3">
      <c r="A243" t="s">
        <v>691</v>
      </c>
      <c r="B243" t="s">
        <v>16</v>
      </c>
      <c r="C243">
        <v>5</v>
      </c>
    </row>
    <row r="244" spans="1:3">
      <c r="A244" t="s">
        <v>692</v>
      </c>
      <c r="B244" t="s">
        <v>30</v>
      </c>
      <c r="C244">
        <v>6</v>
      </c>
    </row>
    <row r="245" spans="1:3">
      <c r="A245" t="s">
        <v>198</v>
      </c>
      <c r="B245" t="s">
        <v>125</v>
      </c>
      <c r="C245">
        <v>14</v>
      </c>
    </row>
    <row r="246" spans="1:3">
      <c r="A246" t="s">
        <v>174</v>
      </c>
      <c r="B246" t="s">
        <v>64</v>
      </c>
      <c r="C246">
        <v>3</v>
      </c>
    </row>
    <row r="247" spans="1:3">
      <c r="A247" t="s">
        <v>693</v>
      </c>
      <c r="B247" t="s">
        <v>694</v>
      </c>
      <c r="C247">
        <v>6</v>
      </c>
    </row>
    <row r="248" spans="1:3">
      <c r="A248" t="s">
        <v>192</v>
      </c>
      <c r="B248" t="s">
        <v>30</v>
      </c>
      <c r="C248">
        <v>13</v>
      </c>
    </row>
    <row r="249" spans="1:3">
      <c r="A249" t="s">
        <v>285</v>
      </c>
      <c r="B249" t="s">
        <v>128</v>
      </c>
      <c r="C249">
        <v>5</v>
      </c>
    </row>
    <row r="250" spans="1:3">
      <c r="A250" t="s">
        <v>695</v>
      </c>
      <c r="B250" t="s">
        <v>16</v>
      </c>
      <c r="C250">
        <v>5</v>
      </c>
    </row>
    <row r="251" spans="1:3">
      <c r="A251" t="s">
        <v>423</v>
      </c>
      <c r="B251" t="s">
        <v>4</v>
      </c>
      <c r="C251">
        <v>14</v>
      </c>
    </row>
    <row r="252" spans="1:3">
      <c r="A252" t="s">
        <v>696</v>
      </c>
      <c r="B252" t="s">
        <v>16</v>
      </c>
      <c r="C252">
        <v>1</v>
      </c>
    </row>
    <row r="253" spans="1:3">
      <c r="A253" t="s">
        <v>697</v>
      </c>
      <c r="B253" t="s">
        <v>22</v>
      </c>
      <c r="C253">
        <v>1</v>
      </c>
    </row>
    <row r="254" spans="1:3">
      <c r="A254" t="s">
        <v>262</v>
      </c>
      <c r="B254" t="s">
        <v>26</v>
      </c>
      <c r="C254">
        <v>7</v>
      </c>
    </row>
    <row r="255" spans="1:3">
      <c r="A255" t="s">
        <v>698</v>
      </c>
      <c r="B255" t="s">
        <v>32</v>
      </c>
      <c r="C255">
        <v>2</v>
      </c>
    </row>
    <row r="256" spans="1:3">
      <c r="A256" t="s">
        <v>367</v>
      </c>
      <c r="B256" t="s">
        <v>64</v>
      </c>
      <c r="C256">
        <v>7</v>
      </c>
    </row>
    <row r="257" spans="1:3">
      <c r="A257" t="s">
        <v>699</v>
      </c>
      <c r="B257" t="s">
        <v>24</v>
      </c>
      <c r="C257">
        <v>4</v>
      </c>
    </row>
    <row r="258" spans="1:3">
      <c r="A258" t="s">
        <v>700</v>
      </c>
      <c r="B258" t="s">
        <v>61</v>
      </c>
      <c r="C258">
        <v>1</v>
      </c>
    </row>
    <row r="259" spans="1:3">
      <c r="A259" t="s">
        <v>436</v>
      </c>
      <c r="B259" t="s">
        <v>16</v>
      </c>
      <c r="C259">
        <v>2</v>
      </c>
    </row>
    <row r="260" spans="1:3">
      <c r="A260" t="s">
        <v>269</v>
      </c>
      <c r="B260" t="s">
        <v>16</v>
      </c>
      <c r="C260">
        <v>3</v>
      </c>
    </row>
    <row r="261" spans="1:3">
      <c r="A261" t="s">
        <v>232</v>
      </c>
      <c r="B261" t="s">
        <v>128</v>
      </c>
      <c r="C261">
        <v>3</v>
      </c>
    </row>
    <row r="262" spans="1:3">
      <c r="A262" t="s">
        <v>701</v>
      </c>
      <c r="B262" t="s">
        <v>128</v>
      </c>
      <c r="C262">
        <v>1</v>
      </c>
    </row>
    <row r="263" spans="1:3">
      <c r="A263" t="s">
        <v>183</v>
      </c>
      <c r="B263" t="s">
        <v>30</v>
      </c>
      <c r="C263">
        <v>1</v>
      </c>
    </row>
    <row r="264" spans="1:3">
      <c r="A264" t="s">
        <v>702</v>
      </c>
      <c r="B264" t="s">
        <v>125</v>
      </c>
      <c r="C264">
        <v>1</v>
      </c>
    </row>
    <row r="265" spans="1:3">
      <c r="A265" t="s">
        <v>703</v>
      </c>
      <c r="B265" t="s">
        <v>125</v>
      </c>
      <c r="C265">
        <v>3</v>
      </c>
    </row>
    <row r="266" spans="1:3">
      <c r="A266" t="s">
        <v>704</v>
      </c>
      <c r="B266" t="s">
        <v>64</v>
      </c>
      <c r="C266">
        <v>2</v>
      </c>
    </row>
    <row r="267" spans="1:3">
      <c r="A267" t="s">
        <v>438</v>
      </c>
      <c r="B267" t="s">
        <v>19</v>
      </c>
      <c r="C267">
        <v>5</v>
      </c>
    </row>
    <row r="268" spans="1:3">
      <c r="A268" t="s">
        <v>705</v>
      </c>
      <c r="B268" t="s">
        <v>61</v>
      </c>
      <c r="C268">
        <v>1</v>
      </c>
    </row>
    <row r="269" spans="1:3">
      <c r="A269" t="s">
        <v>706</v>
      </c>
      <c r="B269" t="s">
        <v>113</v>
      </c>
      <c r="C269">
        <v>1</v>
      </c>
    </row>
    <row r="270" spans="1:3">
      <c r="A270" t="s">
        <v>707</v>
      </c>
      <c r="B270" t="s">
        <v>64</v>
      </c>
      <c r="C270">
        <v>1</v>
      </c>
    </row>
    <row r="271" spans="1:3">
      <c r="A271" t="s">
        <v>708</v>
      </c>
      <c r="B271" t="s">
        <v>16</v>
      </c>
      <c r="C271">
        <v>19</v>
      </c>
    </row>
    <row r="272" spans="1:3">
      <c r="A272" t="s">
        <v>199</v>
      </c>
      <c r="B272" t="s">
        <v>131</v>
      </c>
      <c r="C272">
        <v>4</v>
      </c>
    </row>
    <row r="273" spans="1:3">
      <c r="A273" t="s">
        <v>447</v>
      </c>
      <c r="B273" t="s">
        <v>26</v>
      </c>
      <c r="C273">
        <v>3</v>
      </c>
    </row>
    <row r="274" spans="1:3">
      <c r="A274" t="s">
        <v>107</v>
      </c>
      <c r="B274" t="s">
        <v>30</v>
      </c>
      <c r="C274">
        <v>2</v>
      </c>
    </row>
    <row r="275" spans="1:3">
      <c r="A275" t="s">
        <v>81</v>
      </c>
      <c r="B275" t="s">
        <v>64</v>
      </c>
      <c r="C275">
        <v>2</v>
      </c>
    </row>
    <row r="276" spans="1:3">
      <c r="A276" t="s">
        <v>709</v>
      </c>
      <c r="B276" t="s">
        <v>16</v>
      </c>
      <c r="C276">
        <v>1</v>
      </c>
    </row>
    <row r="277" spans="1:3">
      <c r="A277" t="s">
        <v>252</v>
      </c>
      <c r="B277" t="s">
        <v>128</v>
      </c>
      <c r="C277">
        <v>2</v>
      </c>
    </row>
    <row r="278" spans="1:3">
      <c r="A278" t="s">
        <v>710</v>
      </c>
      <c r="B278" t="s">
        <v>131</v>
      </c>
      <c r="C278">
        <v>4</v>
      </c>
    </row>
    <row r="279" spans="1:3">
      <c r="A279" t="s">
        <v>711</v>
      </c>
      <c r="B279" t="s">
        <v>64</v>
      </c>
      <c r="C279">
        <v>1</v>
      </c>
    </row>
    <row r="280" spans="1:3">
      <c r="A280" t="s">
        <v>494</v>
      </c>
      <c r="B280" t="s">
        <v>138</v>
      </c>
      <c r="C280">
        <v>5</v>
      </c>
    </row>
    <row r="281" spans="1:3">
      <c r="A281" t="s">
        <v>478</v>
      </c>
      <c r="B281" t="s">
        <v>128</v>
      </c>
      <c r="C281">
        <v>2</v>
      </c>
    </row>
    <row r="282" spans="1:3">
      <c r="A282" t="s">
        <v>712</v>
      </c>
      <c r="B282" t="s">
        <v>118</v>
      </c>
      <c r="C282">
        <v>1</v>
      </c>
    </row>
    <row r="283" spans="1:3">
      <c r="A283" t="s">
        <v>713</v>
      </c>
      <c r="B283" t="s">
        <v>134</v>
      </c>
      <c r="C283">
        <v>2</v>
      </c>
    </row>
    <row r="284" spans="1:3">
      <c r="A284" t="s">
        <v>714</v>
      </c>
      <c r="B284" t="s">
        <v>32</v>
      </c>
      <c r="C284">
        <v>1</v>
      </c>
    </row>
    <row r="285" spans="1:3">
      <c r="A285" t="s">
        <v>715</v>
      </c>
      <c r="B285" t="s">
        <v>134</v>
      </c>
      <c r="C285">
        <v>1</v>
      </c>
    </row>
    <row r="286" spans="1:3">
      <c r="A286" t="s">
        <v>716</v>
      </c>
      <c r="B286" t="s">
        <v>26</v>
      </c>
      <c r="C286">
        <v>1</v>
      </c>
    </row>
    <row r="287" spans="1:3">
      <c r="A287" t="s">
        <v>452</v>
      </c>
      <c r="B287" t="s">
        <v>125</v>
      </c>
      <c r="C287">
        <v>1</v>
      </c>
    </row>
    <row r="288" spans="1:3">
      <c r="A288" t="s">
        <v>165</v>
      </c>
      <c r="B288" t="s">
        <v>61</v>
      </c>
      <c r="C288">
        <v>4</v>
      </c>
    </row>
    <row r="289" spans="1:3">
      <c r="A289" t="s">
        <v>717</v>
      </c>
      <c r="B289" t="s">
        <v>34</v>
      </c>
      <c r="C289">
        <v>1</v>
      </c>
    </row>
    <row r="290" spans="1:3">
      <c r="A290" t="s">
        <v>718</v>
      </c>
      <c r="B290" t="s">
        <v>64</v>
      </c>
      <c r="C290">
        <v>1</v>
      </c>
    </row>
    <row r="291" spans="1:3">
      <c r="A291" t="s">
        <v>719</v>
      </c>
      <c r="B291" t="s">
        <v>64</v>
      </c>
      <c r="C291">
        <v>1</v>
      </c>
    </row>
    <row r="292" spans="1:3">
      <c r="A292" t="s">
        <v>720</v>
      </c>
      <c r="B292" t="s">
        <v>64</v>
      </c>
      <c r="C292">
        <v>2</v>
      </c>
    </row>
    <row r="293" spans="1:3">
      <c r="A293" t="s">
        <v>274</v>
      </c>
      <c r="B293" t="s">
        <v>319</v>
      </c>
      <c r="C293">
        <v>5</v>
      </c>
    </row>
    <row r="294" spans="1:3">
      <c r="A294" t="s">
        <v>721</v>
      </c>
      <c r="B294" t="s">
        <v>125</v>
      </c>
      <c r="C294">
        <v>1</v>
      </c>
    </row>
    <row r="295" spans="1:3">
      <c r="A295" t="s">
        <v>722</v>
      </c>
      <c r="B295" t="s">
        <v>4</v>
      </c>
      <c r="C295">
        <v>1</v>
      </c>
    </row>
    <row r="296" spans="1:3">
      <c r="A296" t="s">
        <v>390</v>
      </c>
      <c r="B296" t="s">
        <v>16</v>
      </c>
      <c r="C296">
        <v>4</v>
      </c>
    </row>
    <row r="297" spans="1:3">
      <c r="A297" t="s">
        <v>380</v>
      </c>
      <c r="B297" t="s">
        <v>30</v>
      </c>
      <c r="C297">
        <v>3</v>
      </c>
    </row>
    <row r="298" spans="1:3">
      <c r="A298" t="s">
        <v>136</v>
      </c>
      <c r="B298" t="s">
        <v>131</v>
      </c>
      <c r="C298">
        <v>5</v>
      </c>
    </row>
    <row r="299" spans="1:3">
      <c r="A299" t="s">
        <v>723</v>
      </c>
      <c r="B299" t="s">
        <v>142</v>
      </c>
      <c r="C299">
        <v>2</v>
      </c>
    </row>
    <row r="300" spans="1:3">
      <c r="A300" t="s">
        <v>724</v>
      </c>
      <c r="B300" t="s">
        <v>128</v>
      </c>
      <c r="C300">
        <v>2</v>
      </c>
    </row>
    <row r="301" spans="1:3">
      <c r="A301" t="s">
        <v>173</v>
      </c>
      <c r="B301" t="s">
        <v>138</v>
      </c>
      <c r="C301">
        <v>1</v>
      </c>
    </row>
    <row r="302" spans="1:3">
      <c r="A302" t="s">
        <v>302</v>
      </c>
      <c r="B302" t="s">
        <v>34</v>
      </c>
      <c r="C302">
        <v>3</v>
      </c>
    </row>
    <row r="303" spans="1:3">
      <c r="A303" t="s">
        <v>552</v>
      </c>
      <c r="B303" t="s">
        <v>128</v>
      </c>
      <c r="C303">
        <v>1</v>
      </c>
    </row>
    <row r="304" spans="1:3">
      <c r="A304" t="s">
        <v>725</v>
      </c>
      <c r="B304" t="s">
        <v>30</v>
      </c>
      <c r="C304">
        <v>2</v>
      </c>
    </row>
    <row r="305" spans="1:3">
      <c r="A305" t="s">
        <v>127</v>
      </c>
      <c r="B305" t="s">
        <v>64</v>
      </c>
      <c r="C305">
        <v>9</v>
      </c>
    </row>
    <row r="306" spans="1:3">
      <c r="A306" t="s">
        <v>726</v>
      </c>
      <c r="B306" t="s">
        <v>128</v>
      </c>
      <c r="C306">
        <v>1</v>
      </c>
    </row>
    <row r="307" spans="1:3">
      <c r="A307" t="s">
        <v>727</v>
      </c>
      <c r="B307" t="s">
        <v>26</v>
      </c>
      <c r="C307">
        <v>1</v>
      </c>
    </row>
    <row r="308" spans="1:3">
      <c r="A308" t="s">
        <v>728</v>
      </c>
      <c r="B308" t="s">
        <v>16</v>
      </c>
      <c r="C308">
        <v>3</v>
      </c>
    </row>
    <row r="309" spans="1:3">
      <c r="A309" t="s">
        <v>280</v>
      </c>
      <c r="B309" t="s">
        <v>128</v>
      </c>
      <c r="C309">
        <v>5</v>
      </c>
    </row>
    <row r="310" spans="1:3">
      <c r="A310" t="s">
        <v>729</v>
      </c>
      <c r="B310" t="s">
        <v>561</v>
      </c>
      <c r="C310">
        <v>1</v>
      </c>
    </row>
    <row r="311" spans="1:3">
      <c r="A311" t="s">
        <v>730</v>
      </c>
      <c r="B311" t="s">
        <v>34</v>
      </c>
      <c r="C311">
        <v>1</v>
      </c>
    </row>
    <row r="312" spans="1:3">
      <c r="A312" t="s">
        <v>106</v>
      </c>
      <c r="B312" t="s">
        <v>16</v>
      </c>
      <c r="C312">
        <v>5</v>
      </c>
    </row>
    <row r="313" spans="1:3">
      <c r="A313" t="s">
        <v>449</v>
      </c>
      <c r="B313" t="s">
        <v>26</v>
      </c>
      <c r="C313">
        <v>3</v>
      </c>
    </row>
    <row r="314" spans="1:3">
      <c r="A314" t="s">
        <v>731</v>
      </c>
      <c r="B314" t="s">
        <v>16</v>
      </c>
      <c r="C314">
        <v>1</v>
      </c>
    </row>
    <row r="315" spans="1:3">
      <c r="A315" t="s">
        <v>732</v>
      </c>
      <c r="B315" t="s">
        <v>128</v>
      </c>
      <c r="C315">
        <v>1</v>
      </c>
    </row>
    <row r="316" spans="1:3">
      <c r="A316" t="s">
        <v>733</v>
      </c>
      <c r="B316" t="s">
        <v>30</v>
      </c>
      <c r="C316">
        <v>1</v>
      </c>
    </row>
    <row r="317" spans="1:3">
      <c r="A317" t="s">
        <v>201</v>
      </c>
      <c r="B317" t="s">
        <v>16</v>
      </c>
      <c r="C317">
        <v>20</v>
      </c>
    </row>
    <row r="318" spans="1:3">
      <c r="A318" t="s">
        <v>228</v>
      </c>
      <c r="B318" t="s">
        <v>118</v>
      </c>
      <c r="C318">
        <v>7</v>
      </c>
    </row>
    <row r="319" spans="1:3">
      <c r="A319" t="s">
        <v>734</v>
      </c>
      <c r="B319" t="s">
        <v>131</v>
      </c>
      <c r="C319">
        <v>1</v>
      </c>
    </row>
    <row r="320" spans="1:3">
      <c r="A320" t="s">
        <v>474</v>
      </c>
      <c r="B320" t="s">
        <v>26</v>
      </c>
      <c r="C320">
        <v>10</v>
      </c>
    </row>
    <row r="321" spans="1:3">
      <c r="A321" t="s">
        <v>735</v>
      </c>
      <c r="B321" t="s">
        <v>61</v>
      </c>
      <c r="C321">
        <v>1</v>
      </c>
    </row>
    <row r="322" spans="1:3">
      <c r="A322" t="s">
        <v>736</v>
      </c>
      <c r="B322" t="s">
        <v>4</v>
      </c>
      <c r="C322">
        <v>1</v>
      </c>
    </row>
    <row r="323" spans="1:3">
      <c r="A323" t="s">
        <v>737</v>
      </c>
      <c r="B323" t="s">
        <v>30</v>
      </c>
      <c r="C323">
        <v>2</v>
      </c>
    </row>
    <row r="324" spans="1:3">
      <c r="A324" t="s">
        <v>738</v>
      </c>
      <c r="B324" t="s">
        <v>16</v>
      </c>
      <c r="C324">
        <v>1</v>
      </c>
    </row>
    <row r="325" spans="1:3">
      <c r="A325" t="s">
        <v>360</v>
      </c>
      <c r="B325" t="s">
        <v>16</v>
      </c>
      <c r="C325">
        <v>3</v>
      </c>
    </row>
    <row r="326" spans="1:3">
      <c r="A326" t="s">
        <v>204</v>
      </c>
      <c r="B326" t="s">
        <v>16</v>
      </c>
      <c r="C326">
        <v>4</v>
      </c>
    </row>
    <row r="327" spans="1:3">
      <c r="A327" t="s">
        <v>739</v>
      </c>
      <c r="B327" t="s">
        <v>22</v>
      </c>
      <c r="C327">
        <v>5</v>
      </c>
    </row>
    <row r="328" spans="1:3">
      <c r="A328" t="s">
        <v>740</v>
      </c>
      <c r="B328" t="s">
        <v>22</v>
      </c>
      <c r="C328">
        <v>1</v>
      </c>
    </row>
    <row r="329" spans="1:3">
      <c r="A329" t="s">
        <v>425</v>
      </c>
      <c r="B329" t="s">
        <v>22</v>
      </c>
      <c r="C329">
        <v>2</v>
      </c>
    </row>
    <row r="330" spans="1:3">
      <c r="A330" t="s">
        <v>741</v>
      </c>
      <c r="B330" t="s">
        <v>19</v>
      </c>
      <c r="C330">
        <v>2</v>
      </c>
    </row>
    <row r="331" spans="1:3">
      <c r="A331" t="s">
        <v>742</v>
      </c>
      <c r="B331" t="s">
        <v>319</v>
      </c>
      <c r="C331">
        <v>2</v>
      </c>
    </row>
    <row r="332" spans="1:3">
      <c r="A332" t="s">
        <v>743</v>
      </c>
      <c r="B332" t="s">
        <v>16</v>
      </c>
      <c r="C332">
        <v>2</v>
      </c>
    </row>
    <row r="333" spans="1:3">
      <c r="A333" t="s">
        <v>187</v>
      </c>
      <c r="B333" t="s">
        <v>16</v>
      </c>
      <c r="C333">
        <v>2</v>
      </c>
    </row>
    <row r="334" spans="1:3">
      <c r="A334" t="s">
        <v>744</v>
      </c>
      <c r="B334" t="s">
        <v>26</v>
      </c>
      <c r="C334">
        <v>2</v>
      </c>
    </row>
    <row r="335" spans="1:3">
      <c r="A335" t="s">
        <v>745</v>
      </c>
      <c r="B335" t="s">
        <v>125</v>
      </c>
      <c r="C335">
        <v>2</v>
      </c>
    </row>
    <row r="336" spans="1:3">
      <c r="A336" t="s">
        <v>746</v>
      </c>
      <c r="B336" t="s">
        <v>64</v>
      </c>
      <c r="C336">
        <v>4</v>
      </c>
    </row>
    <row r="337" spans="1:3">
      <c r="A337" t="s">
        <v>747</v>
      </c>
      <c r="B337" t="s">
        <v>64</v>
      </c>
      <c r="C337">
        <v>2</v>
      </c>
    </row>
    <row r="338" spans="1:3">
      <c r="A338" t="s">
        <v>748</v>
      </c>
      <c r="B338" t="s">
        <v>131</v>
      </c>
      <c r="C338">
        <v>3</v>
      </c>
    </row>
    <row r="339" spans="1:3">
      <c r="A339" t="s">
        <v>231</v>
      </c>
      <c r="B339" t="s">
        <v>30</v>
      </c>
      <c r="C339">
        <v>4</v>
      </c>
    </row>
    <row r="340" spans="1:3">
      <c r="A340" t="s">
        <v>207</v>
      </c>
      <c r="B340" t="s">
        <v>64</v>
      </c>
      <c r="C340">
        <v>2</v>
      </c>
    </row>
    <row r="341" spans="1:3">
      <c r="A341" t="s">
        <v>749</v>
      </c>
      <c r="B341" t="s">
        <v>4</v>
      </c>
      <c r="C341">
        <v>2</v>
      </c>
    </row>
    <row r="342" spans="1:3">
      <c r="A342" t="s">
        <v>750</v>
      </c>
      <c r="B342" t="s">
        <v>64</v>
      </c>
      <c r="C342">
        <v>2</v>
      </c>
    </row>
    <row r="343" spans="1:3">
      <c r="A343" t="s">
        <v>146</v>
      </c>
      <c r="B343" t="s">
        <v>64</v>
      </c>
      <c r="C343">
        <v>5</v>
      </c>
    </row>
    <row r="344" spans="1:3">
      <c r="A344" t="s">
        <v>751</v>
      </c>
      <c r="B344" t="s">
        <v>30</v>
      </c>
      <c r="C344">
        <v>2</v>
      </c>
    </row>
    <row r="345" spans="1:3">
      <c r="A345" t="s">
        <v>752</v>
      </c>
      <c r="B345" t="s">
        <v>64</v>
      </c>
      <c r="C345">
        <v>2</v>
      </c>
    </row>
    <row r="346" spans="1:3">
      <c r="A346" t="s">
        <v>311</v>
      </c>
      <c r="B346" t="s">
        <v>64</v>
      </c>
      <c r="C346">
        <v>3</v>
      </c>
    </row>
    <row r="347" spans="1:3">
      <c r="A347" t="s">
        <v>753</v>
      </c>
      <c r="B347" t="s">
        <v>16</v>
      </c>
      <c r="C347">
        <v>3</v>
      </c>
    </row>
    <row r="348" spans="1:3">
      <c r="A348" t="s">
        <v>166</v>
      </c>
      <c r="B348" t="s">
        <v>131</v>
      </c>
      <c r="C348">
        <v>4</v>
      </c>
    </row>
    <row r="349" spans="1:3">
      <c r="A349" t="s">
        <v>226</v>
      </c>
      <c r="B349" t="s">
        <v>64</v>
      </c>
      <c r="C349">
        <v>2</v>
      </c>
    </row>
    <row r="350" spans="1:3">
      <c r="A350" t="s">
        <v>754</v>
      </c>
      <c r="B350" t="s">
        <v>24</v>
      </c>
      <c r="C350">
        <v>5</v>
      </c>
    </row>
    <row r="351" spans="1:3">
      <c r="A351" t="s">
        <v>755</v>
      </c>
      <c r="B351" t="s">
        <v>125</v>
      </c>
      <c r="C351">
        <v>2</v>
      </c>
    </row>
    <row r="352" spans="1:3">
      <c r="A352" t="s">
        <v>756</v>
      </c>
      <c r="B352" t="s">
        <v>61</v>
      </c>
      <c r="C352">
        <v>3</v>
      </c>
    </row>
    <row r="353" spans="1:3">
      <c r="A353" t="s">
        <v>757</v>
      </c>
      <c r="B353" t="s">
        <v>6</v>
      </c>
      <c r="C353">
        <v>2</v>
      </c>
    </row>
    <row r="354" spans="1:3">
      <c r="A354" t="s">
        <v>463</v>
      </c>
      <c r="B354" t="s">
        <v>61</v>
      </c>
      <c r="C354">
        <v>2</v>
      </c>
    </row>
    <row r="355" spans="1:3">
      <c r="A355" t="s">
        <v>179</v>
      </c>
      <c r="B355" t="s">
        <v>131</v>
      </c>
      <c r="C355">
        <v>5</v>
      </c>
    </row>
    <row r="356" spans="1:3">
      <c r="A356" t="s">
        <v>193</v>
      </c>
      <c r="B356" t="s">
        <v>64</v>
      </c>
      <c r="C356">
        <v>4</v>
      </c>
    </row>
    <row r="357" spans="1:3">
      <c r="A357" t="s">
        <v>215</v>
      </c>
      <c r="B357" t="s">
        <v>115</v>
      </c>
      <c r="C357">
        <v>2</v>
      </c>
    </row>
    <row r="358" spans="1:3">
      <c r="A358" t="s">
        <v>758</v>
      </c>
      <c r="B358" t="s">
        <v>64</v>
      </c>
      <c r="C358">
        <v>2</v>
      </c>
    </row>
    <row r="359" spans="1:3">
      <c r="A359" t="s">
        <v>315</v>
      </c>
      <c r="B359" t="s">
        <v>16</v>
      </c>
      <c r="C359">
        <v>2</v>
      </c>
    </row>
    <row r="360" spans="1:3">
      <c r="A360" t="s">
        <v>147</v>
      </c>
      <c r="B360" t="s">
        <v>131</v>
      </c>
      <c r="C360">
        <v>3</v>
      </c>
    </row>
    <row r="361" spans="1:3">
      <c r="A361" t="s">
        <v>759</v>
      </c>
      <c r="B361" t="s">
        <v>24</v>
      </c>
      <c r="C361">
        <v>4</v>
      </c>
    </row>
    <row r="362" spans="1:3">
      <c r="A362" t="s">
        <v>150</v>
      </c>
      <c r="B362" t="s">
        <v>16</v>
      </c>
      <c r="C362">
        <v>2</v>
      </c>
    </row>
    <row r="363" spans="1:3">
      <c r="A363" t="s">
        <v>760</v>
      </c>
      <c r="B363" t="s">
        <v>22</v>
      </c>
      <c r="C363">
        <v>2</v>
      </c>
    </row>
    <row r="364" spans="1:3">
      <c r="A364" t="s">
        <v>761</v>
      </c>
      <c r="B364" t="s">
        <v>585</v>
      </c>
      <c r="C364">
        <v>2</v>
      </c>
    </row>
    <row r="365" spans="1:3">
      <c r="A365" t="s">
        <v>762</v>
      </c>
      <c r="B365" t="s">
        <v>4</v>
      </c>
      <c r="C365">
        <v>3</v>
      </c>
    </row>
    <row r="366" spans="1:3">
      <c r="A366" t="s">
        <v>763</v>
      </c>
      <c r="B366" t="s">
        <v>4</v>
      </c>
      <c r="C366">
        <v>3</v>
      </c>
    </row>
    <row r="367" spans="1:3">
      <c r="A367" t="s">
        <v>764</v>
      </c>
      <c r="B367" t="s">
        <v>138</v>
      </c>
      <c r="C367">
        <v>3</v>
      </c>
    </row>
    <row r="368" spans="1:3">
      <c r="A368" t="s">
        <v>765</v>
      </c>
      <c r="B368" t="s">
        <v>26</v>
      </c>
      <c r="C368">
        <v>1</v>
      </c>
    </row>
    <row r="369" spans="1:3">
      <c r="A369" t="s">
        <v>766</v>
      </c>
      <c r="B369" t="s">
        <v>22</v>
      </c>
      <c r="C369">
        <v>1</v>
      </c>
    </row>
    <row r="370" spans="1:3">
      <c r="A370" t="s">
        <v>767</v>
      </c>
      <c r="B370" t="s">
        <v>125</v>
      </c>
      <c r="C370">
        <v>3</v>
      </c>
    </row>
    <row r="371" spans="1:3">
      <c r="A371" t="s">
        <v>294</v>
      </c>
      <c r="B371" t="s">
        <v>16</v>
      </c>
      <c r="C371">
        <v>6</v>
      </c>
    </row>
    <row r="372" spans="1:3">
      <c r="A372" t="s">
        <v>132</v>
      </c>
      <c r="B372" t="s">
        <v>30</v>
      </c>
      <c r="C372">
        <v>7</v>
      </c>
    </row>
    <row r="373" spans="1:3">
      <c r="A373" t="s">
        <v>768</v>
      </c>
      <c r="B373" t="s">
        <v>34</v>
      </c>
      <c r="C373">
        <v>1</v>
      </c>
    </row>
    <row r="374" spans="1:3">
      <c r="A374" t="s">
        <v>769</v>
      </c>
      <c r="B374" t="s">
        <v>64</v>
      </c>
      <c r="C374">
        <v>1</v>
      </c>
    </row>
    <row r="375" spans="1:3">
      <c r="A375" t="s">
        <v>770</v>
      </c>
      <c r="B375" t="s">
        <v>131</v>
      </c>
      <c r="C375">
        <v>3</v>
      </c>
    </row>
    <row r="376" spans="1:3">
      <c r="A376" t="s">
        <v>771</v>
      </c>
      <c r="B376" t="s">
        <v>113</v>
      </c>
      <c r="C376">
        <v>1</v>
      </c>
    </row>
    <row r="377" spans="1:3">
      <c r="A377" t="s">
        <v>772</v>
      </c>
      <c r="B377" t="s">
        <v>4</v>
      </c>
      <c r="C377">
        <v>1</v>
      </c>
    </row>
    <row r="378" spans="1:3">
      <c r="A378" t="s">
        <v>773</v>
      </c>
      <c r="B378" t="s">
        <v>30</v>
      </c>
      <c r="C378">
        <v>1</v>
      </c>
    </row>
    <row r="379" spans="1:3">
      <c r="A379" t="s">
        <v>774</v>
      </c>
      <c r="B379" t="s">
        <v>19</v>
      </c>
      <c r="C379">
        <v>2</v>
      </c>
    </row>
    <row r="380" spans="1:3">
      <c r="A380" t="s">
        <v>58</v>
      </c>
      <c r="B380" t="s">
        <v>16</v>
      </c>
      <c r="C380">
        <v>2</v>
      </c>
    </row>
    <row r="381" spans="1:3">
      <c r="A381" t="s">
        <v>775</v>
      </c>
      <c r="B381" t="s">
        <v>4</v>
      </c>
      <c r="C381">
        <v>1</v>
      </c>
    </row>
    <row r="382" spans="1:3">
      <c r="A382" t="s">
        <v>366</v>
      </c>
      <c r="B382" t="s">
        <v>64</v>
      </c>
      <c r="C382">
        <v>1</v>
      </c>
    </row>
    <row r="383" spans="1:3">
      <c r="A383" t="s">
        <v>776</v>
      </c>
      <c r="B383" t="s">
        <v>64</v>
      </c>
      <c r="C383">
        <v>1</v>
      </c>
    </row>
    <row r="384" spans="1:3">
      <c r="A384" t="s">
        <v>777</v>
      </c>
      <c r="B384" t="s">
        <v>26</v>
      </c>
      <c r="C384">
        <v>1</v>
      </c>
    </row>
    <row r="385" spans="1:3">
      <c r="A385" t="s">
        <v>211</v>
      </c>
      <c r="B385" t="s">
        <v>30</v>
      </c>
      <c r="C385">
        <v>4</v>
      </c>
    </row>
    <row r="386" spans="1:3">
      <c r="A386" t="s">
        <v>242</v>
      </c>
      <c r="B386" t="s">
        <v>4</v>
      </c>
      <c r="C386">
        <v>1</v>
      </c>
    </row>
    <row r="387" spans="1:3">
      <c r="A387" t="s">
        <v>778</v>
      </c>
      <c r="B387" t="s">
        <v>61</v>
      </c>
      <c r="C387">
        <v>1</v>
      </c>
    </row>
    <row r="388" spans="1:3">
      <c r="A388" t="s">
        <v>779</v>
      </c>
      <c r="B388" t="s">
        <v>115</v>
      </c>
      <c r="C388">
        <v>1</v>
      </c>
    </row>
    <row r="389" spans="1:3">
      <c r="A389" t="s">
        <v>780</v>
      </c>
      <c r="B389" t="s">
        <v>115</v>
      </c>
      <c r="C389">
        <v>1</v>
      </c>
    </row>
    <row r="390" spans="1:3">
      <c r="A390" t="s">
        <v>781</v>
      </c>
      <c r="B390" t="s">
        <v>125</v>
      </c>
      <c r="C390">
        <v>4</v>
      </c>
    </row>
    <row r="391" spans="1:3">
      <c r="A391" t="s">
        <v>782</v>
      </c>
      <c r="B391" t="s">
        <v>138</v>
      </c>
      <c r="C391">
        <v>1</v>
      </c>
    </row>
    <row r="392" spans="1:3">
      <c r="A392" t="s">
        <v>783</v>
      </c>
      <c r="B392" t="s">
        <v>61</v>
      </c>
      <c r="C392">
        <v>1</v>
      </c>
    </row>
    <row r="393" spans="1:3">
      <c r="A393" t="s">
        <v>784</v>
      </c>
      <c r="B393" t="s">
        <v>30</v>
      </c>
      <c r="C393">
        <v>15</v>
      </c>
    </row>
    <row r="394" spans="1:3">
      <c r="A394" t="s">
        <v>785</v>
      </c>
      <c r="B394" t="s">
        <v>61</v>
      </c>
      <c r="C394">
        <v>1</v>
      </c>
    </row>
    <row r="395" spans="1:3">
      <c r="A395" t="s">
        <v>786</v>
      </c>
      <c r="B395" t="s">
        <v>64</v>
      </c>
      <c r="C395">
        <v>1</v>
      </c>
    </row>
    <row r="396" spans="1:3">
      <c r="A396" t="s">
        <v>787</v>
      </c>
      <c r="B396" t="s">
        <v>115</v>
      </c>
      <c r="C396">
        <v>1</v>
      </c>
    </row>
    <row r="397" spans="1:3">
      <c r="A397" t="s">
        <v>788</v>
      </c>
      <c r="B397" t="s">
        <v>694</v>
      </c>
      <c r="C397">
        <v>1</v>
      </c>
    </row>
    <row r="398" spans="1:3">
      <c r="A398" t="s">
        <v>479</v>
      </c>
      <c r="B398" t="s">
        <v>16</v>
      </c>
      <c r="C398">
        <v>2</v>
      </c>
    </row>
    <row r="399" spans="1:3">
      <c r="A399" t="s">
        <v>234</v>
      </c>
      <c r="B399" t="s">
        <v>128</v>
      </c>
      <c r="C399">
        <v>1</v>
      </c>
    </row>
    <row r="400" spans="1:3">
      <c r="A400" t="s">
        <v>789</v>
      </c>
      <c r="B400" t="s">
        <v>24</v>
      </c>
      <c r="C400">
        <v>1</v>
      </c>
    </row>
    <row r="401" spans="1:3">
      <c r="A401" t="s">
        <v>790</v>
      </c>
      <c r="B401" t="s">
        <v>113</v>
      </c>
      <c r="C401">
        <v>1</v>
      </c>
    </row>
    <row r="402" spans="1:3">
      <c r="A402" t="s">
        <v>791</v>
      </c>
      <c r="B402" t="s">
        <v>16</v>
      </c>
      <c r="C402">
        <v>1</v>
      </c>
    </row>
    <row r="403" spans="1:3">
      <c r="A403" t="s">
        <v>792</v>
      </c>
      <c r="B403" t="s">
        <v>64</v>
      </c>
      <c r="C403">
        <v>1</v>
      </c>
    </row>
    <row r="404" spans="1:3">
      <c r="A404" t="s">
        <v>435</v>
      </c>
      <c r="B404" t="s">
        <v>125</v>
      </c>
      <c r="C404">
        <v>1</v>
      </c>
    </row>
    <row r="405" spans="1:3">
      <c r="A405" t="s">
        <v>793</v>
      </c>
      <c r="B405" t="s">
        <v>131</v>
      </c>
      <c r="C405">
        <v>1</v>
      </c>
    </row>
    <row r="406" spans="1:3">
      <c r="A406" t="s">
        <v>794</v>
      </c>
      <c r="B406" t="s">
        <v>4</v>
      </c>
      <c r="C406">
        <v>1</v>
      </c>
    </row>
    <row r="407" spans="1:3">
      <c r="A407" t="s">
        <v>795</v>
      </c>
      <c r="B407" t="s">
        <v>16</v>
      </c>
      <c r="C407">
        <v>1</v>
      </c>
    </row>
    <row r="408" spans="1:3">
      <c r="A408" t="s">
        <v>796</v>
      </c>
      <c r="B408" t="s">
        <v>64</v>
      </c>
      <c r="C408">
        <v>1</v>
      </c>
    </row>
    <row r="409" spans="1:3">
      <c r="A409" t="s">
        <v>797</v>
      </c>
      <c r="B409" t="s">
        <v>16</v>
      </c>
      <c r="C409">
        <v>1</v>
      </c>
    </row>
    <row r="410" spans="1:3">
      <c r="A410" t="s">
        <v>798</v>
      </c>
      <c r="B410" t="s">
        <v>115</v>
      </c>
      <c r="C410">
        <v>1</v>
      </c>
    </row>
    <row r="411" spans="1:3">
      <c r="A411" t="s">
        <v>799</v>
      </c>
      <c r="B411" t="s">
        <v>115</v>
      </c>
      <c r="C411">
        <v>1</v>
      </c>
    </row>
    <row r="412" spans="1:3">
      <c r="A412" t="s">
        <v>267</v>
      </c>
      <c r="B412" t="s">
        <v>30</v>
      </c>
      <c r="C412">
        <v>1</v>
      </c>
    </row>
    <row r="413" spans="1:3">
      <c r="A413" t="s">
        <v>800</v>
      </c>
      <c r="B413" t="s">
        <v>30</v>
      </c>
      <c r="C413">
        <v>2</v>
      </c>
    </row>
    <row r="414" spans="1:3">
      <c r="A414" t="s">
        <v>801</v>
      </c>
      <c r="B414" t="s">
        <v>131</v>
      </c>
      <c r="C414">
        <v>2</v>
      </c>
    </row>
    <row r="415" spans="1:3">
      <c r="A415" t="s">
        <v>802</v>
      </c>
      <c r="B415" t="s">
        <v>64</v>
      </c>
      <c r="C415">
        <v>2</v>
      </c>
    </row>
    <row r="416" spans="1:3">
      <c r="A416" t="s">
        <v>495</v>
      </c>
      <c r="B416" t="s">
        <v>16</v>
      </c>
      <c r="C416">
        <v>1</v>
      </c>
    </row>
    <row r="417" spans="1:3">
      <c r="A417" t="s">
        <v>803</v>
      </c>
      <c r="B417" t="s">
        <v>64</v>
      </c>
      <c r="C417">
        <v>1</v>
      </c>
    </row>
    <row r="418" spans="1:3">
      <c r="A418" t="s">
        <v>804</v>
      </c>
      <c r="B418" t="s">
        <v>115</v>
      </c>
      <c r="C418">
        <v>1</v>
      </c>
    </row>
    <row r="419" spans="1:3">
      <c r="A419" t="s">
        <v>264</v>
      </c>
      <c r="B419" t="s">
        <v>16</v>
      </c>
      <c r="C419">
        <v>1</v>
      </c>
    </row>
    <row r="420" spans="1:3">
      <c r="A420" t="s">
        <v>805</v>
      </c>
      <c r="B420" t="s">
        <v>16</v>
      </c>
      <c r="C420">
        <v>1</v>
      </c>
    </row>
    <row r="421" spans="1:3">
      <c r="A421" t="s">
        <v>352</v>
      </c>
      <c r="B421" t="s">
        <v>26</v>
      </c>
      <c r="C421">
        <v>1</v>
      </c>
    </row>
    <row r="422" spans="1:3">
      <c r="A422" t="s">
        <v>399</v>
      </c>
      <c r="B422" t="s">
        <v>4</v>
      </c>
      <c r="C422">
        <v>1</v>
      </c>
    </row>
    <row r="423" spans="1:3">
      <c r="A423" t="s">
        <v>237</v>
      </c>
      <c r="B423" t="s">
        <v>26</v>
      </c>
      <c r="C423">
        <v>1</v>
      </c>
    </row>
    <row r="424" spans="1:3">
      <c r="A424" t="s">
        <v>806</v>
      </c>
      <c r="B424" t="s">
        <v>64</v>
      </c>
      <c r="C424">
        <v>1</v>
      </c>
    </row>
    <row r="425" spans="1:3">
      <c r="A425" t="s">
        <v>807</v>
      </c>
      <c r="B425" t="s">
        <v>16</v>
      </c>
      <c r="C425">
        <v>2</v>
      </c>
    </row>
    <row r="426" spans="1:3">
      <c r="A426" t="s">
        <v>75</v>
      </c>
      <c r="B426" t="s">
        <v>16</v>
      </c>
      <c r="C426">
        <v>1</v>
      </c>
    </row>
    <row r="427" spans="1:3">
      <c r="A427" t="s">
        <v>808</v>
      </c>
      <c r="B427" t="s">
        <v>131</v>
      </c>
      <c r="C427">
        <v>2</v>
      </c>
    </row>
    <row r="428" spans="1:3">
      <c r="A428" t="s">
        <v>170</v>
      </c>
      <c r="B428" t="s">
        <v>26</v>
      </c>
      <c r="C428">
        <v>1</v>
      </c>
    </row>
    <row r="429" spans="1:3">
      <c r="A429" t="s">
        <v>189</v>
      </c>
      <c r="B429" t="s">
        <v>138</v>
      </c>
      <c r="C429">
        <v>1</v>
      </c>
    </row>
    <row r="430" spans="1:3">
      <c r="A430" t="s">
        <v>809</v>
      </c>
      <c r="B430" t="s">
        <v>4</v>
      </c>
      <c r="C430">
        <v>2</v>
      </c>
    </row>
    <row r="431" spans="1:3">
      <c r="A431" t="s">
        <v>810</v>
      </c>
      <c r="B431" t="s">
        <v>30</v>
      </c>
      <c r="C431">
        <v>6</v>
      </c>
    </row>
    <row r="432" spans="1:3">
      <c r="A432" t="s">
        <v>811</v>
      </c>
      <c r="B432" t="s">
        <v>30</v>
      </c>
      <c r="C432">
        <v>6</v>
      </c>
    </row>
    <row r="433" spans="1:3">
      <c r="A433" t="s">
        <v>812</v>
      </c>
      <c r="B433" t="s">
        <v>30</v>
      </c>
      <c r="C433">
        <v>6</v>
      </c>
    </row>
    <row r="434" spans="1:3">
      <c r="A434" t="s">
        <v>160</v>
      </c>
      <c r="B434" t="s">
        <v>142</v>
      </c>
      <c r="C434">
        <v>7</v>
      </c>
    </row>
    <row r="435" spans="1:3">
      <c r="A435" t="s">
        <v>813</v>
      </c>
      <c r="B435" t="s">
        <v>30</v>
      </c>
      <c r="C435">
        <v>5</v>
      </c>
    </row>
    <row r="436" spans="1:3">
      <c r="A436" t="s">
        <v>814</v>
      </c>
      <c r="B436" t="s">
        <v>30</v>
      </c>
      <c r="C436">
        <v>6</v>
      </c>
    </row>
    <row r="437" spans="1:3">
      <c r="A437" t="s">
        <v>178</v>
      </c>
      <c r="B437" t="s">
        <v>131</v>
      </c>
      <c r="C437">
        <v>4</v>
      </c>
    </row>
    <row r="438" spans="1:3">
      <c r="A438" t="s">
        <v>301</v>
      </c>
      <c r="B438" t="s">
        <v>34</v>
      </c>
      <c r="C438">
        <v>1</v>
      </c>
    </row>
    <row r="439" spans="1:3">
      <c r="A439" t="s">
        <v>815</v>
      </c>
      <c r="B439" t="s">
        <v>30</v>
      </c>
      <c r="C439">
        <v>2</v>
      </c>
    </row>
    <row r="440" spans="1:3">
      <c r="A440" t="s">
        <v>816</v>
      </c>
      <c r="B440" t="s">
        <v>34</v>
      </c>
      <c r="C440">
        <v>1</v>
      </c>
    </row>
    <row r="441" spans="1:3">
      <c r="A441" t="s">
        <v>433</v>
      </c>
      <c r="B441" t="s">
        <v>26</v>
      </c>
      <c r="C441">
        <v>4</v>
      </c>
    </row>
    <row r="442" spans="1:3">
      <c r="A442" t="s">
        <v>355</v>
      </c>
      <c r="B442" t="s">
        <v>16</v>
      </c>
      <c r="C442">
        <v>4</v>
      </c>
    </row>
    <row r="443" spans="1:3">
      <c r="A443" t="s">
        <v>324</v>
      </c>
      <c r="B443" t="s">
        <v>34</v>
      </c>
      <c r="C443">
        <v>5</v>
      </c>
    </row>
    <row r="444" spans="1:3">
      <c r="A444" t="s">
        <v>432</v>
      </c>
      <c r="B444" t="s">
        <v>16</v>
      </c>
      <c r="C444">
        <v>5</v>
      </c>
    </row>
    <row r="445" spans="1:3">
      <c r="A445" t="s">
        <v>817</v>
      </c>
      <c r="B445" t="s">
        <v>16</v>
      </c>
      <c r="C445">
        <v>2</v>
      </c>
    </row>
    <row r="446" spans="1:3">
      <c r="A446" t="s">
        <v>818</v>
      </c>
      <c r="B446" t="s">
        <v>26</v>
      </c>
      <c r="C446">
        <v>1</v>
      </c>
    </row>
    <row r="447" spans="1:3">
      <c r="A447" t="s">
        <v>153</v>
      </c>
      <c r="B447" t="s">
        <v>30</v>
      </c>
      <c r="C447">
        <v>5</v>
      </c>
    </row>
    <row r="448" spans="1:3">
      <c r="A448" t="s">
        <v>172</v>
      </c>
      <c r="B448" t="s">
        <v>30</v>
      </c>
      <c r="C448">
        <v>1</v>
      </c>
    </row>
    <row r="449" spans="1:3">
      <c r="A449" t="s">
        <v>819</v>
      </c>
      <c r="B449" t="s">
        <v>26</v>
      </c>
      <c r="C449">
        <v>1</v>
      </c>
    </row>
    <row r="450" spans="1:3">
      <c r="A450" t="s">
        <v>820</v>
      </c>
      <c r="B450" t="s">
        <v>4</v>
      </c>
      <c r="C450">
        <v>1</v>
      </c>
    </row>
    <row r="451" spans="1:3">
      <c r="A451" t="s">
        <v>821</v>
      </c>
      <c r="B451" t="s">
        <v>128</v>
      </c>
      <c r="C451">
        <v>6</v>
      </c>
    </row>
    <row r="452" spans="1:3">
      <c r="A452" t="s">
        <v>822</v>
      </c>
      <c r="B452" t="s">
        <v>128</v>
      </c>
      <c r="C452">
        <v>7</v>
      </c>
    </row>
    <row r="453" spans="1:3">
      <c r="A453" t="s">
        <v>823</v>
      </c>
      <c r="B453" t="s">
        <v>22</v>
      </c>
      <c r="C453">
        <v>6</v>
      </c>
    </row>
    <row r="454" spans="1:3">
      <c r="A454" t="s">
        <v>824</v>
      </c>
      <c r="B454" t="s">
        <v>64</v>
      </c>
      <c r="C454">
        <v>2</v>
      </c>
    </row>
    <row r="455" spans="1:3">
      <c r="A455" t="s">
        <v>117</v>
      </c>
      <c r="B455" t="s">
        <v>16</v>
      </c>
      <c r="C455">
        <v>1</v>
      </c>
    </row>
    <row r="456" spans="1:3">
      <c r="A456" t="s">
        <v>825</v>
      </c>
      <c r="B456" t="s">
        <v>64</v>
      </c>
      <c r="C456">
        <v>2</v>
      </c>
    </row>
    <row r="457" spans="1:3">
      <c r="A457" t="s">
        <v>826</v>
      </c>
      <c r="B457" t="s">
        <v>319</v>
      </c>
      <c r="C457">
        <v>1</v>
      </c>
    </row>
    <row r="458" spans="1:3">
      <c r="A458" t="s">
        <v>161</v>
      </c>
      <c r="B458" t="s">
        <v>125</v>
      </c>
      <c r="C458">
        <v>4</v>
      </c>
    </row>
    <row r="459" spans="1:3">
      <c r="A459" t="s">
        <v>827</v>
      </c>
      <c r="B459" t="s">
        <v>30</v>
      </c>
      <c r="C459">
        <v>1</v>
      </c>
    </row>
    <row r="460" spans="1:3">
      <c r="A460" t="s">
        <v>828</v>
      </c>
      <c r="B460" t="s">
        <v>64</v>
      </c>
      <c r="C460">
        <v>1</v>
      </c>
    </row>
    <row r="461" spans="1:3">
      <c r="A461" t="s">
        <v>829</v>
      </c>
      <c r="B461" t="s">
        <v>30</v>
      </c>
      <c r="C461">
        <v>1</v>
      </c>
    </row>
    <row r="462" spans="1:3">
      <c r="A462" t="s">
        <v>830</v>
      </c>
      <c r="B462" t="s">
        <v>26</v>
      </c>
      <c r="C462">
        <v>1</v>
      </c>
    </row>
    <row r="463" spans="1:3">
      <c r="A463" t="s">
        <v>831</v>
      </c>
      <c r="B463" t="s">
        <v>32</v>
      </c>
      <c r="C463">
        <v>1</v>
      </c>
    </row>
    <row r="464" spans="1:3">
      <c r="A464" t="s">
        <v>832</v>
      </c>
      <c r="B464" t="s">
        <v>26</v>
      </c>
      <c r="C464">
        <v>1</v>
      </c>
    </row>
    <row r="465" spans="1:3">
      <c r="A465" t="s">
        <v>833</v>
      </c>
      <c r="B465" t="s">
        <v>22</v>
      </c>
      <c r="C465">
        <v>1</v>
      </c>
    </row>
    <row r="466" spans="1:3">
      <c r="A466" t="s">
        <v>834</v>
      </c>
      <c r="B466" t="s">
        <v>16</v>
      </c>
      <c r="C466">
        <v>1</v>
      </c>
    </row>
    <row r="467" spans="1:3">
      <c r="A467" t="s">
        <v>835</v>
      </c>
      <c r="B467" t="s">
        <v>24</v>
      </c>
      <c r="C467">
        <v>1</v>
      </c>
    </row>
    <row r="468" spans="1:3">
      <c r="A468" t="s">
        <v>358</v>
      </c>
      <c r="B468" t="s">
        <v>34</v>
      </c>
      <c r="C468">
        <v>6</v>
      </c>
    </row>
    <row r="469" spans="1:3">
      <c r="A469" t="s">
        <v>836</v>
      </c>
      <c r="B469" t="s">
        <v>26</v>
      </c>
      <c r="C469">
        <v>1</v>
      </c>
    </row>
    <row r="470" spans="1:3">
      <c r="A470" t="s">
        <v>209</v>
      </c>
      <c r="B470" t="s">
        <v>142</v>
      </c>
      <c r="C470">
        <v>4</v>
      </c>
    </row>
    <row r="471" spans="1:3">
      <c r="A471" t="s">
        <v>837</v>
      </c>
      <c r="B471" t="s">
        <v>131</v>
      </c>
      <c r="C471">
        <v>2</v>
      </c>
    </row>
    <row r="472" spans="1:3">
      <c r="A472" t="s">
        <v>838</v>
      </c>
      <c r="B472" t="s">
        <v>138</v>
      </c>
      <c r="C472">
        <v>1</v>
      </c>
    </row>
    <row r="473" spans="1:3">
      <c r="A473" t="s">
        <v>341</v>
      </c>
      <c r="B473" t="s">
        <v>131</v>
      </c>
      <c r="C473">
        <v>1</v>
      </c>
    </row>
    <row r="474" spans="1:3">
      <c r="A474" t="s">
        <v>839</v>
      </c>
      <c r="B474" t="s">
        <v>26</v>
      </c>
      <c r="C474">
        <v>1</v>
      </c>
    </row>
    <row r="475" spans="1:3">
      <c r="A475" t="s">
        <v>840</v>
      </c>
      <c r="B475" t="s">
        <v>26</v>
      </c>
      <c r="C475">
        <v>1</v>
      </c>
    </row>
    <row r="476" spans="1:3">
      <c r="A476" t="s">
        <v>487</v>
      </c>
      <c r="B476" t="s">
        <v>30</v>
      </c>
      <c r="C476">
        <v>1</v>
      </c>
    </row>
    <row r="477" spans="1:3">
      <c r="A477" t="s">
        <v>841</v>
      </c>
      <c r="B477" t="s">
        <v>125</v>
      </c>
      <c r="C477">
        <v>1</v>
      </c>
    </row>
    <row r="478" spans="1:3">
      <c r="A478" t="s">
        <v>842</v>
      </c>
      <c r="B478" t="s">
        <v>125</v>
      </c>
      <c r="C478">
        <v>1</v>
      </c>
    </row>
    <row r="479" spans="1:3">
      <c r="A479" t="s">
        <v>843</v>
      </c>
      <c r="B479" t="s">
        <v>64</v>
      </c>
      <c r="C479">
        <v>1</v>
      </c>
    </row>
    <row r="480" spans="1:3">
      <c r="A480" t="s">
        <v>844</v>
      </c>
      <c r="B480" t="s">
        <v>16</v>
      </c>
      <c r="C480">
        <v>1</v>
      </c>
    </row>
    <row r="481" spans="1:3">
      <c r="A481" t="s">
        <v>845</v>
      </c>
      <c r="B481" t="s">
        <v>30</v>
      </c>
      <c r="C481">
        <v>1</v>
      </c>
    </row>
    <row r="482" spans="1:3">
      <c r="A482" t="s">
        <v>846</v>
      </c>
      <c r="B482" t="s">
        <v>113</v>
      </c>
      <c r="C482">
        <v>1</v>
      </c>
    </row>
    <row r="483" spans="1:3">
      <c r="A483" t="s">
        <v>203</v>
      </c>
      <c r="B483" t="s">
        <v>30</v>
      </c>
      <c r="C483">
        <v>1</v>
      </c>
    </row>
    <row r="484" spans="1:3">
      <c r="A484" t="s">
        <v>847</v>
      </c>
      <c r="B484" t="s">
        <v>319</v>
      </c>
      <c r="C484">
        <v>2</v>
      </c>
    </row>
    <row r="485" spans="1:3">
      <c r="A485" t="s">
        <v>195</v>
      </c>
      <c r="B485" t="s">
        <v>142</v>
      </c>
      <c r="C485">
        <v>1</v>
      </c>
    </row>
    <row r="486" spans="1:3">
      <c r="A486" t="s">
        <v>848</v>
      </c>
      <c r="B486" t="s">
        <v>131</v>
      </c>
      <c r="C486">
        <v>1</v>
      </c>
    </row>
    <row r="487" spans="1:3">
      <c r="A487" t="s">
        <v>849</v>
      </c>
      <c r="B487" t="s">
        <v>34</v>
      </c>
      <c r="C487">
        <v>2</v>
      </c>
    </row>
    <row r="488" spans="1:3">
      <c r="A488" t="s">
        <v>850</v>
      </c>
      <c r="B488" t="s">
        <v>64</v>
      </c>
      <c r="C488">
        <v>2</v>
      </c>
    </row>
    <row r="489" spans="1:3">
      <c r="A489" t="s">
        <v>851</v>
      </c>
      <c r="B489" t="s">
        <v>64</v>
      </c>
      <c r="C489">
        <v>2</v>
      </c>
    </row>
    <row r="490" spans="1:3">
      <c r="A490" t="s">
        <v>852</v>
      </c>
      <c r="B490" t="s">
        <v>61</v>
      </c>
      <c r="C490">
        <v>2</v>
      </c>
    </row>
    <row r="491" spans="1:3">
      <c r="A491" t="s">
        <v>853</v>
      </c>
      <c r="B491" t="s">
        <v>19</v>
      </c>
      <c r="C491">
        <v>2</v>
      </c>
    </row>
    <row r="492" spans="1:3">
      <c r="A492" t="s">
        <v>854</v>
      </c>
      <c r="B492" t="s">
        <v>30</v>
      </c>
      <c r="C492">
        <v>1</v>
      </c>
    </row>
    <row r="493" spans="1:3">
      <c r="A493" t="s">
        <v>855</v>
      </c>
      <c r="B493" t="s">
        <v>30</v>
      </c>
      <c r="C493">
        <v>1</v>
      </c>
    </row>
    <row r="494" spans="1:3">
      <c r="A494" t="s">
        <v>856</v>
      </c>
      <c r="B494" t="s">
        <v>30</v>
      </c>
      <c r="C494">
        <v>1</v>
      </c>
    </row>
    <row r="495" spans="1:3">
      <c r="A495" t="s">
        <v>220</v>
      </c>
      <c r="B495" t="s">
        <v>30</v>
      </c>
      <c r="C495">
        <v>1</v>
      </c>
    </row>
    <row r="496" spans="1:3">
      <c r="A496" t="s">
        <v>857</v>
      </c>
      <c r="B496" t="s">
        <v>30</v>
      </c>
      <c r="C496">
        <v>1</v>
      </c>
    </row>
    <row r="497" spans="1:3">
      <c r="A497" t="s">
        <v>858</v>
      </c>
      <c r="B497" t="s">
        <v>30</v>
      </c>
      <c r="C497">
        <v>1</v>
      </c>
    </row>
    <row r="498" spans="1:3">
      <c r="A498" t="s">
        <v>859</v>
      </c>
      <c r="B498" t="s">
        <v>30</v>
      </c>
      <c r="C498">
        <v>1</v>
      </c>
    </row>
    <row r="499" spans="1:3">
      <c r="A499" t="s">
        <v>860</v>
      </c>
      <c r="B499" t="s">
        <v>26</v>
      </c>
      <c r="C499">
        <v>1</v>
      </c>
    </row>
    <row r="500" spans="1:3">
      <c r="A500" t="s">
        <v>202</v>
      </c>
      <c r="B500" t="s">
        <v>16</v>
      </c>
      <c r="C500">
        <v>1</v>
      </c>
    </row>
    <row r="501" spans="1:3">
      <c r="A501" t="s">
        <v>861</v>
      </c>
      <c r="B501" t="s">
        <v>22</v>
      </c>
      <c r="C501">
        <v>3</v>
      </c>
    </row>
    <row r="502" spans="1:3">
      <c r="A502" t="s">
        <v>862</v>
      </c>
      <c r="B502" t="s">
        <v>694</v>
      </c>
      <c r="C502">
        <v>1</v>
      </c>
    </row>
    <row r="503" spans="1:3">
      <c r="A503" t="s">
        <v>863</v>
      </c>
      <c r="B503" t="s">
        <v>16</v>
      </c>
      <c r="C503">
        <v>1</v>
      </c>
    </row>
    <row r="504" spans="1:3">
      <c r="A504" t="s">
        <v>864</v>
      </c>
      <c r="B504" t="s">
        <v>407</v>
      </c>
      <c r="C504">
        <v>4</v>
      </c>
    </row>
    <row r="505" spans="1:3">
      <c r="A505" t="s">
        <v>865</v>
      </c>
      <c r="B505" t="s">
        <v>319</v>
      </c>
      <c r="C505">
        <v>1</v>
      </c>
    </row>
    <row r="506" spans="1:3">
      <c r="A506" t="s">
        <v>866</v>
      </c>
      <c r="B506" t="s">
        <v>125</v>
      </c>
      <c r="C506">
        <v>1</v>
      </c>
    </row>
    <row r="507" spans="1:3">
      <c r="A507" t="s">
        <v>867</v>
      </c>
      <c r="B507" t="s">
        <v>32</v>
      </c>
      <c r="C507">
        <v>1</v>
      </c>
    </row>
    <row r="508" spans="1:3">
      <c r="A508" t="s">
        <v>868</v>
      </c>
      <c r="B508" t="s">
        <v>138</v>
      </c>
      <c r="C508">
        <v>1</v>
      </c>
    </row>
    <row r="509" spans="1:3">
      <c r="A509" t="s">
        <v>869</v>
      </c>
      <c r="B509" t="s">
        <v>128</v>
      </c>
      <c r="C509">
        <v>2</v>
      </c>
    </row>
    <row r="510" spans="1:3">
      <c r="A510" t="s">
        <v>270</v>
      </c>
      <c r="B510" t="s">
        <v>125</v>
      </c>
      <c r="C510">
        <v>1</v>
      </c>
    </row>
    <row r="511" spans="1:3">
      <c r="A511" t="s">
        <v>870</v>
      </c>
      <c r="B511" t="s">
        <v>4</v>
      </c>
      <c r="C511">
        <v>1</v>
      </c>
    </row>
    <row r="512" spans="1:3">
      <c r="A512" t="s">
        <v>871</v>
      </c>
      <c r="B512" t="s">
        <v>128</v>
      </c>
      <c r="C512">
        <v>4</v>
      </c>
    </row>
    <row r="513" spans="1:3">
      <c r="A513" t="s">
        <v>872</v>
      </c>
      <c r="B513" t="s">
        <v>22</v>
      </c>
      <c r="C513">
        <v>5</v>
      </c>
    </row>
    <row r="514" spans="1:3">
      <c r="A514" t="s">
        <v>275</v>
      </c>
      <c r="B514" t="s">
        <v>131</v>
      </c>
      <c r="C514">
        <v>1</v>
      </c>
    </row>
    <row r="515" spans="1:3">
      <c r="A515" t="s">
        <v>873</v>
      </c>
      <c r="B515" t="s">
        <v>128</v>
      </c>
      <c r="C515">
        <v>2</v>
      </c>
    </row>
    <row r="516" spans="1:3">
      <c r="A516" t="s">
        <v>874</v>
      </c>
      <c r="B516" t="s">
        <v>24</v>
      </c>
      <c r="C516">
        <v>1</v>
      </c>
    </row>
    <row r="517" spans="1:3">
      <c r="A517" t="s">
        <v>875</v>
      </c>
      <c r="B517" t="s">
        <v>24</v>
      </c>
      <c r="C517">
        <v>1</v>
      </c>
    </row>
    <row r="518" spans="1:3">
      <c r="A518" t="s">
        <v>450</v>
      </c>
      <c r="B518" t="s">
        <v>4</v>
      </c>
      <c r="C518">
        <v>4</v>
      </c>
    </row>
    <row r="519" spans="1:3">
      <c r="A519" t="s">
        <v>876</v>
      </c>
      <c r="B519" t="s">
        <v>319</v>
      </c>
      <c r="C519">
        <v>2</v>
      </c>
    </row>
    <row r="520" spans="1:3">
      <c r="A520" t="s">
        <v>46</v>
      </c>
      <c r="B520" t="s">
        <v>16</v>
      </c>
      <c r="C520">
        <v>1</v>
      </c>
    </row>
    <row r="521" spans="1:3">
      <c r="A521" t="s">
        <v>877</v>
      </c>
      <c r="B521" t="s">
        <v>6</v>
      </c>
      <c r="C521">
        <v>1</v>
      </c>
    </row>
    <row r="522" spans="1:3">
      <c r="A522" t="s">
        <v>878</v>
      </c>
      <c r="B522" t="s">
        <v>6</v>
      </c>
      <c r="C522">
        <v>1</v>
      </c>
    </row>
    <row r="523" spans="1:3">
      <c r="A523" t="s">
        <v>879</v>
      </c>
      <c r="B523" t="s">
        <v>6</v>
      </c>
      <c r="C523">
        <v>1</v>
      </c>
    </row>
    <row r="524" spans="1:3">
      <c r="A524" t="s">
        <v>880</v>
      </c>
      <c r="B524" t="s">
        <v>125</v>
      </c>
      <c r="C524">
        <v>1</v>
      </c>
    </row>
    <row r="525" spans="1:3">
      <c r="A525" t="s">
        <v>881</v>
      </c>
      <c r="B525" t="s">
        <v>125</v>
      </c>
      <c r="C525">
        <v>2</v>
      </c>
    </row>
    <row r="526" spans="1:3">
      <c r="A526" t="s">
        <v>440</v>
      </c>
      <c r="B526" t="s">
        <v>19</v>
      </c>
      <c r="C526">
        <v>1</v>
      </c>
    </row>
    <row r="527" spans="1:3">
      <c r="A527" t="s">
        <v>882</v>
      </c>
      <c r="B527" t="s">
        <v>34</v>
      </c>
      <c r="C527">
        <v>1</v>
      </c>
    </row>
    <row r="528" spans="1:3">
      <c r="A528" t="s">
        <v>883</v>
      </c>
      <c r="B528" t="s">
        <v>64</v>
      </c>
      <c r="C528">
        <v>1</v>
      </c>
    </row>
    <row r="529" spans="1:3">
      <c r="A529" t="s">
        <v>884</v>
      </c>
      <c r="B529" t="s">
        <v>64</v>
      </c>
      <c r="C529">
        <v>1</v>
      </c>
    </row>
    <row r="530" spans="1:3">
      <c r="A530" t="s">
        <v>885</v>
      </c>
      <c r="B530" t="s">
        <v>64</v>
      </c>
      <c r="C530">
        <v>1</v>
      </c>
    </row>
    <row r="531" spans="1:3">
      <c r="A531" t="s">
        <v>886</v>
      </c>
      <c r="B531" t="s">
        <v>115</v>
      </c>
      <c r="C531">
        <v>1</v>
      </c>
    </row>
    <row r="532" spans="1:3">
      <c r="A532" t="s">
        <v>887</v>
      </c>
      <c r="B532" t="s">
        <v>19</v>
      </c>
      <c r="C532">
        <v>1</v>
      </c>
    </row>
    <row r="533" spans="1:3">
      <c r="A533" t="s">
        <v>888</v>
      </c>
      <c r="B533" t="s">
        <v>64</v>
      </c>
      <c r="C533">
        <v>1</v>
      </c>
    </row>
    <row r="534" spans="1:3">
      <c r="A534" t="s">
        <v>889</v>
      </c>
      <c r="B534" t="s">
        <v>125</v>
      </c>
      <c r="C534">
        <v>1</v>
      </c>
    </row>
    <row r="535" spans="1:3">
      <c r="A535" t="s">
        <v>890</v>
      </c>
      <c r="B535" t="s">
        <v>4</v>
      </c>
      <c r="C535">
        <v>1</v>
      </c>
    </row>
    <row r="536" spans="1:3">
      <c r="A536" t="s">
        <v>308</v>
      </c>
      <c r="B536" t="s">
        <v>128</v>
      </c>
      <c r="C536">
        <v>1</v>
      </c>
    </row>
    <row r="537" spans="1:3">
      <c r="A537" t="s">
        <v>891</v>
      </c>
      <c r="B537" t="s">
        <v>30</v>
      </c>
      <c r="C537">
        <v>2</v>
      </c>
    </row>
    <row r="538" spans="1:3">
      <c r="A538" t="s">
        <v>892</v>
      </c>
      <c r="B538" t="s">
        <v>32</v>
      </c>
      <c r="C538">
        <v>2</v>
      </c>
    </row>
    <row r="539" spans="1:3">
      <c r="A539" t="s">
        <v>36</v>
      </c>
      <c r="B539" t="s">
        <v>32</v>
      </c>
      <c r="C539">
        <v>3</v>
      </c>
    </row>
    <row r="540" spans="1:3">
      <c r="A540" t="s">
        <v>893</v>
      </c>
      <c r="B540" t="s">
        <v>24</v>
      </c>
      <c r="C540">
        <v>1</v>
      </c>
    </row>
    <row r="541" spans="1:3">
      <c r="A541" t="s">
        <v>894</v>
      </c>
      <c r="B541" t="s">
        <v>30</v>
      </c>
      <c r="C541">
        <v>1</v>
      </c>
    </row>
    <row r="542" spans="1:3">
      <c r="A542" t="s">
        <v>459</v>
      </c>
      <c r="B542" t="s">
        <v>113</v>
      </c>
      <c r="C542">
        <v>2</v>
      </c>
    </row>
    <row r="543" spans="1:3">
      <c r="A543" t="s">
        <v>895</v>
      </c>
      <c r="B543" t="s">
        <v>113</v>
      </c>
      <c r="C543">
        <v>1</v>
      </c>
    </row>
    <row r="544" spans="1:3">
      <c r="A544" t="s">
        <v>896</v>
      </c>
      <c r="B544" t="s">
        <v>24</v>
      </c>
      <c r="C544">
        <v>1</v>
      </c>
    </row>
    <row r="545" spans="1:3">
      <c r="A545" t="s">
        <v>897</v>
      </c>
      <c r="B545" t="s">
        <v>32</v>
      </c>
      <c r="C545">
        <v>1</v>
      </c>
    </row>
    <row r="546" spans="1:3">
      <c r="A546" t="s">
        <v>431</v>
      </c>
      <c r="B546" t="s">
        <v>16</v>
      </c>
      <c r="C546">
        <v>1</v>
      </c>
    </row>
    <row r="547" spans="1:3">
      <c r="A547" t="s">
        <v>898</v>
      </c>
      <c r="B547" t="s">
        <v>26</v>
      </c>
      <c r="C547">
        <v>4</v>
      </c>
    </row>
    <row r="548" spans="1:3">
      <c r="A548" t="s">
        <v>899</v>
      </c>
      <c r="B548" t="s">
        <v>134</v>
      </c>
      <c r="C548">
        <v>1</v>
      </c>
    </row>
    <row r="549" spans="1:3">
      <c r="A549" t="s">
        <v>405</v>
      </c>
      <c r="B549" t="s">
        <v>319</v>
      </c>
      <c r="C549">
        <v>1</v>
      </c>
    </row>
    <row r="550" spans="1:3">
      <c r="A550" t="s">
        <v>900</v>
      </c>
      <c r="B550" t="s">
        <v>19</v>
      </c>
      <c r="C550">
        <v>1</v>
      </c>
    </row>
    <row r="551" spans="1:3">
      <c r="A551" t="s">
        <v>901</v>
      </c>
      <c r="B551" t="s">
        <v>567</v>
      </c>
      <c r="C551">
        <v>1</v>
      </c>
    </row>
    <row r="552" spans="1:3">
      <c r="A552" t="s">
        <v>902</v>
      </c>
      <c r="B552" t="s">
        <v>19</v>
      </c>
      <c r="C552">
        <v>1</v>
      </c>
    </row>
    <row r="553" spans="1:3">
      <c r="A553" t="s">
        <v>21</v>
      </c>
      <c r="B553" t="s">
        <v>19</v>
      </c>
      <c r="C553">
        <v>2</v>
      </c>
    </row>
    <row r="554" spans="1:3">
      <c r="A554" t="s">
        <v>903</v>
      </c>
      <c r="B554" t="s">
        <v>19</v>
      </c>
      <c r="C554">
        <v>1</v>
      </c>
    </row>
    <row r="555" spans="1:3">
      <c r="A555" t="s">
        <v>904</v>
      </c>
      <c r="B555" t="s">
        <v>16</v>
      </c>
      <c r="C555">
        <v>1</v>
      </c>
    </row>
    <row r="556" spans="1:3">
      <c r="A556" t="s">
        <v>905</v>
      </c>
      <c r="B556" t="s">
        <v>319</v>
      </c>
      <c r="C556">
        <v>1</v>
      </c>
    </row>
    <row r="557" spans="1:3">
      <c r="A557" t="s">
        <v>906</v>
      </c>
      <c r="B557" t="s">
        <v>19</v>
      </c>
      <c r="C557">
        <v>1</v>
      </c>
    </row>
    <row r="558" spans="1:3">
      <c r="A558" t="s">
        <v>907</v>
      </c>
      <c r="B558" t="s">
        <v>19</v>
      </c>
      <c r="C558">
        <v>1</v>
      </c>
    </row>
    <row r="559" spans="1:3">
      <c r="A559" t="s">
        <v>40</v>
      </c>
      <c r="B559" t="s">
        <v>19</v>
      </c>
      <c r="C559">
        <v>2</v>
      </c>
    </row>
    <row r="560" spans="1:3">
      <c r="A560" t="s">
        <v>908</v>
      </c>
      <c r="B560" t="s">
        <v>19</v>
      </c>
      <c r="C560">
        <v>1</v>
      </c>
    </row>
    <row r="561" spans="1:3">
      <c r="A561" t="s">
        <v>909</v>
      </c>
      <c r="B561" t="s">
        <v>131</v>
      </c>
      <c r="C561">
        <v>2</v>
      </c>
    </row>
    <row r="562" spans="1:3">
      <c r="A562" t="s">
        <v>910</v>
      </c>
      <c r="B562" t="s">
        <v>30</v>
      </c>
      <c r="C562">
        <v>1</v>
      </c>
    </row>
    <row r="563" spans="1:3">
      <c r="A563" t="s">
        <v>911</v>
      </c>
      <c r="B563" t="s">
        <v>30</v>
      </c>
      <c r="C563">
        <v>1</v>
      </c>
    </row>
    <row r="564" spans="1:3">
      <c r="A564" t="s">
        <v>912</v>
      </c>
      <c r="B564" t="s">
        <v>16</v>
      </c>
      <c r="C564">
        <v>1</v>
      </c>
    </row>
    <row r="565" spans="1:3">
      <c r="A565" t="s">
        <v>913</v>
      </c>
      <c r="B565" t="s">
        <v>16</v>
      </c>
      <c r="C565">
        <v>1</v>
      </c>
    </row>
    <row r="566" spans="1:3">
      <c r="A566" t="s">
        <v>914</v>
      </c>
      <c r="B566" t="s">
        <v>115</v>
      </c>
      <c r="C566">
        <v>1</v>
      </c>
    </row>
    <row r="567" spans="1:3">
      <c r="A567" t="s">
        <v>190</v>
      </c>
      <c r="B567" t="s">
        <v>61</v>
      </c>
      <c r="C567">
        <v>5</v>
      </c>
    </row>
    <row r="568" spans="1:3">
      <c r="A568" t="s">
        <v>222</v>
      </c>
      <c r="B568" t="s">
        <v>34</v>
      </c>
      <c r="C568">
        <v>3</v>
      </c>
    </row>
    <row r="569" spans="1:3">
      <c r="A569" t="s">
        <v>915</v>
      </c>
      <c r="B569" t="s">
        <v>16</v>
      </c>
      <c r="C569">
        <v>5</v>
      </c>
    </row>
    <row r="570" spans="1:3">
      <c r="A570" t="s">
        <v>916</v>
      </c>
      <c r="B570" t="s">
        <v>34</v>
      </c>
      <c r="C570">
        <v>3</v>
      </c>
    </row>
    <row r="571" spans="1:3">
      <c r="A571" t="s">
        <v>917</v>
      </c>
      <c r="B571" t="s">
        <v>319</v>
      </c>
      <c r="C571">
        <v>2</v>
      </c>
    </row>
    <row r="572" spans="1:3">
      <c r="A572" t="s">
        <v>918</v>
      </c>
      <c r="B572" t="s">
        <v>131</v>
      </c>
      <c r="C572">
        <v>1</v>
      </c>
    </row>
    <row r="573" spans="1:3">
      <c r="A573" t="s">
        <v>413</v>
      </c>
      <c r="B573" t="s">
        <v>26</v>
      </c>
      <c r="C573">
        <v>2</v>
      </c>
    </row>
    <row r="574" spans="1:3">
      <c r="A574" t="s">
        <v>919</v>
      </c>
      <c r="B574" t="s">
        <v>128</v>
      </c>
      <c r="C574">
        <v>1</v>
      </c>
    </row>
    <row r="575" spans="1:3">
      <c r="A575" t="s">
        <v>325</v>
      </c>
      <c r="B575" t="s">
        <v>61</v>
      </c>
      <c r="C575">
        <v>1</v>
      </c>
    </row>
    <row r="576" spans="1:3">
      <c r="A576" t="s">
        <v>214</v>
      </c>
      <c r="B576" t="s">
        <v>113</v>
      </c>
      <c r="C576">
        <v>1</v>
      </c>
    </row>
    <row r="577" spans="1:3">
      <c r="A577" t="s">
        <v>119</v>
      </c>
      <c r="B577" t="s">
        <v>16</v>
      </c>
      <c r="C577">
        <v>1</v>
      </c>
    </row>
    <row r="578" spans="1:3">
      <c r="A578" t="s">
        <v>920</v>
      </c>
      <c r="B578" t="s">
        <v>16</v>
      </c>
      <c r="C578">
        <v>4</v>
      </c>
    </row>
    <row r="579" spans="1:3">
      <c r="A579" t="s">
        <v>921</v>
      </c>
      <c r="B579" t="s">
        <v>16</v>
      </c>
      <c r="C579">
        <v>1</v>
      </c>
    </row>
    <row r="580" spans="1:3">
      <c r="A580" t="s">
        <v>922</v>
      </c>
      <c r="B580" t="s">
        <v>113</v>
      </c>
      <c r="C580">
        <v>1</v>
      </c>
    </row>
    <row r="581" spans="1:3">
      <c r="A581" t="s">
        <v>923</v>
      </c>
      <c r="B581" t="s">
        <v>64</v>
      </c>
      <c r="C581">
        <v>2</v>
      </c>
    </row>
    <row r="582" spans="1:3">
      <c r="A582" t="s">
        <v>370</v>
      </c>
      <c r="B582" t="s">
        <v>61</v>
      </c>
      <c r="C582">
        <v>4</v>
      </c>
    </row>
    <row r="583" spans="1:3">
      <c r="A583" t="s">
        <v>924</v>
      </c>
      <c r="B583" t="s">
        <v>113</v>
      </c>
      <c r="C583">
        <v>1</v>
      </c>
    </row>
    <row r="584" spans="1:3">
      <c r="A584" t="s">
        <v>80</v>
      </c>
      <c r="B584" t="s">
        <v>64</v>
      </c>
      <c r="C584">
        <v>1</v>
      </c>
    </row>
    <row r="585" spans="1:3">
      <c r="A585" t="s">
        <v>83</v>
      </c>
      <c r="B585" t="s">
        <v>61</v>
      </c>
      <c r="C585">
        <v>3</v>
      </c>
    </row>
    <row r="586" spans="1:3">
      <c r="A586" t="s">
        <v>305</v>
      </c>
      <c r="B586" t="s">
        <v>30</v>
      </c>
      <c r="C586">
        <v>4</v>
      </c>
    </row>
    <row r="587" spans="1:3">
      <c r="A587" t="s">
        <v>925</v>
      </c>
      <c r="B587" t="s">
        <v>125</v>
      </c>
      <c r="C587">
        <v>2</v>
      </c>
    </row>
    <row r="588" spans="1:3">
      <c r="A588" t="s">
        <v>926</v>
      </c>
      <c r="B588" t="s">
        <v>26</v>
      </c>
      <c r="C588">
        <v>1</v>
      </c>
    </row>
    <row r="589" spans="1:3">
      <c r="A589" t="s">
        <v>158</v>
      </c>
      <c r="B589" t="s">
        <v>113</v>
      </c>
      <c r="C589">
        <v>1</v>
      </c>
    </row>
    <row r="590" spans="1:3">
      <c r="A590" t="s">
        <v>927</v>
      </c>
      <c r="B590" t="s">
        <v>113</v>
      </c>
      <c r="C590">
        <v>1</v>
      </c>
    </row>
    <row r="591" spans="1:3">
      <c r="A591" t="s">
        <v>928</v>
      </c>
      <c r="B591" t="s">
        <v>113</v>
      </c>
      <c r="C591">
        <v>1</v>
      </c>
    </row>
    <row r="592" spans="1:3">
      <c r="A592" t="s">
        <v>929</v>
      </c>
      <c r="B592" t="s">
        <v>125</v>
      </c>
      <c r="C592">
        <v>1</v>
      </c>
    </row>
    <row r="593" spans="1:3">
      <c r="A593" t="s">
        <v>930</v>
      </c>
      <c r="B593" t="s">
        <v>128</v>
      </c>
      <c r="C593">
        <v>1</v>
      </c>
    </row>
    <row r="594" spans="1:3">
      <c r="A594" t="s">
        <v>931</v>
      </c>
      <c r="B594" t="s">
        <v>32</v>
      </c>
      <c r="C594">
        <v>1</v>
      </c>
    </row>
    <row r="595" spans="1:3">
      <c r="A595" t="s">
        <v>932</v>
      </c>
      <c r="B595" t="s">
        <v>410</v>
      </c>
      <c r="C595">
        <v>5</v>
      </c>
    </row>
    <row r="596" spans="1:3">
      <c r="A596" t="s">
        <v>458</v>
      </c>
      <c r="B596" t="s">
        <v>407</v>
      </c>
      <c r="C596">
        <v>2</v>
      </c>
    </row>
    <row r="597" spans="1:3">
      <c r="A597" t="s">
        <v>933</v>
      </c>
      <c r="B597" t="s">
        <v>4</v>
      </c>
      <c r="C597">
        <v>1</v>
      </c>
    </row>
    <row r="598" spans="1:3">
      <c r="A598" t="s">
        <v>934</v>
      </c>
      <c r="B598" t="s">
        <v>4</v>
      </c>
      <c r="C598">
        <v>1</v>
      </c>
    </row>
    <row r="599" spans="1:3">
      <c r="A599" t="s">
        <v>935</v>
      </c>
      <c r="B599" t="s">
        <v>32</v>
      </c>
      <c r="C599">
        <v>1</v>
      </c>
    </row>
    <row r="600" spans="1:3">
      <c r="A600" t="s">
        <v>936</v>
      </c>
      <c r="B600" t="s">
        <v>16</v>
      </c>
      <c r="C600">
        <v>1</v>
      </c>
    </row>
    <row r="601" spans="1:3">
      <c r="A601" t="s">
        <v>249</v>
      </c>
      <c r="B601" t="s">
        <v>19</v>
      </c>
      <c r="C601">
        <v>1</v>
      </c>
    </row>
    <row r="602" spans="1:3">
      <c r="A602" t="s">
        <v>937</v>
      </c>
      <c r="B602" t="s">
        <v>19</v>
      </c>
      <c r="C602">
        <v>1</v>
      </c>
    </row>
    <row r="603" spans="1:3">
      <c r="A603" t="s">
        <v>31</v>
      </c>
      <c r="B603" t="s">
        <v>19</v>
      </c>
      <c r="C603">
        <v>1</v>
      </c>
    </row>
    <row r="604" spans="1:3">
      <c r="A604" t="s">
        <v>42</v>
      </c>
      <c r="B604" t="s">
        <v>19</v>
      </c>
      <c r="C604">
        <v>1</v>
      </c>
    </row>
    <row r="605" spans="1:3">
      <c r="A605" t="s">
        <v>938</v>
      </c>
      <c r="B605" t="s">
        <v>19</v>
      </c>
      <c r="C605">
        <v>1</v>
      </c>
    </row>
    <row r="606" spans="1:3">
      <c r="A606" t="s">
        <v>939</v>
      </c>
      <c r="B606" t="s">
        <v>19</v>
      </c>
      <c r="C606">
        <v>1</v>
      </c>
    </row>
    <row r="607" spans="1:3">
      <c r="A607" t="s">
        <v>940</v>
      </c>
      <c r="B607" t="s">
        <v>61</v>
      </c>
      <c r="C607">
        <v>1</v>
      </c>
    </row>
    <row r="608" spans="1:3">
      <c r="A608" t="s">
        <v>941</v>
      </c>
      <c r="B608" t="s">
        <v>34</v>
      </c>
      <c r="C608">
        <v>1</v>
      </c>
    </row>
    <row r="609" spans="1:3">
      <c r="A609" t="s">
        <v>942</v>
      </c>
      <c r="B609" t="s">
        <v>64</v>
      </c>
      <c r="C609">
        <v>1</v>
      </c>
    </row>
    <row r="610" spans="1:3">
      <c r="A610" t="s">
        <v>396</v>
      </c>
      <c r="B610" t="s">
        <v>34</v>
      </c>
      <c r="C610">
        <v>2</v>
      </c>
    </row>
    <row r="611" spans="1:3">
      <c r="A611" t="s">
        <v>943</v>
      </c>
      <c r="B611" t="s">
        <v>64</v>
      </c>
      <c r="C611">
        <v>1</v>
      </c>
    </row>
    <row r="612" spans="1:3">
      <c r="A612" t="s">
        <v>944</v>
      </c>
      <c r="B612" t="s">
        <v>319</v>
      </c>
      <c r="C612">
        <v>1</v>
      </c>
    </row>
    <row r="613" spans="1:3">
      <c r="A613" t="s">
        <v>945</v>
      </c>
      <c r="B613" t="s">
        <v>64</v>
      </c>
      <c r="C613">
        <v>1</v>
      </c>
    </row>
    <row r="614" spans="1:3">
      <c r="A614" t="s">
        <v>946</v>
      </c>
      <c r="B614" t="s">
        <v>16</v>
      </c>
      <c r="C614">
        <v>1</v>
      </c>
    </row>
    <row r="615" spans="1:3">
      <c r="A615" t="s">
        <v>947</v>
      </c>
      <c r="B615" t="s">
        <v>24</v>
      </c>
      <c r="C615">
        <v>1</v>
      </c>
    </row>
    <row r="616" spans="1:3">
      <c r="A616" t="s">
        <v>948</v>
      </c>
      <c r="B616" t="s">
        <v>26</v>
      </c>
      <c r="C616">
        <v>1</v>
      </c>
    </row>
    <row r="617" spans="1:3">
      <c r="A617" t="s">
        <v>949</v>
      </c>
      <c r="B617" t="s">
        <v>34</v>
      </c>
      <c r="C617">
        <v>1</v>
      </c>
    </row>
    <row r="618" spans="1:3">
      <c r="A618" t="s">
        <v>397</v>
      </c>
      <c r="B618" t="s">
        <v>34</v>
      </c>
      <c r="C618">
        <v>1</v>
      </c>
    </row>
    <row r="619" spans="1:3">
      <c r="A619" t="s">
        <v>950</v>
      </c>
      <c r="B619" t="s">
        <v>34</v>
      </c>
      <c r="C619">
        <v>1</v>
      </c>
    </row>
    <row r="620" spans="1:3">
      <c r="A620" t="s">
        <v>951</v>
      </c>
      <c r="B620" t="s">
        <v>34</v>
      </c>
      <c r="C620">
        <v>1</v>
      </c>
    </row>
    <row r="621" spans="1:3">
      <c r="A621" t="s">
        <v>952</v>
      </c>
      <c r="B621" t="s">
        <v>26</v>
      </c>
      <c r="C621">
        <v>2</v>
      </c>
    </row>
    <row r="622" spans="1:3">
      <c r="A622" t="s">
        <v>953</v>
      </c>
      <c r="B622" t="s">
        <v>26</v>
      </c>
      <c r="C622">
        <v>2</v>
      </c>
    </row>
    <row r="623" spans="1:3">
      <c r="A623" t="s">
        <v>954</v>
      </c>
      <c r="B623" t="s">
        <v>4</v>
      </c>
      <c r="C623">
        <v>2</v>
      </c>
    </row>
    <row r="624" spans="1:3">
      <c r="A624" t="s">
        <v>225</v>
      </c>
      <c r="B624" t="s">
        <v>4</v>
      </c>
      <c r="C624">
        <v>2</v>
      </c>
    </row>
    <row r="625" spans="1:3">
      <c r="A625" t="s">
        <v>955</v>
      </c>
      <c r="B625" t="s">
        <v>16</v>
      </c>
      <c r="C625">
        <v>1</v>
      </c>
    </row>
    <row r="626" spans="1:3">
      <c r="A626" t="s">
        <v>956</v>
      </c>
      <c r="B626" t="s">
        <v>26</v>
      </c>
      <c r="C626">
        <v>1</v>
      </c>
    </row>
    <row r="627" spans="1:3">
      <c r="A627" t="s">
        <v>957</v>
      </c>
      <c r="B627" t="s">
        <v>24</v>
      </c>
      <c r="C627">
        <v>1</v>
      </c>
    </row>
    <row r="628" spans="1:3">
      <c r="A628" t="s">
        <v>958</v>
      </c>
      <c r="B628" t="s">
        <v>131</v>
      </c>
      <c r="C628">
        <v>1</v>
      </c>
    </row>
    <row r="629" spans="1:3">
      <c r="A629" t="s">
        <v>959</v>
      </c>
      <c r="B629" t="s">
        <v>16</v>
      </c>
      <c r="C629">
        <v>1</v>
      </c>
    </row>
    <row r="630" spans="1:3">
      <c r="A630" t="s">
        <v>960</v>
      </c>
      <c r="B630" t="s">
        <v>34</v>
      </c>
      <c r="C630">
        <v>1</v>
      </c>
    </row>
    <row r="631" spans="1:3">
      <c r="A631" t="s">
        <v>961</v>
      </c>
      <c r="B631" t="s">
        <v>16</v>
      </c>
      <c r="C631">
        <v>1</v>
      </c>
    </row>
    <row r="632" spans="1:3">
      <c r="A632" t="s">
        <v>962</v>
      </c>
      <c r="B632" t="s">
        <v>272</v>
      </c>
      <c r="C632">
        <v>1</v>
      </c>
    </row>
    <row r="633" spans="1:3">
      <c r="A633" t="s">
        <v>963</v>
      </c>
      <c r="B633" t="s">
        <v>24</v>
      </c>
      <c r="C633">
        <v>4</v>
      </c>
    </row>
    <row r="634" spans="1:3">
      <c r="A634" t="s">
        <v>155</v>
      </c>
      <c r="B634" t="s">
        <v>125</v>
      </c>
      <c r="C634">
        <v>1</v>
      </c>
    </row>
    <row r="635" spans="1:3">
      <c r="A635" t="s">
        <v>964</v>
      </c>
      <c r="B635" t="s">
        <v>22</v>
      </c>
      <c r="C635">
        <v>1</v>
      </c>
    </row>
    <row r="636" spans="1:3">
      <c r="A636" t="s">
        <v>965</v>
      </c>
      <c r="B636" t="s">
        <v>61</v>
      </c>
      <c r="C636">
        <v>1</v>
      </c>
    </row>
    <row r="637" spans="1:3">
      <c r="A637" t="s">
        <v>966</v>
      </c>
      <c r="B637" t="s">
        <v>16</v>
      </c>
      <c r="C637">
        <v>1</v>
      </c>
    </row>
    <row r="638" spans="1:3">
      <c r="A638" t="s">
        <v>967</v>
      </c>
      <c r="B638" t="s">
        <v>22</v>
      </c>
      <c r="C638">
        <v>1</v>
      </c>
    </row>
    <row r="639" spans="1:3">
      <c r="A639" t="s">
        <v>968</v>
      </c>
      <c r="B639" t="s">
        <v>319</v>
      </c>
      <c r="C639">
        <v>1</v>
      </c>
    </row>
    <row r="640" spans="1:3">
      <c r="A640" t="s">
        <v>386</v>
      </c>
      <c r="B640" t="s">
        <v>61</v>
      </c>
      <c r="C640">
        <v>1</v>
      </c>
    </row>
    <row r="641" spans="1:3">
      <c r="A641" t="s">
        <v>969</v>
      </c>
      <c r="B641" t="s">
        <v>34</v>
      </c>
      <c r="C641">
        <v>2</v>
      </c>
    </row>
    <row r="642" spans="1:3">
      <c r="A642" t="s">
        <v>970</v>
      </c>
      <c r="B642" t="s">
        <v>16</v>
      </c>
      <c r="C642">
        <v>1</v>
      </c>
    </row>
    <row r="643" spans="1:3">
      <c r="A643" t="s">
        <v>290</v>
      </c>
      <c r="B643" t="s">
        <v>22</v>
      </c>
      <c r="C643">
        <v>1</v>
      </c>
    </row>
    <row r="644" spans="1:3">
      <c r="A644" t="s">
        <v>971</v>
      </c>
      <c r="B644" t="s">
        <v>319</v>
      </c>
      <c r="C644">
        <v>1</v>
      </c>
    </row>
    <row r="645" spans="1:3">
      <c r="A645" t="s">
        <v>972</v>
      </c>
      <c r="B645" t="s">
        <v>138</v>
      </c>
      <c r="C645">
        <v>1</v>
      </c>
    </row>
    <row r="646" spans="1:3">
      <c r="A646" t="s">
        <v>973</v>
      </c>
      <c r="B646" t="s">
        <v>128</v>
      </c>
      <c r="C646">
        <v>1</v>
      </c>
    </row>
    <row r="647" spans="1:3">
      <c r="A647" t="s">
        <v>90</v>
      </c>
      <c r="B647" t="s">
        <v>61</v>
      </c>
      <c r="C647">
        <v>1</v>
      </c>
    </row>
    <row r="648" spans="1:3">
      <c r="A648" t="s">
        <v>974</v>
      </c>
      <c r="B648" t="s">
        <v>34</v>
      </c>
      <c r="C648">
        <v>1</v>
      </c>
    </row>
    <row r="649" spans="1:3">
      <c r="A649" t="s">
        <v>975</v>
      </c>
      <c r="B649" t="s">
        <v>64</v>
      </c>
      <c r="C649">
        <v>1</v>
      </c>
    </row>
    <row r="650" spans="1:3">
      <c r="A650" t="s">
        <v>470</v>
      </c>
      <c r="B650" t="s">
        <v>131</v>
      </c>
      <c r="C650">
        <v>1</v>
      </c>
    </row>
    <row r="651" spans="1:3">
      <c r="A651" t="s">
        <v>976</v>
      </c>
      <c r="B651" t="s">
        <v>19</v>
      </c>
      <c r="C651">
        <v>1</v>
      </c>
    </row>
    <row r="652" spans="1:3">
      <c r="A652" t="s">
        <v>977</v>
      </c>
      <c r="B652" t="s">
        <v>30</v>
      </c>
      <c r="C652">
        <v>2</v>
      </c>
    </row>
    <row r="653" spans="1:3">
      <c r="A653" t="s">
        <v>978</v>
      </c>
      <c r="B653" t="s">
        <v>26</v>
      </c>
      <c r="C653">
        <v>1</v>
      </c>
    </row>
    <row r="654" spans="1:3">
      <c r="A654" t="s">
        <v>979</v>
      </c>
      <c r="B654" t="s">
        <v>61</v>
      </c>
      <c r="C654">
        <v>1</v>
      </c>
    </row>
    <row r="655" spans="1:3">
      <c r="A655" t="s">
        <v>521</v>
      </c>
      <c r="B655" t="s">
        <v>30</v>
      </c>
      <c r="C655">
        <v>1</v>
      </c>
    </row>
    <row r="656" spans="1:3">
      <c r="A656" t="s">
        <v>980</v>
      </c>
      <c r="B656" t="s">
        <v>22</v>
      </c>
      <c r="C656">
        <v>1</v>
      </c>
    </row>
    <row r="657" spans="1:3">
      <c r="A657" t="s">
        <v>981</v>
      </c>
      <c r="B657" t="s">
        <v>22</v>
      </c>
      <c r="C657">
        <v>1</v>
      </c>
    </row>
    <row r="658" spans="1:3">
      <c r="A658" t="s">
        <v>982</v>
      </c>
      <c r="B658" t="s">
        <v>19</v>
      </c>
      <c r="C658">
        <v>1</v>
      </c>
    </row>
    <row r="659" spans="1:3">
      <c r="A659" t="s">
        <v>480</v>
      </c>
      <c r="B659" t="s">
        <v>26</v>
      </c>
      <c r="C659">
        <v>1</v>
      </c>
    </row>
    <row r="660" spans="1:3">
      <c r="A660" t="s">
        <v>983</v>
      </c>
      <c r="B660" t="s">
        <v>26</v>
      </c>
      <c r="C660">
        <v>1</v>
      </c>
    </row>
    <row r="661" spans="1:3">
      <c r="A661" t="s">
        <v>984</v>
      </c>
      <c r="B661" t="s">
        <v>4</v>
      </c>
      <c r="C661">
        <v>1</v>
      </c>
    </row>
    <row r="662" spans="1:3">
      <c r="A662" t="s">
        <v>329</v>
      </c>
      <c r="B662" t="s">
        <v>4</v>
      </c>
      <c r="C662">
        <v>1</v>
      </c>
    </row>
    <row r="663" spans="1:3">
      <c r="A663" t="s">
        <v>985</v>
      </c>
      <c r="B663" t="s">
        <v>4</v>
      </c>
      <c r="C663">
        <v>1</v>
      </c>
    </row>
    <row r="664" spans="1:3">
      <c r="A664" t="s">
        <v>986</v>
      </c>
      <c r="B664" t="s">
        <v>26</v>
      </c>
      <c r="C664">
        <v>1</v>
      </c>
    </row>
    <row r="665" spans="1:3">
      <c r="A665" t="s">
        <v>987</v>
      </c>
      <c r="B665" t="s">
        <v>26</v>
      </c>
      <c r="C665">
        <v>2</v>
      </c>
    </row>
    <row r="666" spans="1:3">
      <c r="A666" t="s">
        <v>400</v>
      </c>
      <c r="B666" t="s">
        <v>26</v>
      </c>
      <c r="C666">
        <v>1</v>
      </c>
    </row>
    <row r="667" spans="1:3">
      <c r="A667" t="s">
        <v>988</v>
      </c>
      <c r="B667" t="s">
        <v>113</v>
      </c>
      <c r="C667">
        <v>3</v>
      </c>
    </row>
    <row r="668" spans="1:3">
      <c r="A668" t="s">
        <v>989</v>
      </c>
      <c r="B668" t="s">
        <v>131</v>
      </c>
      <c r="C668">
        <v>3</v>
      </c>
    </row>
    <row r="669" spans="1:3">
      <c r="A669" t="s">
        <v>990</v>
      </c>
      <c r="B669" t="s">
        <v>16</v>
      </c>
      <c r="C669">
        <v>1</v>
      </c>
    </row>
    <row r="670" spans="1:3">
      <c r="A670" t="s">
        <v>991</v>
      </c>
      <c r="B670" t="s">
        <v>16</v>
      </c>
      <c r="C670">
        <v>1</v>
      </c>
    </row>
    <row r="671" spans="1:3">
      <c r="A671" t="s">
        <v>992</v>
      </c>
      <c r="B671" t="s">
        <v>4</v>
      </c>
      <c r="C671">
        <v>1</v>
      </c>
    </row>
    <row r="672" spans="1:3">
      <c r="A672" t="s">
        <v>993</v>
      </c>
      <c r="B672" t="s">
        <v>64</v>
      </c>
      <c r="C672">
        <v>1</v>
      </c>
    </row>
    <row r="673" spans="1:3">
      <c r="A673" t="s">
        <v>247</v>
      </c>
      <c r="B673" t="s">
        <v>61</v>
      </c>
      <c r="C673">
        <v>1</v>
      </c>
    </row>
    <row r="674" spans="1:3">
      <c r="A674" t="s">
        <v>994</v>
      </c>
      <c r="B674" t="s">
        <v>125</v>
      </c>
      <c r="C674">
        <v>1</v>
      </c>
    </row>
    <row r="675" spans="1:3">
      <c r="A675" t="s">
        <v>995</v>
      </c>
      <c r="B675" t="s">
        <v>125</v>
      </c>
      <c r="C675">
        <v>1</v>
      </c>
    </row>
    <row r="676" spans="1:3">
      <c r="A676" t="s">
        <v>501</v>
      </c>
      <c r="B676" t="s">
        <v>16</v>
      </c>
      <c r="C676">
        <v>3</v>
      </c>
    </row>
    <row r="677" spans="1:3">
      <c r="A677" t="s">
        <v>996</v>
      </c>
      <c r="B677" t="s">
        <v>61</v>
      </c>
      <c r="C677">
        <v>1</v>
      </c>
    </row>
    <row r="678" spans="1:3">
      <c r="A678" t="s">
        <v>997</v>
      </c>
      <c r="B678" t="s">
        <v>32</v>
      </c>
      <c r="C678">
        <v>1</v>
      </c>
    </row>
    <row r="679" spans="1:3">
      <c r="A679" t="s">
        <v>998</v>
      </c>
      <c r="B679" t="s">
        <v>26</v>
      </c>
      <c r="C679">
        <v>1</v>
      </c>
    </row>
    <row r="680" spans="1:3">
      <c r="A680" t="s">
        <v>999</v>
      </c>
      <c r="B680" t="s">
        <v>26</v>
      </c>
      <c r="C680">
        <v>1</v>
      </c>
    </row>
    <row r="681" spans="1:3">
      <c r="A681" t="s">
        <v>1000</v>
      </c>
      <c r="B681" t="s">
        <v>61</v>
      </c>
      <c r="C681">
        <v>1</v>
      </c>
    </row>
    <row r="682" spans="1:3">
      <c r="A682" t="s">
        <v>1001</v>
      </c>
      <c r="B682" t="s">
        <v>16</v>
      </c>
      <c r="C682">
        <v>1</v>
      </c>
    </row>
    <row r="683" spans="1:3">
      <c r="A683" t="s">
        <v>1002</v>
      </c>
      <c r="B683" t="s">
        <v>19</v>
      </c>
      <c r="C683">
        <v>1</v>
      </c>
    </row>
    <row r="684" spans="1:3">
      <c r="A684" t="s">
        <v>1003</v>
      </c>
      <c r="B684" t="s">
        <v>16</v>
      </c>
      <c r="C684">
        <v>1</v>
      </c>
    </row>
    <row r="685" spans="1:3">
      <c r="A685" t="s">
        <v>1004</v>
      </c>
      <c r="B685" t="s">
        <v>26</v>
      </c>
      <c r="C685">
        <v>1</v>
      </c>
    </row>
    <row r="686" spans="1:3">
      <c r="A686" t="s">
        <v>1005</v>
      </c>
      <c r="B686" t="s">
        <v>26</v>
      </c>
      <c r="C686">
        <v>1</v>
      </c>
    </row>
    <row r="687" spans="1:3">
      <c r="A687" t="s">
        <v>1006</v>
      </c>
      <c r="B687" t="s">
        <v>26</v>
      </c>
      <c r="C687">
        <v>1</v>
      </c>
    </row>
    <row r="688" spans="1:3">
      <c r="A688" t="s">
        <v>1007</v>
      </c>
      <c r="B688" t="s">
        <v>138</v>
      </c>
      <c r="C688">
        <v>1</v>
      </c>
    </row>
    <row r="689" spans="1:3">
      <c r="A689" t="s">
        <v>1008</v>
      </c>
      <c r="B689" t="s">
        <v>32</v>
      </c>
      <c r="C689">
        <v>1</v>
      </c>
    </row>
    <row r="690" spans="1:3">
      <c r="A690" t="s">
        <v>1009</v>
      </c>
      <c r="B690" t="s">
        <v>138</v>
      </c>
      <c r="C690">
        <v>1</v>
      </c>
    </row>
    <row r="691" spans="1:3">
      <c r="A691" t="s">
        <v>235</v>
      </c>
      <c r="B691" t="s">
        <v>4</v>
      </c>
      <c r="C691">
        <v>1</v>
      </c>
    </row>
    <row r="692" spans="1:3">
      <c r="A692" t="s">
        <v>466</v>
      </c>
      <c r="B692" t="s">
        <v>4</v>
      </c>
      <c r="C692">
        <v>1</v>
      </c>
    </row>
    <row r="693" spans="1:3">
      <c r="A693" t="s">
        <v>1010</v>
      </c>
      <c r="B693" t="s">
        <v>4</v>
      </c>
      <c r="C693">
        <v>1</v>
      </c>
    </row>
    <row r="694" spans="1:3">
      <c r="A694" t="s">
        <v>1011</v>
      </c>
      <c r="B694" t="s">
        <v>4</v>
      </c>
      <c r="C694">
        <v>1</v>
      </c>
    </row>
    <row r="695" spans="1:3">
      <c r="A695" t="s">
        <v>1012</v>
      </c>
      <c r="B695" t="s">
        <v>4</v>
      </c>
      <c r="C695">
        <v>2</v>
      </c>
    </row>
    <row r="696" spans="1:3">
      <c r="A696" t="s">
        <v>1013</v>
      </c>
      <c r="B696" t="s">
        <v>4</v>
      </c>
      <c r="C696">
        <v>1</v>
      </c>
    </row>
    <row r="697" spans="1:3">
      <c r="A697" t="s">
        <v>1014</v>
      </c>
      <c r="B697" t="s">
        <v>16</v>
      </c>
      <c r="C697">
        <v>1</v>
      </c>
    </row>
    <row r="698" spans="1:3">
      <c r="A698" t="s">
        <v>409</v>
      </c>
      <c r="B698" t="s">
        <v>410</v>
      </c>
      <c r="C698">
        <v>1</v>
      </c>
    </row>
    <row r="699" spans="1:3">
      <c r="A699" t="s">
        <v>1015</v>
      </c>
      <c r="B699" t="s">
        <v>34</v>
      </c>
      <c r="C699">
        <v>1</v>
      </c>
    </row>
    <row r="700" spans="1:3">
      <c r="A700" t="s">
        <v>476</v>
      </c>
      <c r="B700" t="s">
        <v>26</v>
      </c>
      <c r="C700">
        <v>1</v>
      </c>
    </row>
    <row r="701" spans="1:3">
      <c r="A701" t="s">
        <v>1016</v>
      </c>
      <c r="B701" t="s">
        <v>30</v>
      </c>
      <c r="C701">
        <v>1</v>
      </c>
    </row>
    <row r="702" spans="1:3">
      <c r="A702" t="s">
        <v>1017</v>
      </c>
      <c r="B702" t="s">
        <v>64</v>
      </c>
      <c r="C702">
        <v>1</v>
      </c>
    </row>
    <row r="703" spans="1:3">
      <c r="A703" t="s">
        <v>1018</v>
      </c>
      <c r="B703" t="s">
        <v>16</v>
      </c>
      <c r="C703">
        <v>1</v>
      </c>
    </row>
    <row r="704" spans="1:3">
      <c r="A704" t="s">
        <v>1019</v>
      </c>
      <c r="B704" t="s">
        <v>22</v>
      </c>
      <c r="C704">
        <v>1</v>
      </c>
    </row>
    <row r="705" spans="1:3">
      <c r="A705" t="s">
        <v>1020</v>
      </c>
      <c r="B705" t="s">
        <v>22</v>
      </c>
      <c r="C705">
        <v>1</v>
      </c>
    </row>
    <row r="706" spans="1:3">
      <c r="A706" t="s">
        <v>224</v>
      </c>
      <c r="B706" t="s">
        <v>22</v>
      </c>
      <c r="C706">
        <v>1</v>
      </c>
    </row>
    <row r="707" spans="1:3">
      <c r="A707" t="s">
        <v>1021</v>
      </c>
      <c r="B707" t="s">
        <v>138</v>
      </c>
      <c r="C707">
        <v>1</v>
      </c>
    </row>
    <row r="708" spans="1:3">
      <c r="A708" t="s">
        <v>1022</v>
      </c>
      <c r="B708" t="s">
        <v>4</v>
      </c>
      <c r="C708">
        <v>1</v>
      </c>
    </row>
    <row r="709" spans="1:3">
      <c r="A709" t="s">
        <v>1023</v>
      </c>
      <c r="B709" t="s">
        <v>30</v>
      </c>
      <c r="C709">
        <v>2</v>
      </c>
    </row>
    <row r="710" spans="1:3">
      <c r="A710" t="s">
        <v>1024</v>
      </c>
      <c r="B710" t="s">
        <v>30</v>
      </c>
      <c r="C710">
        <v>1</v>
      </c>
    </row>
    <row r="711" spans="1:3">
      <c r="A711" t="s">
        <v>1025</v>
      </c>
      <c r="B711" t="s">
        <v>131</v>
      </c>
      <c r="C711">
        <v>1</v>
      </c>
    </row>
    <row r="712" spans="1:3">
      <c r="A712" t="s">
        <v>1026</v>
      </c>
      <c r="B712" t="s">
        <v>131</v>
      </c>
      <c r="C712">
        <v>1</v>
      </c>
    </row>
    <row r="713" spans="1:3">
      <c r="A713" t="s">
        <v>1027</v>
      </c>
      <c r="B713" t="s">
        <v>30</v>
      </c>
      <c r="C713">
        <v>1</v>
      </c>
    </row>
    <row r="714" spans="1:3">
      <c r="A714" t="s">
        <v>1028</v>
      </c>
      <c r="B714" t="s">
        <v>32</v>
      </c>
      <c r="C714">
        <v>1</v>
      </c>
    </row>
    <row r="715" spans="1:3">
      <c r="A715" t="s">
        <v>1029</v>
      </c>
      <c r="B715" t="s">
        <v>22</v>
      </c>
      <c r="C715">
        <v>1</v>
      </c>
    </row>
    <row r="716" spans="1:3">
      <c r="A716" t="s">
        <v>1030</v>
      </c>
      <c r="B716" t="s">
        <v>16</v>
      </c>
      <c r="C716">
        <v>1</v>
      </c>
    </row>
    <row r="717" spans="1:3">
      <c r="A717" t="s">
        <v>1031</v>
      </c>
      <c r="B717" t="s">
        <v>24</v>
      </c>
      <c r="C717">
        <v>1</v>
      </c>
    </row>
    <row r="718" spans="1:3">
      <c r="A718" t="s">
        <v>1032</v>
      </c>
      <c r="B718" t="s">
        <v>64</v>
      </c>
      <c r="C718">
        <v>1</v>
      </c>
    </row>
    <row r="719" spans="1:3">
      <c r="A719" t="s">
        <v>1033</v>
      </c>
      <c r="B719" t="s">
        <v>26</v>
      </c>
      <c r="C719">
        <v>1</v>
      </c>
    </row>
    <row r="720" spans="1:3">
      <c r="A720" t="s">
        <v>1034</v>
      </c>
      <c r="B720" t="s">
        <v>26</v>
      </c>
      <c r="C720">
        <v>1</v>
      </c>
    </row>
    <row r="721" spans="1:3">
      <c r="A721" t="s">
        <v>1035</v>
      </c>
      <c r="B721" t="s">
        <v>19</v>
      </c>
      <c r="C721">
        <v>1</v>
      </c>
    </row>
    <row r="722" spans="1:3">
      <c r="A722" t="s">
        <v>1036</v>
      </c>
      <c r="B722" t="s">
        <v>19</v>
      </c>
      <c r="C722">
        <v>1</v>
      </c>
    </row>
    <row r="723" spans="1:3">
      <c r="A723" t="s">
        <v>1037</v>
      </c>
      <c r="B723" t="s">
        <v>19</v>
      </c>
      <c r="C723">
        <v>1</v>
      </c>
    </row>
    <row r="724" spans="1:3">
      <c r="A724" t="s">
        <v>1038</v>
      </c>
      <c r="B724" t="s">
        <v>19</v>
      </c>
      <c r="C724">
        <v>1</v>
      </c>
    </row>
    <row r="725" spans="1:3">
      <c r="A725" t="s">
        <v>1039</v>
      </c>
      <c r="B725" t="s">
        <v>19</v>
      </c>
      <c r="C725">
        <v>1</v>
      </c>
    </row>
    <row r="726" spans="1:3">
      <c r="A726" t="s">
        <v>1040</v>
      </c>
      <c r="B726" t="s">
        <v>19</v>
      </c>
      <c r="C726">
        <v>1</v>
      </c>
    </row>
    <row r="727" spans="1:3">
      <c r="A727" t="s">
        <v>1041</v>
      </c>
      <c r="B727" t="s">
        <v>19</v>
      </c>
      <c r="C727">
        <v>1</v>
      </c>
    </row>
    <row r="728" spans="1:3">
      <c r="A728" t="s">
        <v>1042</v>
      </c>
      <c r="B728" t="s">
        <v>34</v>
      </c>
      <c r="C728">
        <v>1</v>
      </c>
    </row>
    <row r="729" spans="1:3">
      <c r="A729" t="s">
        <v>1043</v>
      </c>
      <c r="B729" t="s">
        <v>16</v>
      </c>
      <c r="C729">
        <v>1</v>
      </c>
    </row>
    <row r="730" spans="1:3">
      <c r="A730" t="s">
        <v>1044</v>
      </c>
      <c r="B730" t="s">
        <v>26</v>
      </c>
      <c r="C730">
        <v>1</v>
      </c>
    </row>
    <row r="731" spans="1:3">
      <c r="A731" t="s">
        <v>1045</v>
      </c>
      <c r="B731" t="s">
        <v>4</v>
      </c>
      <c r="C731">
        <v>1</v>
      </c>
    </row>
    <row r="732" spans="1:3">
      <c r="A732" t="s">
        <v>1046</v>
      </c>
      <c r="B732" t="s">
        <v>410</v>
      </c>
      <c r="C732">
        <v>1</v>
      </c>
    </row>
    <row r="733" spans="1:3">
      <c r="A733" t="s">
        <v>1047</v>
      </c>
      <c r="B733" t="s">
        <v>113</v>
      </c>
      <c r="C733">
        <v>1</v>
      </c>
    </row>
    <row r="734" spans="1:3">
      <c r="A734" t="s">
        <v>1048</v>
      </c>
      <c r="B734" t="s">
        <v>4</v>
      </c>
      <c r="C734">
        <v>1</v>
      </c>
    </row>
    <row r="735" spans="1:3">
      <c r="A735" t="s">
        <v>1049</v>
      </c>
      <c r="B735" t="s">
        <v>64</v>
      </c>
      <c r="C735">
        <v>1</v>
      </c>
    </row>
    <row r="736" spans="1:3">
      <c r="A736" t="s">
        <v>1050</v>
      </c>
      <c r="B736" t="s">
        <v>64</v>
      </c>
      <c r="C736">
        <v>1</v>
      </c>
    </row>
    <row r="737" spans="1:3">
      <c r="A737" t="s">
        <v>369</v>
      </c>
      <c r="B737" t="s">
        <v>64</v>
      </c>
      <c r="C737">
        <v>1</v>
      </c>
    </row>
    <row r="738" spans="1:3">
      <c r="A738" t="s">
        <v>1051</v>
      </c>
      <c r="B738" t="s">
        <v>115</v>
      </c>
      <c r="C738">
        <v>1</v>
      </c>
    </row>
    <row r="739" spans="1:3">
      <c r="A739" t="s">
        <v>1052</v>
      </c>
      <c r="B739" t="s">
        <v>61</v>
      </c>
      <c r="C739">
        <v>1</v>
      </c>
    </row>
    <row r="740" spans="1:3">
      <c r="A740" t="s">
        <v>1053</v>
      </c>
      <c r="B740" t="s">
        <v>16</v>
      </c>
      <c r="C740">
        <v>1</v>
      </c>
    </row>
    <row r="741" spans="1:3">
      <c r="A741" t="s">
        <v>1054</v>
      </c>
      <c r="B741" t="s">
        <v>34</v>
      </c>
      <c r="C741">
        <v>1</v>
      </c>
    </row>
    <row r="742" spans="1:3">
      <c r="A742" t="s">
        <v>284</v>
      </c>
      <c r="B742" t="s">
        <v>16</v>
      </c>
      <c r="C742">
        <v>1</v>
      </c>
    </row>
    <row r="743" spans="1:3">
      <c r="A743" t="s">
        <v>1055</v>
      </c>
      <c r="B743" t="s">
        <v>61</v>
      </c>
      <c r="C743">
        <v>1</v>
      </c>
    </row>
    <row r="744" spans="1:3">
      <c r="A744" t="s">
        <v>1056</v>
      </c>
      <c r="B744" t="s">
        <v>113</v>
      </c>
      <c r="C744">
        <v>1</v>
      </c>
    </row>
    <row r="745" spans="1:3">
      <c r="A745" t="s">
        <v>1057</v>
      </c>
      <c r="B745" t="s">
        <v>113</v>
      </c>
      <c r="C745">
        <v>1</v>
      </c>
    </row>
    <row r="746" spans="1:3">
      <c r="A746" t="s">
        <v>1058</v>
      </c>
      <c r="B746" t="s">
        <v>113</v>
      </c>
      <c r="C746">
        <v>1</v>
      </c>
    </row>
    <row r="747" spans="1:3">
      <c r="A747" t="s">
        <v>1059</v>
      </c>
      <c r="B747" t="s">
        <v>113</v>
      </c>
      <c r="C747">
        <v>1</v>
      </c>
    </row>
    <row r="748" spans="1:3">
      <c r="A748" t="s">
        <v>1060</v>
      </c>
      <c r="B748" t="s">
        <v>113</v>
      </c>
      <c r="C748">
        <v>1</v>
      </c>
    </row>
    <row r="749" spans="1:3">
      <c r="A749" t="s">
        <v>1061</v>
      </c>
      <c r="B749" t="s">
        <v>113</v>
      </c>
      <c r="C749">
        <v>1</v>
      </c>
    </row>
    <row r="750" spans="1:3">
      <c r="A750" t="s">
        <v>1062</v>
      </c>
      <c r="B750" t="s">
        <v>16</v>
      </c>
      <c r="C750">
        <v>1</v>
      </c>
    </row>
    <row r="751" spans="1:3">
      <c r="A751" t="s">
        <v>1063</v>
      </c>
      <c r="B751" t="s">
        <v>34</v>
      </c>
      <c r="C751">
        <v>1</v>
      </c>
    </row>
    <row r="752" spans="1:3">
      <c r="A752" t="s">
        <v>1064</v>
      </c>
      <c r="B752" t="s">
        <v>16</v>
      </c>
      <c r="C752">
        <v>1</v>
      </c>
    </row>
    <row r="754" spans="1:2">
      <c r="A754" s="2" t="s">
        <v>47</v>
      </c>
    </row>
    <row r="755" spans="1:2">
      <c r="A755" s="2" t="s">
        <v>0</v>
      </c>
      <c r="B755" s="2" t="s">
        <v>1</v>
      </c>
    </row>
    <row r="756" spans="1:2">
      <c r="A756" t="s">
        <v>555</v>
      </c>
      <c r="B756">
        <v>22</v>
      </c>
    </row>
    <row r="757" spans="1:2">
      <c r="A757" t="s">
        <v>177</v>
      </c>
      <c r="B757">
        <v>13</v>
      </c>
    </row>
    <row r="758" spans="1:2">
      <c r="A758" t="s">
        <v>395</v>
      </c>
      <c r="B758">
        <v>8</v>
      </c>
    </row>
    <row r="759" spans="1:2">
      <c r="A759" t="s">
        <v>56</v>
      </c>
      <c r="B759">
        <v>7</v>
      </c>
    </row>
    <row r="760" spans="1:2">
      <c r="A760" t="s">
        <v>571</v>
      </c>
      <c r="B760">
        <v>4</v>
      </c>
    </row>
    <row r="761" spans="1:2">
      <c r="A761" t="s">
        <v>167</v>
      </c>
      <c r="B761">
        <v>20</v>
      </c>
    </row>
    <row r="762" spans="1:2">
      <c r="A762" t="s">
        <v>133</v>
      </c>
      <c r="B762">
        <v>58</v>
      </c>
    </row>
    <row r="763" spans="1:2">
      <c r="A763" t="s">
        <v>573</v>
      </c>
      <c r="B763">
        <v>1</v>
      </c>
    </row>
    <row r="764" spans="1:2">
      <c r="A764" t="s">
        <v>583</v>
      </c>
      <c r="B764">
        <v>23</v>
      </c>
    </row>
    <row r="765" spans="1:2">
      <c r="A765" t="s">
        <v>603</v>
      </c>
      <c r="B765">
        <v>5</v>
      </c>
    </row>
    <row r="766" spans="1:2">
      <c r="A766" t="s">
        <v>17</v>
      </c>
      <c r="B766">
        <v>6</v>
      </c>
    </row>
    <row r="767" spans="1:2">
      <c r="A767" t="s">
        <v>607</v>
      </c>
      <c r="B767">
        <v>4</v>
      </c>
    </row>
    <row r="768" spans="1:2">
      <c r="A768" t="s">
        <v>336</v>
      </c>
      <c r="B768">
        <v>14</v>
      </c>
    </row>
    <row r="769" spans="1:2">
      <c r="A769" t="s">
        <v>455</v>
      </c>
      <c r="B769">
        <v>13</v>
      </c>
    </row>
    <row r="770" spans="1:2">
      <c r="A770" t="s">
        <v>168</v>
      </c>
      <c r="B770">
        <v>3</v>
      </c>
    </row>
    <row r="771" spans="1:2">
      <c r="A771" t="s">
        <v>620</v>
      </c>
      <c r="B771">
        <v>1</v>
      </c>
    </row>
    <row r="772" spans="1:2">
      <c r="A772" t="s">
        <v>477</v>
      </c>
      <c r="B772">
        <v>19</v>
      </c>
    </row>
    <row r="773" spans="1:2">
      <c r="A773" t="s">
        <v>163</v>
      </c>
      <c r="B773">
        <v>7</v>
      </c>
    </row>
    <row r="774" spans="1:2">
      <c r="A774" t="s">
        <v>394</v>
      </c>
      <c r="B774">
        <v>5</v>
      </c>
    </row>
    <row r="775" spans="1:2">
      <c r="A775" t="s">
        <v>650</v>
      </c>
      <c r="B775">
        <v>2</v>
      </c>
    </row>
    <row r="776" spans="1:2">
      <c r="A776" t="s">
        <v>651</v>
      </c>
      <c r="B776">
        <v>12</v>
      </c>
    </row>
    <row r="777" spans="1:2">
      <c r="A777" t="s">
        <v>212</v>
      </c>
      <c r="B777">
        <v>25</v>
      </c>
    </row>
    <row r="778" spans="1:2">
      <c r="A778" t="s">
        <v>678</v>
      </c>
      <c r="B778">
        <v>3</v>
      </c>
    </row>
    <row r="779" spans="1:2">
      <c r="A779" t="s">
        <v>443</v>
      </c>
      <c r="B779">
        <v>2</v>
      </c>
    </row>
    <row r="780" spans="1:2">
      <c r="A780" t="s">
        <v>691</v>
      </c>
      <c r="B780">
        <v>5</v>
      </c>
    </row>
    <row r="781" spans="1:2">
      <c r="A781" t="s">
        <v>695</v>
      </c>
      <c r="B781">
        <v>5</v>
      </c>
    </row>
    <row r="782" spans="1:2">
      <c r="A782" t="s">
        <v>696</v>
      </c>
      <c r="B782">
        <v>1</v>
      </c>
    </row>
    <row r="783" spans="1:2">
      <c r="A783" t="s">
        <v>436</v>
      </c>
      <c r="B783">
        <v>2</v>
      </c>
    </row>
    <row r="784" spans="1:2">
      <c r="A784" t="s">
        <v>269</v>
      </c>
      <c r="B784">
        <v>3</v>
      </c>
    </row>
    <row r="785" spans="1:2">
      <c r="A785" t="s">
        <v>708</v>
      </c>
      <c r="B785">
        <v>19</v>
      </c>
    </row>
    <row r="786" spans="1:2">
      <c r="A786" t="s">
        <v>709</v>
      </c>
      <c r="B786">
        <v>1</v>
      </c>
    </row>
    <row r="787" spans="1:2">
      <c r="A787" t="s">
        <v>390</v>
      </c>
      <c r="B787">
        <v>4</v>
      </c>
    </row>
    <row r="788" spans="1:2">
      <c r="A788" t="s">
        <v>728</v>
      </c>
      <c r="B788">
        <v>3</v>
      </c>
    </row>
    <row r="789" spans="1:2">
      <c r="A789" t="s">
        <v>106</v>
      </c>
      <c r="B789">
        <v>5</v>
      </c>
    </row>
    <row r="790" spans="1:2">
      <c r="A790" t="s">
        <v>731</v>
      </c>
      <c r="B790">
        <v>1</v>
      </c>
    </row>
    <row r="791" spans="1:2">
      <c r="A791" t="s">
        <v>201</v>
      </c>
      <c r="B791">
        <v>20</v>
      </c>
    </row>
    <row r="792" spans="1:2">
      <c r="A792" t="s">
        <v>738</v>
      </c>
      <c r="B792">
        <v>1</v>
      </c>
    </row>
    <row r="793" spans="1:2">
      <c r="A793" t="s">
        <v>360</v>
      </c>
      <c r="B793">
        <v>3</v>
      </c>
    </row>
    <row r="794" spans="1:2">
      <c r="A794" t="s">
        <v>204</v>
      </c>
      <c r="B794">
        <v>4</v>
      </c>
    </row>
    <row r="795" spans="1:2">
      <c r="A795" t="s">
        <v>743</v>
      </c>
      <c r="B795">
        <v>2</v>
      </c>
    </row>
    <row r="796" spans="1:2">
      <c r="A796" t="s">
        <v>187</v>
      </c>
      <c r="B796">
        <v>2</v>
      </c>
    </row>
    <row r="797" spans="1:2">
      <c r="A797" t="s">
        <v>753</v>
      </c>
      <c r="B797">
        <v>3</v>
      </c>
    </row>
    <row r="798" spans="1:2">
      <c r="A798" t="s">
        <v>315</v>
      </c>
      <c r="B798">
        <v>2</v>
      </c>
    </row>
    <row r="799" spans="1:2">
      <c r="A799" t="s">
        <v>150</v>
      </c>
      <c r="B799">
        <v>2</v>
      </c>
    </row>
    <row r="800" spans="1:2">
      <c r="A800" t="s">
        <v>294</v>
      </c>
      <c r="B800">
        <v>6</v>
      </c>
    </row>
    <row r="801" spans="1:2">
      <c r="A801" t="s">
        <v>58</v>
      </c>
      <c r="B801">
        <v>2</v>
      </c>
    </row>
    <row r="802" spans="1:2">
      <c r="A802" t="s">
        <v>479</v>
      </c>
      <c r="B802">
        <v>2</v>
      </c>
    </row>
    <row r="803" spans="1:2">
      <c r="A803" t="s">
        <v>791</v>
      </c>
      <c r="B803">
        <v>1</v>
      </c>
    </row>
    <row r="804" spans="1:2">
      <c r="A804" t="s">
        <v>795</v>
      </c>
      <c r="B804">
        <v>1</v>
      </c>
    </row>
    <row r="805" spans="1:2">
      <c r="A805" t="s">
        <v>797</v>
      </c>
      <c r="B805">
        <v>1</v>
      </c>
    </row>
    <row r="806" spans="1:2">
      <c r="A806" t="s">
        <v>495</v>
      </c>
      <c r="B806">
        <v>1</v>
      </c>
    </row>
    <row r="807" spans="1:2">
      <c r="A807" t="s">
        <v>264</v>
      </c>
      <c r="B807">
        <v>1</v>
      </c>
    </row>
    <row r="808" spans="1:2">
      <c r="A808" t="s">
        <v>805</v>
      </c>
      <c r="B808">
        <v>1</v>
      </c>
    </row>
    <row r="809" spans="1:2">
      <c r="A809" t="s">
        <v>807</v>
      </c>
      <c r="B809">
        <v>2</v>
      </c>
    </row>
    <row r="810" spans="1:2">
      <c r="A810" t="s">
        <v>75</v>
      </c>
      <c r="B810">
        <v>1</v>
      </c>
    </row>
    <row r="811" spans="1:2">
      <c r="A811" t="s">
        <v>355</v>
      </c>
      <c r="B811">
        <v>4</v>
      </c>
    </row>
    <row r="812" spans="1:2">
      <c r="A812" t="s">
        <v>432</v>
      </c>
      <c r="B812">
        <v>5</v>
      </c>
    </row>
    <row r="813" spans="1:2">
      <c r="A813" t="s">
        <v>817</v>
      </c>
      <c r="B813">
        <v>2</v>
      </c>
    </row>
    <row r="814" spans="1:2">
      <c r="A814" t="s">
        <v>117</v>
      </c>
      <c r="B814">
        <v>1</v>
      </c>
    </row>
    <row r="815" spans="1:2">
      <c r="A815" t="s">
        <v>834</v>
      </c>
      <c r="B815">
        <v>1</v>
      </c>
    </row>
    <row r="816" spans="1:2">
      <c r="A816" t="s">
        <v>844</v>
      </c>
      <c r="B816">
        <v>1</v>
      </c>
    </row>
    <row r="817" spans="1:2">
      <c r="A817" t="s">
        <v>202</v>
      </c>
      <c r="B817">
        <v>1</v>
      </c>
    </row>
    <row r="818" spans="1:2">
      <c r="A818" t="s">
        <v>863</v>
      </c>
      <c r="B818">
        <v>1</v>
      </c>
    </row>
    <row r="819" spans="1:2">
      <c r="A819" t="s">
        <v>46</v>
      </c>
      <c r="B819">
        <v>1</v>
      </c>
    </row>
    <row r="820" spans="1:2">
      <c r="A820" t="s">
        <v>431</v>
      </c>
      <c r="B820">
        <v>1</v>
      </c>
    </row>
    <row r="821" spans="1:2">
      <c r="A821" t="s">
        <v>904</v>
      </c>
      <c r="B821">
        <v>1</v>
      </c>
    </row>
    <row r="822" spans="1:2">
      <c r="A822" t="s">
        <v>912</v>
      </c>
      <c r="B822">
        <v>1</v>
      </c>
    </row>
    <row r="823" spans="1:2">
      <c r="A823" t="s">
        <v>913</v>
      </c>
      <c r="B823">
        <v>1</v>
      </c>
    </row>
    <row r="824" spans="1:2">
      <c r="A824" t="s">
        <v>915</v>
      </c>
      <c r="B824">
        <v>5</v>
      </c>
    </row>
    <row r="825" spans="1:2">
      <c r="A825" t="s">
        <v>119</v>
      </c>
      <c r="B825">
        <v>1</v>
      </c>
    </row>
    <row r="826" spans="1:2">
      <c r="A826" t="s">
        <v>920</v>
      </c>
      <c r="B826">
        <v>4</v>
      </c>
    </row>
    <row r="827" spans="1:2">
      <c r="A827" t="s">
        <v>921</v>
      </c>
      <c r="B827">
        <v>1</v>
      </c>
    </row>
    <row r="828" spans="1:2">
      <c r="A828" t="s">
        <v>936</v>
      </c>
      <c r="B828">
        <v>1</v>
      </c>
    </row>
    <row r="829" spans="1:2">
      <c r="A829" t="s">
        <v>946</v>
      </c>
      <c r="B829">
        <v>1</v>
      </c>
    </row>
    <row r="830" spans="1:2">
      <c r="A830" t="s">
        <v>955</v>
      </c>
      <c r="B830">
        <v>1</v>
      </c>
    </row>
    <row r="831" spans="1:2">
      <c r="A831" t="s">
        <v>959</v>
      </c>
      <c r="B831">
        <v>1</v>
      </c>
    </row>
    <row r="832" spans="1:2">
      <c r="A832" t="s">
        <v>961</v>
      </c>
      <c r="B832">
        <v>1</v>
      </c>
    </row>
    <row r="833" spans="1:2">
      <c r="A833" t="s">
        <v>966</v>
      </c>
      <c r="B833">
        <v>1</v>
      </c>
    </row>
    <row r="834" spans="1:2">
      <c r="A834" t="s">
        <v>970</v>
      </c>
      <c r="B834">
        <v>1</v>
      </c>
    </row>
    <row r="835" spans="1:2">
      <c r="A835" t="s">
        <v>990</v>
      </c>
      <c r="B835">
        <v>1</v>
      </c>
    </row>
    <row r="836" spans="1:2">
      <c r="A836" t="s">
        <v>991</v>
      </c>
      <c r="B836">
        <v>1</v>
      </c>
    </row>
    <row r="837" spans="1:2">
      <c r="A837" t="s">
        <v>501</v>
      </c>
      <c r="B837">
        <v>3</v>
      </c>
    </row>
    <row r="838" spans="1:2">
      <c r="A838" t="s">
        <v>1001</v>
      </c>
      <c r="B838">
        <v>1</v>
      </c>
    </row>
    <row r="839" spans="1:2">
      <c r="A839" t="s">
        <v>1003</v>
      </c>
      <c r="B839">
        <v>1</v>
      </c>
    </row>
    <row r="840" spans="1:2">
      <c r="A840" t="s">
        <v>1014</v>
      </c>
      <c r="B840">
        <v>1</v>
      </c>
    </row>
    <row r="841" spans="1:2">
      <c r="A841" t="s">
        <v>1018</v>
      </c>
      <c r="B841">
        <v>1</v>
      </c>
    </row>
    <row r="842" spans="1:2">
      <c r="A842" t="s">
        <v>1030</v>
      </c>
      <c r="B842">
        <v>1</v>
      </c>
    </row>
    <row r="843" spans="1:2">
      <c r="A843" t="s">
        <v>1043</v>
      </c>
      <c r="B843">
        <v>1</v>
      </c>
    </row>
    <row r="844" spans="1:2">
      <c r="A844" t="s">
        <v>1053</v>
      </c>
      <c r="B844">
        <v>1</v>
      </c>
    </row>
    <row r="845" spans="1:2">
      <c r="A845" t="s">
        <v>284</v>
      </c>
      <c r="B845">
        <v>1</v>
      </c>
    </row>
    <row r="846" spans="1:2">
      <c r="A846" t="s">
        <v>1062</v>
      </c>
      <c r="B846">
        <v>1</v>
      </c>
    </row>
    <row r="847" spans="1:2">
      <c r="A847" t="s">
        <v>1064</v>
      </c>
      <c r="B847">
        <v>1</v>
      </c>
    </row>
    <row r="848" spans="1:2">
      <c r="A848" s="2" t="s">
        <v>9</v>
      </c>
      <c r="B848" s="2">
        <v>438</v>
      </c>
    </row>
    <row r="850" spans="1:2">
      <c r="A850" s="2" t="s">
        <v>541</v>
      </c>
    </row>
    <row r="851" spans="1:2">
      <c r="A851" s="2" t="s">
        <v>0</v>
      </c>
      <c r="B851" s="2" t="s">
        <v>1</v>
      </c>
    </row>
    <row r="852" spans="1:2">
      <c r="A852" t="s">
        <v>393</v>
      </c>
      <c r="B852">
        <v>5</v>
      </c>
    </row>
    <row r="853" spans="1:2">
      <c r="A853" t="s">
        <v>558</v>
      </c>
      <c r="B853">
        <v>2</v>
      </c>
    </row>
    <row r="854" spans="1:2">
      <c r="A854" t="s">
        <v>580</v>
      </c>
      <c r="B854">
        <v>14</v>
      </c>
    </row>
    <row r="855" spans="1:2">
      <c r="A855" t="s">
        <v>581</v>
      </c>
      <c r="B855">
        <v>21</v>
      </c>
    </row>
    <row r="856" spans="1:2">
      <c r="A856" t="s">
        <v>591</v>
      </c>
      <c r="B856">
        <v>3</v>
      </c>
    </row>
    <row r="857" spans="1:2">
      <c r="A857" t="s">
        <v>486</v>
      </c>
      <c r="B857">
        <v>21</v>
      </c>
    </row>
    <row r="858" spans="1:2">
      <c r="A858" t="s">
        <v>627</v>
      </c>
      <c r="B858">
        <v>7</v>
      </c>
    </row>
    <row r="859" spans="1:2">
      <c r="A859" t="s">
        <v>227</v>
      </c>
      <c r="B859">
        <v>6</v>
      </c>
    </row>
    <row r="860" spans="1:2">
      <c r="A860" t="s">
        <v>279</v>
      </c>
      <c r="B860">
        <v>9</v>
      </c>
    </row>
    <row r="861" spans="1:2">
      <c r="A861" t="s">
        <v>655</v>
      </c>
      <c r="B861">
        <v>1</v>
      </c>
    </row>
    <row r="862" spans="1:2">
      <c r="A862" t="s">
        <v>656</v>
      </c>
      <c r="B862">
        <v>3</v>
      </c>
    </row>
    <row r="863" spans="1:2">
      <c r="A863" t="s">
        <v>251</v>
      </c>
      <c r="B863">
        <v>8</v>
      </c>
    </row>
    <row r="864" spans="1:2">
      <c r="A864" t="s">
        <v>502</v>
      </c>
      <c r="B864">
        <v>1</v>
      </c>
    </row>
    <row r="865" spans="1:2">
      <c r="A865" t="s">
        <v>682</v>
      </c>
      <c r="B865">
        <v>2</v>
      </c>
    </row>
    <row r="866" spans="1:2">
      <c r="A866" t="s">
        <v>285</v>
      </c>
      <c r="B866">
        <v>5</v>
      </c>
    </row>
    <row r="867" spans="1:2">
      <c r="A867" t="s">
        <v>232</v>
      </c>
      <c r="B867">
        <v>3</v>
      </c>
    </row>
    <row r="868" spans="1:2">
      <c r="A868" t="s">
        <v>701</v>
      </c>
      <c r="B868">
        <v>1</v>
      </c>
    </row>
    <row r="869" spans="1:2">
      <c r="A869" t="s">
        <v>252</v>
      </c>
      <c r="B869">
        <v>2</v>
      </c>
    </row>
    <row r="870" spans="1:2">
      <c r="A870" t="s">
        <v>478</v>
      </c>
      <c r="B870">
        <v>2</v>
      </c>
    </row>
    <row r="871" spans="1:2">
      <c r="A871" t="s">
        <v>724</v>
      </c>
      <c r="B871">
        <v>2</v>
      </c>
    </row>
    <row r="872" spans="1:2">
      <c r="A872" t="s">
        <v>552</v>
      </c>
      <c r="B872">
        <v>1</v>
      </c>
    </row>
    <row r="873" spans="1:2">
      <c r="A873" t="s">
        <v>726</v>
      </c>
      <c r="B873">
        <v>1</v>
      </c>
    </row>
    <row r="874" spans="1:2">
      <c r="A874" t="s">
        <v>280</v>
      </c>
      <c r="B874">
        <v>5</v>
      </c>
    </row>
    <row r="875" spans="1:2">
      <c r="A875" t="s">
        <v>732</v>
      </c>
      <c r="B875">
        <v>1</v>
      </c>
    </row>
    <row r="876" spans="1:2">
      <c r="A876" t="s">
        <v>234</v>
      </c>
      <c r="B876">
        <v>1</v>
      </c>
    </row>
    <row r="877" spans="1:2">
      <c r="A877" t="s">
        <v>821</v>
      </c>
      <c r="B877">
        <v>6</v>
      </c>
    </row>
    <row r="878" spans="1:2">
      <c r="A878" t="s">
        <v>822</v>
      </c>
      <c r="B878">
        <v>7</v>
      </c>
    </row>
    <row r="879" spans="1:2">
      <c r="A879" t="s">
        <v>869</v>
      </c>
      <c r="B879">
        <v>2</v>
      </c>
    </row>
    <row r="880" spans="1:2">
      <c r="A880" t="s">
        <v>871</v>
      </c>
      <c r="B880">
        <v>4</v>
      </c>
    </row>
    <row r="881" spans="1:2">
      <c r="A881" t="s">
        <v>873</v>
      </c>
      <c r="B881">
        <v>2</v>
      </c>
    </row>
    <row r="882" spans="1:2">
      <c r="A882" t="s">
        <v>308</v>
      </c>
      <c r="B882">
        <v>1</v>
      </c>
    </row>
    <row r="883" spans="1:2">
      <c r="A883" t="s">
        <v>919</v>
      </c>
      <c r="B883">
        <v>1</v>
      </c>
    </row>
    <row r="884" spans="1:2">
      <c r="A884" t="s">
        <v>930</v>
      </c>
      <c r="B884">
        <v>1</v>
      </c>
    </row>
    <row r="885" spans="1:2">
      <c r="A885" t="s">
        <v>973</v>
      </c>
      <c r="B885">
        <v>1</v>
      </c>
    </row>
    <row r="886" spans="1:2">
      <c r="A886" s="2" t="s">
        <v>9</v>
      </c>
      <c r="B886" s="2">
        <v>152</v>
      </c>
    </row>
    <row r="888" spans="1:2">
      <c r="A888" s="2" t="s">
        <v>542</v>
      </c>
    </row>
    <row r="889" spans="1:2">
      <c r="A889" s="2" t="s">
        <v>0</v>
      </c>
      <c r="B889" s="2" t="s">
        <v>1</v>
      </c>
    </row>
    <row r="890" spans="1:2">
      <c r="A890" t="s">
        <v>556</v>
      </c>
      <c r="B890">
        <v>2</v>
      </c>
    </row>
    <row r="891" spans="1:2">
      <c r="A891" t="s">
        <v>612</v>
      </c>
      <c r="B891">
        <v>2</v>
      </c>
    </row>
    <row r="892" spans="1:2">
      <c r="A892" t="s">
        <v>962</v>
      </c>
      <c r="B892">
        <v>1</v>
      </c>
    </row>
    <row r="893" spans="1:2">
      <c r="A893" s="2" t="s">
        <v>9</v>
      </c>
      <c r="B893" s="2">
        <v>5</v>
      </c>
    </row>
    <row r="895" spans="1:2">
      <c r="A895" s="2" t="s">
        <v>95</v>
      </c>
    </row>
    <row r="896" spans="1:2">
      <c r="A896" s="2" t="s">
        <v>0</v>
      </c>
      <c r="B896" s="2" t="s">
        <v>1</v>
      </c>
    </row>
    <row r="897" spans="1:2">
      <c r="A897" t="s">
        <v>557</v>
      </c>
      <c r="B897">
        <v>1</v>
      </c>
    </row>
    <row r="898" spans="1:2">
      <c r="A898" t="s">
        <v>238</v>
      </c>
      <c r="B898">
        <v>10</v>
      </c>
    </row>
    <row r="899" spans="1:2">
      <c r="A899" t="s">
        <v>330</v>
      </c>
      <c r="B899">
        <v>13</v>
      </c>
    </row>
    <row r="900" spans="1:2">
      <c r="A900" t="s">
        <v>599</v>
      </c>
      <c r="B900">
        <v>5</v>
      </c>
    </row>
    <row r="901" spans="1:2">
      <c r="A901" t="s">
        <v>303</v>
      </c>
      <c r="B901">
        <v>8</v>
      </c>
    </row>
    <row r="902" spans="1:2">
      <c r="A902" t="s">
        <v>623</v>
      </c>
      <c r="B902">
        <v>1</v>
      </c>
    </row>
    <row r="903" spans="1:2">
      <c r="A903" t="s">
        <v>625</v>
      </c>
      <c r="B903">
        <v>1</v>
      </c>
    </row>
    <row r="904" spans="1:2">
      <c r="A904" t="s">
        <v>630</v>
      </c>
      <c r="B904">
        <v>1</v>
      </c>
    </row>
    <row r="905" spans="1:2">
      <c r="A905" t="s">
        <v>646</v>
      </c>
      <c r="B905">
        <v>3</v>
      </c>
    </row>
    <row r="906" spans="1:2">
      <c r="A906" t="s">
        <v>658</v>
      </c>
      <c r="B906">
        <v>1</v>
      </c>
    </row>
    <row r="907" spans="1:2">
      <c r="A907" t="s">
        <v>659</v>
      </c>
      <c r="B907">
        <v>1</v>
      </c>
    </row>
    <row r="908" spans="1:2">
      <c r="A908" t="s">
        <v>412</v>
      </c>
      <c r="B908">
        <v>2</v>
      </c>
    </row>
    <row r="909" spans="1:2">
      <c r="A909" t="s">
        <v>665</v>
      </c>
      <c r="B909">
        <v>3</v>
      </c>
    </row>
    <row r="910" spans="1:2">
      <c r="A910" t="s">
        <v>388</v>
      </c>
      <c r="B910">
        <v>1</v>
      </c>
    </row>
    <row r="911" spans="1:2">
      <c r="A911" t="s">
        <v>331</v>
      </c>
      <c r="B911">
        <v>7</v>
      </c>
    </row>
    <row r="912" spans="1:2">
      <c r="A912" t="s">
        <v>700</v>
      </c>
      <c r="B912">
        <v>1</v>
      </c>
    </row>
    <row r="913" spans="1:2">
      <c r="A913" t="s">
        <v>705</v>
      </c>
      <c r="B913">
        <v>1</v>
      </c>
    </row>
    <row r="914" spans="1:2">
      <c r="A914" t="s">
        <v>165</v>
      </c>
      <c r="B914">
        <v>4</v>
      </c>
    </row>
    <row r="915" spans="1:2">
      <c r="A915" t="s">
        <v>735</v>
      </c>
      <c r="B915">
        <v>1</v>
      </c>
    </row>
    <row r="916" spans="1:2">
      <c r="A916" t="s">
        <v>756</v>
      </c>
      <c r="B916">
        <v>3</v>
      </c>
    </row>
    <row r="917" spans="1:2">
      <c r="A917" t="s">
        <v>463</v>
      </c>
      <c r="B917">
        <v>2</v>
      </c>
    </row>
    <row r="918" spans="1:2">
      <c r="A918" t="s">
        <v>778</v>
      </c>
      <c r="B918">
        <v>1</v>
      </c>
    </row>
    <row r="919" spans="1:2">
      <c r="A919" t="s">
        <v>783</v>
      </c>
      <c r="B919">
        <v>1</v>
      </c>
    </row>
    <row r="920" spans="1:2">
      <c r="A920" t="s">
        <v>785</v>
      </c>
      <c r="B920">
        <v>1</v>
      </c>
    </row>
    <row r="921" spans="1:2">
      <c r="A921" t="s">
        <v>852</v>
      </c>
      <c r="B921">
        <v>2</v>
      </c>
    </row>
    <row r="922" spans="1:2">
      <c r="A922" t="s">
        <v>190</v>
      </c>
      <c r="B922">
        <v>5</v>
      </c>
    </row>
    <row r="923" spans="1:2">
      <c r="A923" t="s">
        <v>325</v>
      </c>
      <c r="B923">
        <v>1</v>
      </c>
    </row>
    <row r="924" spans="1:2">
      <c r="A924" t="s">
        <v>370</v>
      </c>
      <c r="B924">
        <v>4</v>
      </c>
    </row>
    <row r="925" spans="1:2">
      <c r="A925" t="s">
        <v>83</v>
      </c>
      <c r="B925">
        <v>3</v>
      </c>
    </row>
    <row r="926" spans="1:2">
      <c r="A926" t="s">
        <v>940</v>
      </c>
      <c r="B926">
        <v>1</v>
      </c>
    </row>
    <row r="927" spans="1:2">
      <c r="A927" t="s">
        <v>965</v>
      </c>
      <c r="B927">
        <v>1</v>
      </c>
    </row>
    <row r="928" spans="1:2">
      <c r="A928" t="s">
        <v>386</v>
      </c>
      <c r="B928">
        <v>1</v>
      </c>
    </row>
    <row r="929" spans="1:2">
      <c r="A929" t="s">
        <v>90</v>
      </c>
      <c r="B929">
        <v>1</v>
      </c>
    </row>
    <row r="930" spans="1:2">
      <c r="A930" t="s">
        <v>979</v>
      </c>
      <c r="B930">
        <v>1</v>
      </c>
    </row>
    <row r="931" spans="1:2">
      <c r="A931" t="s">
        <v>247</v>
      </c>
      <c r="B931">
        <v>1</v>
      </c>
    </row>
    <row r="932" spans="1:2">
      <c r="A932" t="s">
        <v>996</v>
      </c>
      <c r="B932">
        <v>1</v>
      </c>
    </row>
    <row r="933" spans="1:2">
      <c r="A933" t="s">
        <v>1000</v>
      </c>
      <c r="B933">
        <v>1</v>
      </c>
    </row>
    <row r="934" spans="1:2">
      <c r="A934" t="s">
        <v>1052</v>
      </c>
      <c r="B934">
        <v>1</v>
      </c>
    </row>
    <row r="935" spans="1:2">
      <c r="A935" t="s">
        <v>1055</v>
      </c>
      <c r="B935">
        <v>1</v>
      </c>
    </row>
    <row r="936" spans="1:2">
      <c r="A936" s="2" t="s">
        <v>9</v>
      </c>
      <c r="B936" s="2">
        <v>98</v>
      </c>
    </row>
    <row r="938" spans="1:2">
      <c r="A938" s="2" t="s">
        <v>535</v>
      </c>
    </row>
    <row r="939" spans="1:2">
      <c r="A939" s="2" t="s">
        <v>0</v>
      </c>
      <c r="B939" s="2" t="s">
        <v>1</v>
      </c>
    </row>
    <row r="940" spans="1:2">
      <c r="A940" t="s">
        <v>68</v>
      </c>
      <c r="B940">
        <v>3</v>
      </c>
    </row>
    <row r="941" spans="1:2">
      <c r="A941" t="s">
        <v>143</v>
      </c>
      <c r="B941">
        <v>18</v>
      </c>
    </row>
    <row r="942" spans="1:2">
      <c r="A942" t="s">
        <v>723</v>
      </c>
      <c r="B942">
        <v>2</v>
      </c>
    </row>
    <row r="943" spans="1:2">
      <c r="A943" t="s">
        <v>160</v>
      </c>
      <c r="B943">
        <v>7</v>
      </c>
    </row>
    <row r="944" spans="1:2">
      <c r="A944" t="s">
        <v>209</v>
      </c>
      <c r="B944">
        <v>4</v>
      </c>
    </row>
    <row r="945" spans="1:2">
      <c r="A945" t="s">
        <v>195</v>
      </c>
      <c r="B945">
        <v>1</v>
      </c>
    </row>
    <row r="946" spans="1:2">
      <c r="A946" s="2" t="s">
        <v>9</v>
      </c>
      <c r="B946" s="2">
        <v>35</v>
      </c>
    </row>
    <row r="948" spans="1:2">
      <c r="A948" s="2" t="s">
        <v>51</v>
      </c>
    </row>
    <row r="949" spans="1:2">
      <c r="A949" s="2" t="s">
        <v>0</v>
      </c>
      <c r="B949" s="2" t="s">
        <v>1</v>
      </c>
    </row>
    <row r="950" spans="1:2">
      <c r="A950" t="s">
        <v>282</v>
      </c>
      <c r="B950">
        <v>1</v>
      </c>
    </row>
    <row r="951" spans="1:2">
      <c r="A951" t="s">
        <v>568</v>
      </c>
      <c r="B951">
        <v>10</v>
      </c>
    </row>
    <row r="952" spans="1:2">
      <c r="A952" t="s">
        <v>579</v>
      </c>
      <c r="B952">
        <v>2</v>
      </c>
    </row>
    <row r="953" spans="1:2">
      <c r="A953" t="s">
        <v>307</v>
      </c>
      <c r="B953">
        <v>2</v>
      </c>
    </row>
    <row r="954" spans="1:2">
      <c r="A954" t="s">
        <v>28</v>
      </c>
      <c r="B954">
        <v>10</v>
      </c>
    </row>
    <row r="955" spans="1:2">
      <c r="A955" t="s">
        <v>23</v>
      </c>
      <c r="B955">
        <v>5</v>
      </c>
    </row>
    <row r="956" spans="1:2">
      <c r="A956" t="s">
        <v>77</v>
      </c>
      <c r="B956">
        <v>27</v>
      </c>
    </row>
    <row r="957" spans="1:2">
      <c r="A957" t="s">
        <v>697</v>
      </c>
      <c r="B957">
        <v>1</v>
      </c>
    </row>
    <row r="958" spans="1:2">
      <c r="A958" t="s">
        <v>739</v>
      </c>
      <c r="B958">
        <v>5</v>
      </c>
    </row>
    <row r="959" spans="1:2">
      <c r="A959" t="s">
        <v>740</v>
      </c>
      <c r="B959">
        <v>1</v>
      </c>
    </row>
    <row r="960" spans="1:2">
      <c r="A960" t="s">
        <v>425</v>
      </c>
      <c r="B960">
        <v>2</v>
      </c>
    </row>
    <row r="961" spans="1:2">
      <c r="A961" t="s">
        <v>760</v>
      </c>
      <c r="B961">
        <v>2</v>
      </c>
    </row>
    <row r="962" spans="1:2">
      <c r="A962" t="s">
        <v>766</v>
      </c>
      <c r="B962">
        <v>1</v>
      </c>
    </row>
    <row r="963" spans="1:2">
      <c r="A963" t="s">
        <v>823</v>
      </c>
      <c r="B963">
        <v>6</v>
      </c>
    </row>
    <row r="964" spans="1:2">
      <c r="A964" t="s">
        <v>833</v>
      </c>
      <c r="B964">
        <v>1</v>
      </c>
    </row>
    <row r="965" spans="1:2">
      <c r="A965" t="s">
        <v>861</v>
      </c>
      <c r="B965">
        <v>3</v>
      </c>
    </row>
    <row r="966" spans="1:2">
      <c r="A966" t="s">
        <v>872</v>
      </c>
      <c r="B966">
        <v>5</v>
      </c>
    </row>
    <row r="967" spans="1:2">
      <c r="A967" t="s">
        <v>964</v>
      </c>
      <c r="B967">
        <v>1</v>
      </c>
    </row>
    <row r="968" spans="1:2">
      <c r="A968" t="s">
        <v>967</v>
      </c>
      <c r="B968">
        <v>1</v>
      </c>
    </row>
    <row r="969" spans="1:2">
      <c r="A969" t="s">
        <v>290</v>
      </c>
      <c r="B969">
        <v>1</v>
      </c>
    </row>
    <row r="970" spans="1:2">
      <c r="A970" t="s">
        <v>980</v>
      </c>
      <c r="B970">
        <v>1</v>
      </c>
    </row>
    <row r="971" spans="1:2">
      <c r="A971" t="s">
        <v>981</v>
      </c>
      <c r="B971">
        <v>1</v>
      </c>
    </row>
    <row r="972" spans="1:2">
      <c r="A972" t="s">
        <v>1019</v>
      </c>
      <c r="B972">
        <v>1</v>
      </c>
    </row>
    <row r="973" spans="1:2">
      <c r="A973" t="s">
        <v>1020</v>
      </c>
      <c r="B973">
        <v>1</v>
      </c>
    </row>
    <row r="974" spans="1:2">
      <c r="A974" t="s">
        <v>224</v>
      </c>
      <c r="B974">
        <v>1</v>
      </c>
    </row>
    <row r="975" spans="1:2">
      <c r="A975" t="s">
        <v>1029</v>
      </c>
      <c r="B975">
        <v>1</v>
      </c>
    </row>
    <row r="976" spans="1:2">
      <c r="A976" s="2" t="s">
        <v>9</v>
      </c>
      <c r="B976" s="2">
        <v>93</v>
      </c>
    </row>
    <row r="978" spans="1:2">
      <c r="A978" s="2" t="s">
        <v>532</v>
      </c>
    </row>
    <row r="979" spans="1:2">
      <c r="A979" s="2" t="s">
        <v>0</v>
      </c>
      <c r="B979" s="2" t="s">
        <v>1</v>
      </c>
    </row>
    <row r="980" spans="1:2">
      <c r="A980" t="s">
        <v>124</v>
      </c>
      <c r="B980">
        <v>63</v>
      </c>
    </row>
    <row r="981" spans="1:2">
      <c r="A981" t="s">
        <v>559</v>
      </c>
      <c r="B981">
        <v>9</v>
      </c>
    </row>
    <row r="982" spans="1:2">
      <c r="A982" t="s">
        <v>103</v>
      </c>
      <c r="B982">
        <v>75</v>
      </c>
    </row>
    <row r="983" spans="1:2">
      <c r="A983" t="s">
        <v>97</v>
      </c>
      <c r="B983">
        <v>43</v>
      </c>
    </row>
    <row r="984" spans="1:2">
      <c r="A984" t="s">
        <v>100</v>
      </c>
      <c r="B984">
        <v>11</v>
      </c>
    </row>
    <row r="985" spans="1:2">
      <c r="A985" t="s">
        <v>102</v>
      </c>
      <c r="B985">
        <v>16</v>
      </c>
    </row>
    <row r="986" spans="1:2">
      <c r="A986" t="s">
        <v>99</v>
      </c>
      <c r="B986">
        <v>6</v>
      </c>
    </row>
    <row r="987" spans="1:2">
      <c r="A987" t="s">
        <v>200</v>
      </c>
      <c r="B987">
        <v>17</v>
      </c>
    </row>
    <row r="988" spans="1:2">
      <c r="A988" t="s">
        <v>191</v>
      </c>
      <c r="B988">
        <v>9</v>
      </c>
    </row>
    <row r="989" spans="1:2">
      <c r="A989" t="s">
        <v>362</v>
      </c>
      <c r="B989">
        <v>8</v>
      </c>
    </row>
    <row r="990" spans="1:2">
      <c r="A990" t="s">
        <v>676</v>
      </c>
      <c r="B990">
        <v>6</v>
      </c>
    </row>
    <row r="991" spans="1:2">
      <c r="A991" t="s">
        <v>198</v>
      </c>
      <c r="B991">
        <v>14</v>
      </c>
    </row>
    <row r="992" spans="1:2">
      <c r="A992" t="s">
        <v>702</v>
      </c>
      <c r="B992">
        <v>1</v>
      </c>
    </row>
    <row r="993" spans="1:2">
      <c r="A993" t="s">
        <v>703</v>
      </c>
      <c r="B993">
        <v>3</v>
      </c>
    </row>
    <row r="994" spans="1:2">
      <c r="A994" t="s">
        <v>452</v>
      </c>
      <c r="B994">
        <v>1</v>
      </c>
    </row>
    <row r="995" spans="1:2">
      <c r="A995" t="s">
        <v>721</v>
      </c>
      <c r="B995">
        <v>1</v>
      </c>
    </row>
    <row r="996" spans="1:2">
      <c r="A996" t="s">
        <v>745</v>
      </c>
      <c r="B996">
        <v>2</v>
      </c>
    </row>
    <row r="997" spans="1:2">
      <c r="A997" t="s">
        <v>755</v>
      </c>
      <c r="B997">
        <v>2</v>
      </c>
    </row>
    <row r="998" spans="1:2">
      <c r="A998" t="s">
        <v>767</v>
      </c>
      <c r="B998">
        <v>3</v>
      </c>
    </row>
    <row r="999" spans="1:2">
      <c r="A999" t="s">
        <v>781</v>
      </c>
      <c r="B999">
        <v>4</v>
      </c>
    </row>
    <row r="1000" spans="1:2">
      <c r="A1000" t="s">
        <v>435</v>
      </c>
      <c r="B1000">
        <v>1</v>
      </c>
    </row>
    <row r="1001" spans="1:2">
      <c r="A1001" t="s">
        <v>161</v>
      </c>
      <c r="B1001">
        <v>4</v>
      </c>
    </row>
    <row r="1002" spans="1:2">
      <c r="A1002" t="s">
        <v>841</v>
      </c>
      <c r="B1002">
        <v>1</v>
      </c>
    </row>
    <row r="1003" spans="1:2">
      <c r="A1003" t="s">
        <v>842</v>
      </c>
      <c r="B1003">
        <v>1</v>
      </c>
    </row>
    <row r="1004" spans="1:2">
      <c r="A1004" t="s">
        <v>866</v>
      </c>
      <c r="B1004">
        <v>1</v>
      </c>
    </row>
    <row r="1005" spans="1:2">
      <c r="A1005" t="s">
        <v>270</v>
      </c>
      <c r="B1005">
        <v>1</v>
      </c>
    </row>
    <row r="1006" spans="1:2">
      <c r="A1006" t="s">
        <v>880</v>
      </c>
      <c r="B1006">
        <v>1</v>
      </c>
    </row>
    <row r="1007" spans="1:2">
      <c r="A1007" t="s">
        <v>881</v>
      </c>
      <c r="B1007">
        <v>2</v>
      </c>
    </row>
    <row r="1008" spans="1:2">
      <c r="A1008" t="s">
        <v>889</v>
      </c>
      <c r="B1008">
        <v>1</v>
      </c>
    </row>
    <row r="1009" spans="1:2">
      <c r="A1009" t="s">
        <v>925</v>
      </c>
      <c r="B1009">
        <v>2</v>
      </c>
    </row>
    <row r="1010" spans="1:2">
      <c r="A1010" t="s">
        <v>929</v>
      </c>
      <c r="B1010">
        <v>1</v>
      </c>
    </row>
    <row r="1011" spans="1:2">
      <c r="A1011" t="s">
        <v>155</v>
      </c>
      <c r="B1011">
        <v>1</v>
      </c>
    </row>
    <row r="1012" spans="1:2">
      <c r="A1012" t="s">
        <v>994</v>
      </c>
      <c r="B1012">
        <v>1</v>
      </c>
    </row>
    <row r="1013" spans="1:2">
      <c r="A1013" t="s">
        <v>995</v>
      </c>
      <c r="B1013">
        <v>1</v>
      </c>
    </row>
    <row r="1014" spans="1:2">
      <c r="A1014" s="2" t="s">
        <v>9</v>
      </c>
      <c r="B1014" s="2">
        <v>313</v>
      </c>
    </row>
    <row r="1016" spans="1:2">
      <c r="A1016" s="2" t="s">
        <v>533</v>
      </c>
    </row>
    <row r="1017" spans="1:2">
      <c r="A1017" s="2" t="s">
        <v>0</v>
      </c>
      <c r="B1017" s="2" t="s">
        <v>1</v>
      </c>
    </row>
    <row r="1018" spans="1:2">
      <c r="A1018" t="s">
        <v>139</v>
      </c>
      <c r="B1018">
        <v>13</v>
      </c>
    </row>
    <row r="1019" spans="1:2">
      <c r="A1019" t="s">
        <v>94</v>
      </c>
      <c r="B1019">
        <v>17</v>
      </c>
    </row>
    <row r="1020" spans="1:2">
      <c r="A1020" t="s">
        <v>574</v>
      </c>
      <c r="B1020">
        <v>2</v>
      </c>
    </row>
    <row r="1021" spans="1:2">
      <c r="A1021" t="s">
        <v>647</v>
      </c>
      <c r="B1021">
        <v>4</v>
      </c>
    </row>
    <row r="1022" spans="1:2">
      <c r="A1022" t="s">
        <v>684</v>
      </c>
      <c r="B1022">
        <v>2</v>
      </c>
    </row>
    <row r="1023" spans="1:2">
      <c r="A1023" t="s">
        <v>688</v>
      </c>
      <c r="B1023">
        <v>1</v>
      </c>
    </row>
    <row r="1024" spans="1:2">
      <c r="A1024" t="s">
        <v>199</v>
      </c>
      <c r="B1024">
        <v>4</v>
      </c>
    </row>
    <row r="1025" spans="1:2">
      <c r="A1025" t="s">
        <v>710</v>
      </c>
      <c r="B1025">
        <v>4</v>
      </c>
    </row>
    <row r="1026" spans="1:2">
      <c r="A1026" t="s">
        <v>136</v>
      </c>
      <c r="B1026">
        <v>5</v>
      </c>
    </row>
    <row r="1027" spans="1:2">
      <c r="A1027" t="s">
        <v>734</v>
      </c>
      <c r="B1027">
        <v>1</v>
      </c>
    </row>
    <row r="1028" spans="1:2">
      <c r="A1028" t="s">
        <v>748</v>
      </c>
      <c r="B1028">
        <v>3</v>
      </c>
    </row>
    <row r="1029" spans="1:2">
      <c r="A1029" t="s">
        <v>166</v>
      </c>
      <c r="B1029">
        <v>4</v>
      </c>
    </row>
    <row r="1030" spans="1:2">
      <c r="A1030" t="s">
        <v>179</v>
      </c>
      <c r="B1030">
        <v>5</v>
      </c>
    </row>
    <row r="1031" spans="1:2">
      <c r="A1031" t="s">
        <v>147</v>
      </c>
      <c r="B1031">
        <v>3</v>
      </c>
    </row>
    <row r="1032" spans="1:2">
      <c r="A1032" t="s">
        <v>770</v>
      </c>
      <c r="B1032">
        <v>3</v>
      </c>
    </row>
    <row r="1033" spans="1:2">
      <c r="A1033" t="s">
        <v>793</v>
      </c>
      <c r="B1033">
        <v>1</v>
      </c>
    </row>
    <row r="1034" spans="1:2">
      <c r="A1034" t="s">
        <v>801</v>
      </c>
      <c r="B1034">
        <v>2</v>
      </c>
    </row>
    <row r="1035" spans="1:2">
      <c r="A1035" t="s">
        <v>808</v>
      </c>
      <c r="B1035">
        <v>2</v>
      </c>
    </row>
    <row r="1036" spans="1:2">
      <c r="A1036" t="s">
        <v>178</v>
      </c>
      <c r="B1036">
        <v>4</v>
      </c>
    </row>
    <row r="1037" spans="1:2">
      <c r="A1037" t="s">
        <v>837</v>
      </c>
      <c r="B1037">
        <v>2</v>
      </c>
    </row>
    <row r="1038" spans="1:2">
      <c r="A1038" t="s">
        <v>341</v>
      </c>
      <c r="B1038">
        <v>1</v>
      </c>
    </row>
    <row r="1039" spans="1:2">
      <c r="A1039" t="s">
        <v>848</v>
      </c>
      <c r="B1039">
        <v>1</v>
      </c>
    </row>
    <row r="1040" spans="1:2">
      <c r="A1040" t="s">
        <v>275</v>
      </c>
      <c r="B1040">
        <v>1</v>
      </c>
    </row>
    <row r="1041" spans="1:2">
      <c r="A1041" t="s">
        <v>909</v>
      </c>
      <c r="B1041">
        <v>2</v>
      </c>
    </row>
    <row r="1042" spans="1:2">
      <c r="A1042" t="s">
        <v>918</v>
      </c>
      <c r="B1042">
        <v>1</v>
      </c>
    </row>
    <row r="1043" spans="1:2">
      <c r="A1043" t="s">
        <v>958</v>
      </c>
      <c r="B1043">
        <v>1</v>
      </c>
    </row>
    <row r="1044" spans="1:2">
      <c r="A1044" t="s">
        <v>470</v>
      </c>
      <c r="B1044">
        <v>1</v>
      </c>
    </row>
    <row r="1045" spans="1:2">
      <c r="A1045" t="s">
        <v>989</v>
      </c>
      <c r="B1045">
        <v>3</v>
      </c>
    </row>
    <row r="1046" spans="1:2">
      <c r="A1046" t="s">
        <v>1025</v>
      </c>
      <c r="B1046">
        <v>1</v>
      </c>
    </row>
    <row r="1047" spans="1:2">
      <c r="A1047" t="s">
        <v>1026</v>
      </c>
      <c r="B1047">
        <v>1</v>
      </c>
    </row>
    <row r="1048" spans="1:2">
      <c r="A1048" s="2" t="s">
        <v>9</v>
      </c>
      <c r="B1048" s="2">
        <v>95</v>
      </c>
    </row>
    <row r="1050" spans="1:2">
      <c r="A1050" s="2" t="s">
        <v>50</v>
      </c>
    </row>
    <row r="1051" spans="1:2">
      <c r="A1051" s="2" t="s">
        <v>0</v>
      </c>
      <c r="B1051" s="2" t="s">
        <v>1</v>
      </c>
    </row>
    <row r="1052" spans="1:2">
      <c r="A1052" t="s">
        <v>116</v>
      </c>
      <c r="B1052">
        <v>13</v>
      </c>
    </row>
    <row r="1053" spans="1:2">
      <c r="A1053" t="s">
        <v>25</v>
      </c>
      <c r="B1053">
        <v>57</v>
      </c>
    </row>
    <row r="1054" spans="1:2">
      <c r="A1054" t="s">
        <v>86</v>
      </c>
      <c r="B1054">
        <v>31</v>
      </c>
    </row>
    <row r="1055" spans="1:2">
      <c r="A1055" t="s">
        <v>348</v>
      </c>
      <c r="B1055">
        <v>14</v>
      </c>
    </row>
    <row r="1056" spans="1:2">
      <c r="A1056" t="s">
        <v>492</v>
      </c>
      <c r="B1056">
        <v>8</v>
      </c>
    </row>
    <row r="1057" spans="1:2">
      <c r="A1057" t="s">
        <v>461</v>
      </c>
      <c r="B1057">
        <v>4</v>
      </c>
    </row>
    <row r="1058" spans="1:2">
      <c r="A1058" t="s">
        <v>157</v>
      </c>
      <c r="B1058">
        <v>25</v>
      </c>
    </row>
    <row r="1059" spans="1:2">
      <c r="A1059" t="s">
        <v>619</v>
      </c>
      <c r="B1059">
        <v>2</v>
      </c>
    </row>
    <row r="1060" spans="1:2">
      <c r="A1060" t="s">
        <v>175</v>
      </c>
      <c r="B1060">
        <v>24</v>
      </c>
    </row>
    <row r="1061" spans="1:2">
      <c r="A1061" t="s">
        <v>488</v>
      </c>
      <c r="B1061">
        <v>7</v>
      </c>
    </row>
    <row r="1062" spans="1:2">
      <c r="A1062" t="s">
        <v>354</v>
      </c>
      <c r="B1062">
        <v>2</v>
      </c>
    </row>
    <row r="1063" spans="1:2">
      <c r="A1063" t="s">
        <v>680</v>
      </c>
      <c r="B1063">
        <v>3</v>
      </c>
    </row>
    <row r="1064" spans="1:2">
      <c r="A1064" t="s">
        <v>262</v>
      </c>
      <c r="B1064">
        <v>7</v>
      </c>
    </row>
    <row r="1065" spans="1:2">
      <c r="A1065" t="s">
        <v>447</v>
      </c>
      <c r="B1065">
        <v>3</v>
      </c>
    </row>
    <row r="1066" spans="1:2">
      <c r="A1066" t="s">
        <v>716</v>
      </c>
      <c r="B1066">
        <v>1</v>
      </c>
    </row>
    <row r="1067" spans="1:2">
      <c r="A1067" t="s">
        <v>727</v>
      </c>
      <c r="B1067">
        <v>1</v>
      </c>
    </row>
    <row r="1068" spans="1:2">
      <c r="A1068" t="s">
        <v>449</v>
      </c>
      <c r="B1068">
        <v>3</v>
      </c>
    </row>
    <row r="1069" spans="1:2">
      <c r="A1069" t="s">
        <v>474</v>
      </c>
      <c r="B1069">
        <v>10</v>
      </c>
    </row>
    <row r="1070" spans="1:2">
      <c r="A1070" t="s">
        <v>744</v>
      </c>
      <c r="B1070">
        <v>2</v>
      </c>
    </row>
    <row r="1071" spans="1:2">
      <c r="A1071" t="s">
        <v>765</v>
      </c>
      <c r="B1071">
        <v>1</v>
      </c>
    </row>
    <row r="1072" spans="1:2">
      <c r="A1072" t="s">
        <v>777</v>
      </c>
      <c r="B1072">
        <v>1</v>
      </c>
    </row>
    <row r="1073" spans="1:2">
      <c r="A1073" t="s">
        <v>352</v>
      </c>
      <c r="B1073">
        <v>1</v>
      </c>
    </row>
    <row r="1074" spans="1:2">
      <c r="A1074" t="s">
        <v>237</v>
      </c>
      <c r="B1074">
        <v>1</v>
      </c>
    </row>
    <row r="1075" spans="1:2">
      <c r="A1075" t="s">
        <v>170</v>
      </c>
      <c r="B1075">
        <v>1</v>
      </c>
    </row>
    <row r="1076" spans="1:2">
      <c r="A1076" t="s">
        <v>433</v>
      </c>
      <c r="B1076">
        <v>4</v>
      </c>
    </row>
    <row r="1077" spans="1:2">
      <c r="A1077" t="s">
        <v>818</v>
      </c>
      <c r="B1077">
        <v>1</v>
      </c>
    </row>
    <row r="1078" spans="1:2">
      <c r="A1078" t="s">
        <v>819</v>
      </c>
      <c r="B1078">
        <v>1</v>
      </c>
    </row>
    <row r="1079" spans="1:2">
      <c r="A1079" t="s">
        <v>830</v>
      </c>
      <c r="B1079">
        <v>1</v>
      </c>
    </row>
    <row r="1080" spans="1:2">
      <c r="A1080" t="s">
        <v>832</v>
      </c>
      <c r="B1080">
        <v>1</v>
      </c>
    </row>
    <row r="1081" spans="1:2">
      <c r="A1081" t="s">
        <v>836</v>
      </c>
      <c r="B1081">
        <v>1</v>
      </c>
    </row>
    <row r="1082" spans="1:2">
      <c r="A1082" t="s">
        <v>839</v>
      </c>
      <c r="B1082">
        <v>1</v>
      </c>
    </row>
    <row r="1083" spans="1:2">
      <c r="A1083" t="s">
        <v>840</v>
      </c>
      <c r="B1083">
        <v>1</v>
      </c>
    </row>
    <row r="1084" spans="1:2">
      <c r="A1084" t="s">
        <v>860</v>
      </c>
      <c r="B1084">
        <v>1</v>
      </c>
    </row>
    <row r="1085" spans="1:2">
      <c r="A1085" t="s">
        <v>898</v>
      </c>
      <c r="B1085">
        <v>4</v>
      </c>
    </row>
    <row r="1086" spans="1:2">
      <c r="A1086" t="s">
        <v>413</v>
      </c>
      <c r="B1086">
        <v>2</v>
      </c>
    </row>
    <row r="1087" spans="1:2">
      <c r="A1087" t="s">
        <v>926</v>
      </c>
      <c r="B1087">
        <v>1</v>
      </c>
    </row>
    <row r="1088" spans="1:2">
      <c r="A1088" t="s">
        <v>948</v>
      </c>
      <c r="B1088">
        <v>1</v>
      </c>
    </row>
    <row r="1089" spans="1:2">
      <c r="A1089" t="s">
        <v>952</v>
      </c>
      <c r="B1089">
        <v>2</v>
      </c>
    </row>
    <row r="1090" spans="1:2">
      <c r="A1090" t="s">
        <v>953</v>
      </c>
      <c r="B1090">
        <v>2</v>
      </c>
    </row>
    <row r="1091" spans="1:2">
      <c r="A1091" t="s">
        <v>956</v>
      </c>
      <c r="B1091">
        <v>1</v>
      </c>
    </row>
    <row r="1092" spans="1:2">
      <c r="A1092" t="s">
        <v>978</v>
      </c>
      <c r="B1092">
        <v>1</v>
      </c>
    </row>
    <row r="1093" spans="1:2">
      <c r="A1093" t="s">
        <v>480</v>
      </c>
      <c r="B1093">
        <v>1</v>
      </c>
    </row>
    <row r="1094" spans="1:2">
      <c r="A1094" t="s">
        <v>983</v>
      </c>
      <c r="B1094">
        <v>1</v>
      </c>
    </row>
    <row r="1095" spans="1:2">
      <c r="A1095" t="s">
        <v>986</v>
      </c>
      <c r="B1095">
        <v>1</v>
      </c>
    </row>
    <row r="1096" spans="1:2">
      <c r="A1096" t="s">
        <v>987</v>
      </c>
      <c r="B1096">
        <v>2</v>
      </c>
    </row>
    <row r="1097" spans="1:2">
      <c r="A1097" t="s">
        <v>400</v>
      </c>
      <c r="B1097">
        <v>1</v>
      </c>
    </row>
    <row r="1098" spans="1:2">
      <c r="A1098" t="s">
        <v>998</v>
      </c>
      <c r="B1098">
        <v>1</v>
      </c>
    </row>
    <row r="1099" spans="1:2">
      <c r="A1099" t="s">
        <v>999</v>
      </c>
      <c r="B1099">
        <v>1</v>
      </c>
    </row>
    <row r="1100" spans="1:2">
      <c r="A1100" t="s">
        <v>1004</v>
      </c>
      <c r="B1100">
        <v>1</v>
      </c>
    </row>
    <row r="1101" spans="1:2">
      <c r="A1101" t="s">
        <v>1005</v>
      </c>
      <c r="B1101">
        <v>1</v>
      </c>
    </row>
    <row r="1102" spans="1:2">
      <c r="A1102" t="s">
        <v>1006</v>
      </c>
      <c r="B1102">
        <v>1</v>
      </c>
    </row>
    <row r="1103" spans="1:2">
      <c r="A1103" t="s">
        <v>476</v>
      </c>
      <c r="B1103">
        <v>1</v>
      </c>
    </row>
    <row r="1104" spans="1:2">
      <c r="A1104" t="s">
        <v>1033</v>
      </c>
      <c r="B1104">
        <v>1</v>
      </c>
    </row>
    <row r="1105" spans="1:2">
      <c r="A1105" t="s">
        <v>1034</v>
      </c>
      <c r="B1105">
        <v>1</v>
      </c>
    </row>
    <row r="1106" spans="1:2">
      <c r="A1106" t="s">
        <v>1044</v>
      </c>
      <c r="B1106">
        <v>1</v>
      </c>
    </row>
    <row r="1107" spans="1:2">
      <c r="A1107" s="2" t="s">
        <v>9</v>
      </c>
      <c r="B1107" s="2">
        <v>263</v>
      </c>
    </row>
    <row r="1109" spans="1:2">
      <c r="A1109" s="2" t="s">
        <v>96</v>
      </c>
    </row>
    <row r="1110" spans="1:2">
      <c r="A1110" s="2" t="s">
        <v>0</v>
      </c>
      <c r="B1110" s="2" t="s">
        <v>1</v>
      </c>
    </row>
    <row r="1111" spans="1:2">
      <c r="A1111" t="s">
        <v>562</v>
      </c>
      <c r="B1111">
        <v>6</v>
      </c>
    </row>
    <row r="1112" spans="1:2">
      <c r="A1112" t="s">
        <v>130</v>
      </c>
      <c r="B1112">
        <v>21</v>
      </c>
    </row>
    <row r="1113" spans="1:2">
      <c r="A1113" t="s">
        <v>621</v>
      </c>
      <c r="B1113">
        <v>3</v>
      </c>
    </row>
    <row r="1114" spans="1:2">
      <c r="A1114" t="s">
        <v>162</v>
      </c>
      <c r="B1114">
        <v>24</v>
      </c>
    </row>
    <row r="1115" spans="1:2">
      <c r="A1115" t="s">
        <v>135</v>
      </c>
      <c r="B1115">
        <v>15</v>
      </c>
    </row>
    <row r="1116" spans="1:2">
      <c r="A1116" t="s">
        <v>640</v>
      </c>
      <c r="B1116">
        <v>7</v>
      </c>
    </row>
    <row r="1117" spans="1:2">
      <c r="A1117" t="s">
        <v>444</v>
      </c>
      <c r="B1117">
        <v>1</v>
      </c>
    </row>
    <row r="1118" spans="1:2">
      <c r="A1118" t="s">
        <v>174</v>
      </c>
      <c r="B1118">
        <v>3</v>
      </c>
    </row>
    <row r="1119" spans="1:2">
      <c r="A1119" t="s">
        <v>367</v>
      </c>
      <c r="B1119">
        <v>7</v>
      </c>
    </row>
    <row r="1120" spans="1:2">
      <c r="A1120" t="s">
        <v>704</v>
      </c>
      <c r="B1120">
        <v>2</v>
      </c>
    </row>
    <row r="1121" spans="1:2">
      <c r="A1121" t="s">
        <v>707</v>
      </c>
      <c r="B1121">
        <v>1</v>
      </c>
    </row>
    <row r="1122" spans="1:2">
      <c r="A1122" t="s">
        <v>81</v>
      </c>
      <c r="B1122">
        <v>2</v>
      </c>
    </row>
    <row r="1123" spans="1:2">
      <c r="A1123" t="s">
        <v>711</v>
      </c>
      <c r="B1123">
        <v>1</v>
      </c>
    </row>
    <row r="1124" spans="1:2">
      <c r="A1124" t="s">
        <v>718</v>
      </c>
      <c r="B1124">
        <v>1</v>
      </c>
    </row>
    <row r="1125" spans="1:2">
      <c r="A1125" t="s">
        <v>719</v>
      </c>
      <c r="B1125">
        <v>1</v>
      </c>
    </row>
    <row r="1126" spans="1:2">
      <c r="A1126" t="s">
        <v>720</v>
      </c>
      <c r="B1126">
        <v>2</v>
      </c>
    </row>
    <row r="1127" spans="1:2">
      <c r="A1127" t="s">
        <v>127</v>
      </c>
      <c r="B1127">
        <v>9</v>
      </c>
    </row>
    <row r="1128" spans="1:2">
      <c r="A1128" t="s">
        <v>746</v>
      </c>
      <c r="B1128">
        <v>4</v>
      </c>
    </row>
    <row r="1129" spans="1:2">
      <c r="A1129" t="s">
        <v>747</v>
      </c>
      <c r="B1129">
        <v>2</v>
      </c>
    </row>
    <row r="1130" spans="1:2">
      <c r="A1130" t="s">
        <v>207</v>
      </c>
      <c r="B1130">
        <v>2</v>
      </c>
    </row>
    <row r="1131" spans="1:2">
      <c r="A1131" t="s">
        <v>750</v>
      </c>
      <c r="B1131">
        <v>2</v>
      </c>
    </row>
    <row r="1132" spans="1:2">
      <c r="A1132" t="s">
        <v>146</v>
      </c>
      <c r="B1132">
        <v>5</v>
      </c>
    </row>
    <row r="1133" spans="1:2">
      <c r="A1133" t="s">
        <v>752</v>
      </c>
      <c r="B1133">
        <v>2</v>
      </c>
    </row>
    <row r="1134" spans="1:2">
      <c r="A1134" t="s">
        <v>311</v>
      </c>
      <c r="B1134">
        <v>3</v>
      </c>
    </row>
    <row r="1135" spans="1:2">
      <c r="A1135" t="s">
        <v>226</v>
      </c>
      <c r="B1135">
        <v>2</v>
      </c>
    </row>
    <row r="1136" spans="1:2">
      <c r="A1136" t="s">
        <v>193</v>
      </c>
      <c r="B1136">
        <v>4</v>
      </c>
    </row>
    <row r="1137" spans="1:2">
      <c r="A1137" t="s">
        <v>758</v>
      </c>
      <c r="B1137">
        <v>2</v>
      </c>
    </row>
    <row r="1138" spans="1:2">
      <c r="A1138" t="s">
        <v>769</v>
      </c>
      <c r="B1138">
        <v>1</v>
      </c>
    </row>
    <row r="1139" spans="1:2">
      <c r="A1139" t="s">
        <v>366</v>
      </c>
      <c r="B1139">
        <v>1</v>
      </c>
    </row>
    <row r="1140" spans="1:2">
      <c r="A1140" t="s">
        <v>776</v>
      </c>
      <c r="B1140">
        <v>1</v>
      </c>
    </row>
    <row r="1141" spans="1:2">
      <c r="A1141" t="s">
        <v>786</v>
      </c>
      <c r="B1141">
        <v>1</v>
      </c>
    </row>
    <row r="1142" spans="1:2">
      <c r="A1142" t="s">
        <v>792</v>
      </c>
      <c r="B1142">
        <v>1</v>
      </c>
    </row>
    <row r="1143" spans="1:2">
      <c r="A1143" t="s">
        <v>796</v>
      </c>
      <c r="B1143">
        <v>1</v>
      </c>
    </row>
    <row r="1144" spans="1:2">
      <c r="A1144" t="s">
        <v>802</v>
      </c>
      <c r="B1144">
        <v>2</v>
      </c>
    </row>
    <row r="1145" spans="1:2">
      <c r="A1145" t="s">
        <v>803</v>
      </c>
      <c r="B1145">
        <v>1</v>
      </c>
    </row>
    <row r="1146" spans="1:2">
      <c r="A1146" t="s">
        <v>806</v>
      </c>
      <c r="B1146">
        <v>1</v>
      </c>
    </row>
    <row r="1147" spans="1:2">
      <c r="A1147" t="s">
        <v>824</v>
      </c>
      <c r="B1147">
        <v>2</v>
      </c>
    </row>
    <row r="1148" spans="1:2">
      <c r="A1148" t="s">
        <v>825</v>
      </c>
      <c r="B1148">
        <v>2</v>
      </c>
    </row>
    <row r="1149" spans="1:2">
      <c r="A1149" t="s">
        <v>828</v>
      </c>
      <c r="B1149">
        <v>1</v>
      </c>
    </row>
    <row r="1150" spans="1:2">
      <c r="A1150" t="s">
        <v>843</v>
      </c>
      <c r="B1150">
        <v>1</v>
      </c>
    </row>
    <row r="1151" spans="1:2">
      <c r="A1151" t="s">
        <v>850</v>
      </c>
      <c r="B1151">
        <v>2</v>
      </c>
    </row>
    <row r="1152" spans="1:2">
      <c r="A1152" t="s">
        <v>851</v>
      </c>
      <c r="B1152">
        <v>2</v>
      </c>
    </row>
    <row r="1153" spans="1:2">
      <c r="A1153" t="s">
        <v>883</v>
      </c>
      <c r="B1153">
        <v>1</v>
      </c>
    </row>
    <row r="1154" spans="1:2">
      <c r="A1154" t="s">
        <v>884</v>
      </c>
      <c r="B1154">
        <v>1</v>
      </c>
    </row>
    <row r="1155" spans="1:2">
      <c r="A1155" t="s">
        <v>885</v>
      </c>
      <c r="B1155">
        <v>1</v>
      </c>
    </row>
    <row r="1156" spans="1:2">
      <c r="A1156" t="s">
        <v>888</v>
      </c>
      <c r="B1156">
        <v>1</v>
      </c>
    </row>
    <row r="1157" spans="1:2">
      <c r="A1157" t="s">
        <v>923</v>
      </c>
      <c r="B1157">
        <v>2</v>
      </c>
    </row>
    <row r="1158" spans="1:2">
      <c r="A1158" t="s">
        <v>80</v>
      </c>
      <c r="B1158">
        <v>1</v>
      </c>
    </row>
    <row r="1159" spans="1:2">
      <c r="A1159" t="s">
        <v>942</v>
      </c>
      <c r="B1159">
        <v>1</v>
      </c>
    </row>
    <row r="1160" spans="1:2">
      <c r="A1160" t="s">
        <v>943</v>
      </c>
      <c r="B1160">
        <v>1</v>
      </c>
    </row>
    <row r="1161" spans="1:2">
      <c r="A1161" t="s">
        <v>945</v>
      </c>
      <c r="B1161">
        <v>1</v>
      </c>
    </row>
    <row r="1162" spans="1:2">
      <c r="A1162" t="s">
        <v>975</v>
      </c>
      <c r="B1162">
        <v>1</v>
      </c>
    </row>
    <row r="1163" spans="1:2">
      <c r="A1163" t="s">
        <v>993</v>
      </c>
      <c r="B1163">
        <v>1</v>
      </c>
    </row>
    <row r="1164" spans="1:2">
      <c r="A1164" t="s">
        <v>1017</v>
      </c>
      <c r="B1164">
        <v>1</v>
      </c>
    </row>
    <row r="1165" spans="1:2">
      <c r="A1165" t="s">
        <v>1032</v>
      </c>
      <c r="B1165">
        <v>1</v>
      </c>
    </row>
    <row r="1166" spans="1:2">
      <c r="A1166" t="s">
        <v>1049</v>
      </c>
      <c r="B1166">
        <v>1</v>
      </c>
    </row>
    <row r="1167" spans="1:2">
      <c r="A1167" t="s">
        <v>1050</v>
      </c>
      <c r="B1167">
        <v>1</v>
      </c>
    </row>
    <row r="1168" spans="1:2">
      <c r="A1168" t="s">
        <v>369</v>
      </c>
      <c r="B1168">
        <v>1</v>
      </c>
    </row>
    <row r="1169" spans="1:2">
      <c r="A1169" s="2" t="s">
        <v>9</v>
      </c>
      <c r="B1169" s="2">
        <v>171</v>
      </c>
    </row>
    <row r="1171" spans="1:2">
      <c r="A1171" s="2" t="s">
        <v>545</v>
      </c>
    </row>
    <row r="1172" spans="1:2">
      <c r="A1172" s="2" t="s">
        <v>0</v>
      </c>
      <c r="B1172" s="2" t="s">
        <v>1</v>
      </c>
    </row>
    <row r="1173" spans="1:2">
      <c r="A1173" t="s">
        <v>563</v>
      </c>
      <c r="B1173">
        <v>5</v>
      </c>
    </row>
    <row r="1174" spans="1:2">
      <c r="A1174" t="s">
        <v>408</v>
      </c>
      <c r="B1174">
        <v>6</v>
      </c>
    </row>
    <row r="1175" spans="1:2">
      <c r="A1175" t="s">
        <v>598</v>
      </c>
      <c r="B1175">
        <v>4</v>
      </c>
    </row>
    <row r="1176" spans="1:2">
      <c r="A1176" t="s">
        <v>601</v>
      </c>
      <c r="B1176">
        <v>2</v>
      </c>
    </row>
    <row r="1177" spans="1:2">
      <c r="A1177" t="s">
        <v>611</v>
      </c>
      <c r="B1177">
        <v>1</v>
      </c>
    </row>
    <row r="1178" spans="1:2">
      <c r="A1178" t="s">
        <v>645</v>
      </c>
      <c r="B1178">
        <v>2</v>
      </c>
    </row>
    <row r="1179" spans="1:2">
      <c r="A1179" t="s">
        <v>864</v>
      </c>
      <c r="B1179">
        <v>4</v>
      </c>
    </row>
    <row r="1180" spans="1:2">
      <c r="A1180" t="s">
        <v>458</v>
      </c>
      <c r="B1180">
        <v>2</v>
      </c>
    </row>
    <row r="1181" spans="1:2">
      <c r="A1181" s="2" t="s">
        <v>9</v>
      </c>
      <c r="B1181" s="2">
        <v>26</v>
      </c>
    </row>
    <row r="1183" spans="1:2">
      <c r="A1183" s="2" t="s">
        <v>52</v>
      </c>
    </row>
    <row r="1184" spans="1:2">
      <c r="A1184" s="2" t="s">
        <v>0</v>
      </c>
      <c r="B1184" s="2" t="s">
        <v>1</v>
      </c>
    </row>
    <row r="1185" spans="1:2">
      <c r="A1185" t="s">
        <v>564</v>
      </c>
      <c r="B1185">
        <v>11</v>
      </c>
    </row>
    <row r="1186" spans="1:2">
      <c r="A1186" t="s">
        <v>306</v>
      </c>
      <c r="B1186">
        <v>7</v>
      </c>
    </row>
    <row r="1187" spans="1:2">
      <c r="A1187" t="s">
        <v>578</v>
      </c>
      <c r="B1187">
        <v>2</v>
      </c>
    </row>
    <row r="1188" spans="1:2">
      <c r="A1188" t="s">
        <v>35</v>
      </c>
      <c r="B1188">
        <v>39</v>
      </c>
    </row>
    <row r="1189" spans="1:2">
      <c r="A1189" t="s">
        <v>597</v>
      </c>
      <c r="B1189">
        <v>7</v>
      </c>
    </row>
    <row r="1190" spans="1:2">
      <c r="A1190" t="s">
        <v>65</v>
      </c>
      <c r="B1190">
        <v>6</v>
      </c>
    </row>
    <row r="1191" spans="1:2">
      <c r="A1191" t="s">
        <v>181</v>
      </c>
      <c r="B1191">
        <v>6</v>
      </c>
    </row>
    <row r="1192" spans="1:2">
      <c r="A1192" t="s">
        <v>604</v>
      </c>
      <c r="B1192">
        <v>2</v>
      </c>
    </row>
    <row r="1193" spans="1:2">
      <c r="A1193" t="s">
        <v>605</v>
      </c>
      <c r="B1193">
        <v>3</v>
      </c>
    </row>
    <row r="1194" spans="1:2">
      <c r="A1194" t="s">
        <v>618</v>
      </c>
      <c r="B1194">
        <v>3</v>
      </c>
    </row>
    <row r="1195" spans="1:2">
      <c r="A1195" t="s">
        <v>74</v>
      </c>
      <c r="B1195">
        <v>14</v>
      </c>
    </row>
    <row r="1196" spans="1:2">
      <c r="A1196" t="s">
        <v>638</v>
      </c>
      <c r="B1196">
        <v>9</v>
      </c>
    </row>
    <row r="1197" spans="1:2">
      <c r="A1197" t="s">
        <v>525</v>
      </c>
      <c r="B1197">
        <v>3</v>
      </c>
    </row>
    <row r="1198" spans="1:2">
      <c r="A1198" t="s">
        <v>169</v>
      </c>
      <c r="B1198">
        <v>9</v>
      </c>
    </row>
    <row r="1199" spans="1:2">
      <c r="A1199" t="s">
        <v>152</v>
      </c>
      <c r="B1199">
        <v>7</v>
      </c>
    </row>
    <row r="1200" spans="1:2">
      <c r="A1200" t="s">
        <v>92</v>
      </c>
      <c r="B1200">
        <v>5</v>
      </c>
    </row>
    <row r="1201" spans="1:2">
      <c r="A1201" t="s">
        <v>653</v>
      </c>
      <c r="B1201">
        <v>1</v>
      </c>
    </row>
    <row r="1202" spans="1:2">
      <c r="A1202" t="s">
        <v>667</v>
      </c>
      <c r="B1202">
        <v>2</v>
      </c>
    </row>
    <row r="1203" spans="1:2">
      <c r="A1203" t="s">
        <v>151</v>
      </c>
      <c r="B1203">
        <v>3</v>
      </c>
    </row>
    <row r="1204" spans="1:2">
      <c r="A1204" t="s">
        <v>679</v>
      </c>
      <c r="B1204">
        <v>2</v>
      </c>
    </row>
    <row r="1205" spans="1:2">
      <c r="A1205" t="s">
        <v>689</v>
      </c>
      <c r="B1205">
        <v>1</v>
      </c>
    </row>
    <row r="1206" spans="1:2">
      <c r="A1206" t="s">
        <v>692</v>
      </c>
      <c r="B1206">
        <v>6</v>
      </c>
    </row>
    <row r="1207" spans="1:2">
      <c r="A1207" t="s">
        <v>192</v>
      </c>
      <c r="B1207">
        <v>13</v>
      </c>
    </row>
    <row r="1208" spans="1:2">
      <c r="A1208" t="s">
        <v>183</v>
      </c>
      <c r="B1208">
        <v>1</v>
      </c>
    </row>
    <row r="1209" spans="1:2">
      <c r="A1209" t="s">
        <v>107</v>
      </c>
      <c r="B1209">
        <v>2</v>
      </c>
    </row>
    <row r="1210" spans="1:2">
      <c r="A1210" t="s">
        <v>380</v>
      </c>
      <c r="B1210">
        <v>3</v>
      </c>
    </row>
    <row r="1211" spans="1:2">
      <c r="A1211" t="s">
        <v>725</v>
      </c>
      <c r="B1211">
        <v>2</v>
      </c>
    </row>
    <row r="1212" spans="1:2">
      <c r="A1212" t="s">
        <v>733</v>
      </c>
      <c r="B1212">
        <v>1</v>
      </c>
    </row>
    <row r="1213" spans="1:2">
      <c r="A1213" t="s">
        <v>737</v>
      </c>
      <c r="B1213">
        <v>2</v>
      </c>
    </row>
    <row r="1214" spans="1:2">
      <c r="A1214" t="s">
        <v>231</v>
      </c>
      <c r="B1214">
        <v>4</v>
      </c>
    </row>
    <row r="1215" spans="1:2">
      <c r="A1215" t="s">
        <v>751</v>
      </c>
      <c r="B1215">
        <v>2</v>
      </c>
    </row>
    <row r="1216" spans="1:2">
      <c r="A1216" t="s">
        <v>132</v>
      </c>
      <c r="B1216">
        <v>7</v>
      </c>
    </row>
    <row r="1217" spans="1:2">
      <c r="A1217" t="s">
        <v>773</v>
      </c>
      <c r="B1217">
        <v>1</v>
      </c>
    </row>
    <row r="1218" spans="1:2">
      <c r="A1218" t="s">
        <v>211</v>
      </c>
      <c r="B1218">
        <v>4</v>
      </c>
    </row>
    <row r="1219" spans="1:2">
      <c r="A1219" t="s">
        <v>784</v>
      </c>
      <c r="B1219">
        <v>15</v>
      </c>
    </row>
    <row r="1220" spans="1:2">
      <c r="A1220" t="s">
        <v>267</v>
      </c>
      <c r="B1220">
        <v>1</v>
      </c>
    </row>
    <row r="1221" spans="1:2">
      <c r="A1221" t="s">
        <v>800</v>
      </c>
      <c r="B1221">
        <v>2</v>
      </c>
    </row>
    <row r="1222" spans="1:2">
      <c r="A1222" t="s">
        <v>810</v>
      </c>
      <c r="B1222">
        <v>6</v>
      </c>
    </row>
    <row r="1223" spans="1:2">
      <c r="A1223" t="s">
        <v>811</v>
      </c>
      <c r="B1223">
        <v>6</v>
      </c>
    </row>
    <row r="1224" spans="1:2">
      <c r="A1224" t="s">
        <v>812</v>
      </c>
      <c r="B1224">
        <v>6</v>
      </c>
    </row>
    <row r="1225" spans="1:2">
      <c r="A1225" t="s">
        <v>813</v>
      </c>
      <c r="B1225">
        <v>5</v>
      </c>
    </row>
    <row r="1226" spans="1:2">
      <c r="A1226" t="s">
        <v>814</v>
      </c>
      <c r="B1226">
        <v>6</v>
      </c>
    </row>
    <row r="1227" spans="1:2">
      <c r="A1227" t="s">
        <v>815</v>
      </c>
      <c r="B1227">
        <v>2</v>
      </c>
    </row>
    <row r="1228" spans="1:2">
      <c r="A1228" t="s">
        <v>153</v>
      </c>
      <c r="B1228">
        <v>5</v>
      </c>
    </row>
    <row r="1229" spans="1:2">
      <c r="A1229" t="s">
        <v>172</v>
      </c>
      <c r="B1229">
        <v>1</v>
      </c>
    </row>
    <row r="1230" spans="1:2">
      <c r="A1230" t="s">
        <v>827</v>
      </c>
      <c r="B1230">
        <v>1</v>
      </c>
    </row>
    <row r="1231" spans="1:2">
      <c r="A1231" t="s">
        <v>829</v>
      </c>
      <c r="B1231">
        <v>1</v>
      </c>
    </row>
    <row r="1232" spans="1:2">
      <c r="A1232" t="s">
        <v>487</v>
      </c>
      <c r="B1232">
        <v>1</v>
      </c>
    </row>
    <row r="1233" spans="1:2">
      <c r="A1233" t="s">
        <v>845</v>
      </c>
      <c r="B1233">
        <v>1</v>
      </c>
    </row>
    <row r="1234" spans="1:2">
      <c r="A1234" t="s">
        <v>203</v>
      </c>
      <c r="B1234">
        <v>1</v>
      </c>
    </row>
    <row r="1235" spans="1:2">
      <c r="A1235" t="s">
        <v>854</v>
      </c>
      <c r="B1235">
        <v>1</v>
      </c>
    </row>
    <row r="1236" spans="1:2">
      <c r="A1236" t="s">
        <v>855</v>
      </c>
      <c r="B1236">
        <v>1</v>
      </c>
    </row>
    <row r="1237" spans="1:2">
      <c r="A1237" t="s">
        <v>856</v>
      </c>
      <c r="B1237">
        <v>1</v>
      </c>
    </row>
    <row r="1238" spans="1:2">
      <c r="A1238" t="s">
        <v>220</v>
      </c>
      <c r="B1238">
        <v>1</v>
      </c>
    </row>
    <row r="1239" spans="1:2">
      <c r="A1239" t="s">
        <v>857</v>
      </c>
      <c r="B1239">
        <v>1</v>
      </c>
    </row>
    <row r="1240" spans="1:2">
      <c r="A1240" t="s">
        <v>858</v>
      </c>
      <c r="B1240">
        <v>1</v>
      </c>
    </row>
    <row r="1241" spans="1:2">
      <c r="A1241" t="s">
        <v>859</v>
      </c>
      <c r="B1241">
        <v>1</v>
      </c>
    </row>
    <row r="1242" spans="1:2">
      <c r="A1242" t="s">
        <v>891</v>
      </c>
      <c r="B1242">
        <v>2</v>
      </c>
    </row>
    <row r="1243" spans="1:2">
      <c r="A1243" t="s">
        <v>894</v>
      </c>
      <c r="B1243">
        <v>1</v>
      </c>
    </row>
    <row r="1244" spans="1:2">
      <c r="A1244" t="s">
        <v>910</v>
      </c>
      <c r="B1244">
        <v>1</v>
      </c>
    </row>
    <row r="1245" spans="1:2">
      <c r="A1245" t="s">
        <v>911</v>
      </c>
      <c r="B1245">
        <v>1</v>
      </c>
    </row>
    <row r="1246" spans="1:2">
      <c r="A1246" t="s">
        <v>305</v>
      </c>
      <c r="B1246">
        <v>4</v>
      </c>
    </row>
    <row r="1247" spans="1:2">
      <c r="A1247" t="s">
        <v>977</v>
      </c>
      <c r="B1247">
        <v>2</v>
      </c>
    </row>
    <row r="1248" spans="1:2">
      <c r="A1248" t="s">
        <v>521</v>
      </c>
      <c r="B1248">
        <v>1</v>
      </c>
    </row>
    <row r="1249" spans="1:2">
      <c r="A1249" t="s">
        <v>1016</v>
      </c>
      <c r="B1249">
        <v>1</v>
      </c>
    </row>
    <row r="1250" spans="1:2">
      <c r="A1250" t="s">
        <v>1023</v>
      </c>
      <c r="B1250">
        <v>2</v>
      </c>
    </row>
    <row r="1251" spans="1:2">
      <c r="A1251" t="s">
        <v>1024</v>
      </c>
      <c r="B1251">
        <v>1</v>
      </c>
    </row>
    <row r="1252" spans="1:2">
      <c r="A1252" t="s">
        <v>1027</v>
      </c>
      <c r="B1252">
        <v>1</v>
      </c>
    </row>
    <row r="1253" spans="1:2">
      <c r="A1253" s="2" t="s">
        <v>9</v>
      </c>
      <c r="B1253" s="2">
        <v>274</v>
      </c>
    </row>
    <row r="1255" spans="1:2">
      <c r="A1255" s="2" t="s">
        <v>544</v>
      </c>
    </row>
    <row r="1256" spans="1:2">
      <c r="A1256" s="2" t="s">
        <v>0</v>
      </c>
      <c r="B1256" s="2" t="s">
        <v>1</v>
      </c>
    </row>
    <row r="1257" spans="1:2">
      <c r="A1257" t="s">
        <v>565</v>
      </c>
      <c r="B1257">
        <v>13</v>
      </c>
    </row>
    <row r="1258" spans="1:2">
      <c r="A1258" t="s">
        <v>616</v>
      </c>
      <c r="B1258">
        <v>1</v>
      </c>
    </row>
    <row r="1259" spans="1:2">
      <c r="A1259" t="s">
        <v>629</v>
      </c>
      <c r="B1259">
        <v>1</v>
      </c>
    </row>
    <row r="1260" spans="1:2">
      <c r="A1260" t="s">
        <v>149</v>
      </c>
      <c r="B1260">
        <v>10</v>
      </c>
    </row>
    <row r="1261" spans="1:2">
      <c r="A1261" t="s">
        <v>637</v>
      </c>
      <c r="B1261">
        <v>8</v>
      </c>
    </row>
    <row r="1262" spans="1:2">
      <c r="A1262" t="s">
        <v>321</v>
      </c>
      <c r="B1262">
        <v>7</v>
      </c>
    </row>
    <row r="1263" spans="1:2">
      <c r="A1263" t="s">
        <v>654</v>
      </c>
      <c r="B1263">
        <v>1</v>
      </c>
    </row>
    <row r="1264" spans="1:2">
      <c r="A1264" t="s">
        <v>66</v>
      </c>
      <c r="B1264">
        <v>1</v>
      </c>
    </row>
    <row r="1265" spans="1:2">
      <c r="A1265" t="s">
        <v>677</v>
      </c>
      <c r="B1265">
        <v>6</v>
      </c>
    </row>
    <row r="1266" spans="1:2">
      <c r="A1266" t="s">
        <v>274</v>
      </c>
      <c r="B1266">
        <v>5</v>
      </c>
    </row>
    <row r="1267" spans="1:2">
      <c r="A1267" t="s">
        <v>742</v>
      </c>
      <c r="B1267">
        <v>2</v>
      </c>
    </row>
    <row r="1268" spans="1:2">
      <c r="A1268" t="s">
        <v>826</v>
      </c>
      <c r="B1268">
        <v>1</v>
      </c>
    </row>
    <row r="1269" spans="1:2">
      <c r="A1269" t="s">
        <v>847</v>
      </c>
      <c r="B1269">
        <v>2</v>
      </c>
    </row>
    <row r="1270" spans="1:2">
      <c r="A1270" t="s">
        <v>865</v>
      </c>
      <c r="B1270">
        <v>1</v>
      </c>
    </row>
    <row r="1271" spans="1:2">
      <c r="A1271" t="s">
        <v>876</v>
      </c>
      <c r="B1271">
        <v>2</v>
      </c>
    </row>
    <row r="1272" spans="1:2">
      <c r="A1272" t="s">
        <v>405</v>
      </c>
      <c r="B1272">
        <v>1</v>
      </c>
    </row>
    <row r="1273" spans="1:2">
      <c r="A1273" t="s">
        <v>905</v>
      </c>
      <c r="B1273">
        <v>1</v>
      </c>
    </row>
    <row r="1274" spans="1:2">
      <c r="A1274" t="s">
        <v>917</v>
      </c>
      <c r="B1274">
        <v>2</v>
      </c>
    </row>
    <row r="1275" spans="1:2">
      <c r="A1275" t="s">
        <v>944</v>
      </c>
      <c r="B1275">
        <v>1</v>
      </c>
    </row>
    <row r="1276" spans="1:2">
      <c r="A1276" t="s">
        <v>968</v>
      </c>
      <c r="B1276">
        <v>1</v>
      </c>
    </row>
    <row r="1277" spans="1:2">
      <c r="A1277" t="s">
        <v>971</v>
      </c>
      <c r="B1277">
        <v>1</v>
      </c>
    </row>
    <row r="1278" spans="1:2">
      <c r="A1278" s="2" t="s">
        <v>9</v>
      </c>
      <c r="B1278" s="2">
        <v>68</v>
      </c>
    </row>
    <row r="1280" spans="1:2">
      <c r="A1280" s="2" t="s">
        <v>48</v>
      </c>
    </row>
    <row r="1281" spans="1:2">
      <c r="A1281" s="2" t="s">
        <v>0</v>
      </c>
      <c r="B1281" s="2" t="s">
        <v>1</v>
      </c>
    </row>
    <row r="1282" spans="1:2">
      <c r="A1282" t="s">
        <v>233</v>
      </c>
      <c r="B1282">
        <v>68</v>
      </c>
    </row>
    <row r="1283" spans="1:2">
      <c r="A1283" t="s">
        <v>328</v>
      </c>
      <c r="B1283">
        <v>27</v>
      </c>
    </row>
    <row r="1284" spans="1:2">
      <c r="A1284" t="s">
        <v>570</v>
      </c>
      <c r="B1284">
        <v>32</v>
      </c>
    </row>
    <row r="1285" spans="1:2">
      <c r="A1285" t="s">
        <v>572</v>
      </c>
      <c r="B1285">
        <v>2</v>
      </c>
    </row>
    <row r="1286" spans="1:2">
      <c r="A1286" t="s">
        <v>219</v>
      </c>
      <c r="B1286">
        <v>18</v>
      </c>
    </row>
    <row r="1287" spans="1:2">
      <c r="A1287" t="s">
        <v>381</v>
      </c>
      <c r="B1287">
        <v>16</v>
      </c>
    </row>
    <row r="1288" spans="1:2">
      <c r="A1288" t="s">
        <v>342</v>
      </c>
      <c r="B1288">
        <v>17</v>
      </c>
    </row>
    <row r="1289" spans="1:2">
      <c r="A1289" t="s">
        <v>582</v>
      </c>
      <c r="B1289">
        <v>3</v>
      </c>
    </row>
    <row r="1290" spans="1:2">
      <c r="A1290" t="s">
        <v>586</v>
      </c>
      <c r="B1290">
        <v>3</v>
      </c>
    </row>
    <row r="1291" spans="1:2">
      <c r="A1291" t="s">
        <v>588</v>
      </c>
      <c r="B1291">
        <v>2</v>
      </c>
    </row>
    <row r="1292" spans="1:2">
      <c r="A1292" t="s">
        <v>589</v>
      </c>
      <c r="B1292">
        <v>3</v>
      </c>
    </row>
    <row r="1293" spans="1:2">
      <c r="A1293" t="s">
        <v>43</v>
      </c>
      <c r="B1293">
        <v>7</v>
      </c>
    </row>
    <row r="1294" spans="1:2">
      <c r="A1294" t="s">
        <v>590</v>
      </c>
      <c r="B1294">
        <v>5</v>
      </c>
    </row>
    <row r="1295" spans="1:2">
      <c r="A1295" t="s">
        <v>592</v>
      </c>
      <c r="B1295">
        <v>2</v>
      </c>
    </row>
    <row r="1296" spans="1:2">
      <c r="A1296" t="s">
        <v>218</v>
      </c>
      <c r="B1296">
        <v>10</v>
      </c>
    </row>
    <row r="1297" spans="1:2">
      <c r="A1297" t="s">
        <v>593</v>
      </c>
      <c r="B1297">
        <v>10</v>
      </c>
    </row>
    <row r="1298" spans="1:2">
      <c r="A1298" t="s">
        <v>594</v>
      </c>
      <c r="B1298">
        <v>11</v>
      </c>
    </row>
    <row r="1299" spans="1:2">
      <c r="A1299" t="s">
        <v>596</v>
      </c>
      <c r="B1299">
        <v>3</v>
      </c>
    </row>
    <row r="1300" spans="1:2">
      <c r="A1300" t="s">
        <v>259</v>
      </c>
      <c r="B1300">
        <v>2</v>
      </c>
    </row>
    <row r="1301" spans="1:2">
      <c r="A1301" t="s">
        <v>609</v>
      </c>
      <c r="B1301">
        <v>7</v>
      </c>
    </row>
    <row r="1302" spans="1:2">
      <c r="A1302" t="s">
        <v>614</v>
      </c>
      <c r="B1302">
        <v>1</v>
      </c>
    </row>
    <row r="1303" spans="1:2">
      <c r="A1303" t="s">
        <v>27</v>
      </c>
      <c r="B1303">
        <v>10</v>
      </c>
    </row>
    <row r="1304" spans="1:2">
      <c r="A1304" t="s">
        <v>216</v>
      </c>
      <c r="B1304">
        <v>24</v>
      </c>
    </row>
    <row r="1305" spans="1:2">
      <c r="A1305" t="s">
        <v>105</v>
      </c>
      <c r="B1305">
        <v>4</v>
      </c>
    </row>
    <row r="1306" spans="1:2">
      <c r="A1306" t="s">
        <v>671</v>
      </c>
      <c r="B1306">
        <v>1</v>
      </c>
    </row>
    <row r="1307" spans="1:2">
      <c r="A1307" t="s">
        <v>18</v>
      </c>
      <c r="B1307">
        <v>4</v>
      </c>
    </row>
    <row r="1308" spans="1:2">
      <c r="A1308" t="s">
        <v>674</v>
      </c>
      <c r="B1308">
        <v>3</v>
      </c>
    </row>
    <row r="1309" spans="1:2">
      <c r="A1309" t="s">
        <v>675</v>
      </c>
      <c r="B1309">
        <v>12</v>
      </c>
    </row>
    <row r="1310" spans="1:2">
      <c r="A1310" t="s">
        <v>39</v>
      </c>
      <c r="B1310">
        <v>3</v>
      </c>
    </row>
    <row r="1311" spans="1:2">
      <c r="A1311" t="s">
        <v>685</v>
      </c>
      <c r="B1311">
        <v>1</v>
      </c>
    </row>
    <row r="1312" spans="1:2">
      <c r="A1312" t="s">
        <v>438</v>
      </c>
      <c r="B1312">
        <v>5</v>
      </c>
    </row>
    <row r="1313" spans="1:2">
      <c r="A1313" t="s">
        <v>741</v>
      </c>
      <c r="B1313">
        <v>2</v>
      </c>
    </row>
    <row r="1314" spans="1:2">
      <c r="A1314" t="s">
        <v>774</v>
      </c>
      <c r="B1314">
        <v>2</v>
      </c>
    </row>
    <row r="1315" spans="1:2">
      <c r="A1315" t="s">
        <v>853</v>
      </c>
      <c r="B1315">
        <v>2</v>
      </c>
    </row>
    <row r="1316" spans="1:2">
      <c r="A1316" t="s">
        <v>440</v>
      </c>
      <c r="B1316">
        <v>1</v>
      </c>
    </row>
    <row r="1317" spans="1:2">
      <c r="A1317" t="s">
        <v>887</v>
      </c>
      <c r="B1317">
        <v>1</v>
      </c>
    </row>
    <row r="1318" spans="1:2">
      <c r="A1318" t="s">
        <v>900</v>
      </c>
      <c r="B1318">
        <v>1</v>
      </c>
    </row>
    <row r="1319" spans="1:2">
      <c r="A1319" t="s">
        <v>902</v>
      </c>
      <c r="B1319">
        <v>1</v>
      </c>
    </row>
    <row r="1320" spans="1:2">
      <c r="A1320" t="s">
        <v>21</v>
      </c>
      <c r="B1320">
        <v>2</v>
      </c>
    </row>
    <row r="1321" spans="1:2">
      <c r="A1321" t="s">
        <v>903</v>
      </c>
      <c r="B1321">
        <v>1</v>
      </c>
    </row>
    <row r="1322" spans="1:2">
      <c r="A1322" t="s">
        <v>906</v>
      </c>
      <c r="B1322">
        <v>1</v>
      </c>
    </row>
    <row r="1323" spans="1:2">
      <c r="A1323" t="s">
        <v>907</v>
      </c>
      <c r="B1323">
        <v>1</v>
      </c>
    </row>
    <row r="1324" spans="1:2">
      <c r="A1324" t="s">
        <v>40</v>
      </c>
      <c r="B1324">
        <v>2</v>
      </c>
    </row>
    <row r="1325" spans="1:2">
      <c r="A1325" t="s">
        <v>908</v>
      </c>
      <c r="B1325">
        <v>1</v>
      </c>
    </row>
    <row r="1326" spans="1:2">
      <c r="A1326" t="s">
        <v>249</v>
      </c>
      <c r="B1326">
        <v>1</v>
      </c>
    </row>
    <row r="1327" spans="1:2">
      <c r="A1327" t="s">
        <v>937</v>
      </c>
      <c r="B1327">
        <v>1</v>
      </c>
    </row>
    <row r="1328" spans="1:2">
      <c r="A1328" t="s">
        <v>31</v>
      </c>
      <c r="B1328">
        <v>1</v>
      </c>
    </row>
    <row r="1329" spans="1:2">
      <c r="A1329" t="s">
        <v>42</v>
      </c>
      <c r="B1329">
        <v>1</v>
      </c>
    </row>
    <row r="1330" spans="1:2">
      <c r="A1330" t="s">
        <v>938</v>
      </c>
      <c r="B1330">
        <v>1</v>
      </c>
    </row>
    <row r="1331" spans="1:2">
      <c r="A1331" t="s">
        <v>939</v>
      </c>
      <c r="B1331">
        <v>1</v>
      </c>
    </row>
    <row r="1332" spans="1:2">
      <c r="A1332" t="s">
        <v>976</v>
      </c>
      <c r="B1332">
        <v>1</v>
      </c>
    </row>
    <row r="1333" spans="1:2">
      <c r="A1333" t="s">
        <v>982</v>
      </c>
      <c r="B1333">
        <v>1</v>
      </c>
    </row>
    <row r="1334" spans="1:2">
      <c r="A1334" t="s">
        <v>1002</v>
      </c>
      <c r="B1334">
        <v>1</v>
      </c>
    </row>
    <row r="1335" spans="1:2">
      <c r="A1335" t="s">
        <v>1035</v>
      </c>
      <c r="B1335">
        <v>1</v>
      </c>
    </row>
    <row r="1336" spans="1:2">
      <c r="A1336" t="s">
        <v>1036</v>
      </c>
      <c r="B1336">
        <v>1</v>
      </c>
    </row>
    <row r="1337" spans="1:2">
      <c r="A1337" t="s">
        <v>1037</v>
      </c>
      <c r="B1337">
        <v>1</v>
      </c>
    </row>
    <row r="1338" spans="1:2">
      <c r="A1338" t="s">
        <v>1038</v>
      </c>
      <c r="B1338">
        <v>1</v>
      </c>
    </row>
    <row r="1339" spans="1:2">
      <c r="A1339" t="s">
        <v>1039</v>
      </c>
      <c r="B1339">
        <v>1</v>
      </c>
    </row>
    <row r="1340" spans="1:2">
      <c r="A1340" t="s">
        <v>1040</v>
      </c>
      <c r="B1340">
        <v>1</v>
      </c>
    </row>
    <row r="1341" spans="1:2">
      <c r="A1341" t="s">
        <v>1041</v>
      </c>
      <c r="B1341">
        <v>1</v>
      </c>
    </row>
    <row r="1342" spans="1:2">
      <c r="A1342" s="2" t="s">
        <v>9</v>
      </c>
      <c r="B1342" s="2">
        <v>350</v>
      </c>
    </row>
    <row r="1344" spans="1:2">
      <c r="A1344" s="2" t="s">
        <v>54</v>
      </c>
    </row>
    <row r="1345" spans="1:2">
      <c r="A1345" s="2" t="s">
        <v>0</v>
      </c>
      <c r="B1345" s="2" t="s">
        <v>1</v>
      </c>
    </row>
    <row r="1346" spans="1:2">
      <c r="A1346" t="s">
        <v>566</v>
      </c>
      <c r="B1346">
        <v>27</v>
      </c>
    </row>
    <row r="1347" spans="1:2">
      <c r="A1347" t="s">
        <v>376</v>
      </c>
      <c r="B1347">
        <v>13</v>
      </c>
    </row>
    <row r="1348" spans="1:2">
      <c r="A1348" t="s">
        <v>385</v>
      </c>
      <c r="B1348">
        <v>14</v>
      </c>
    </row>
    <row r="1349" spans="1:2">
      <c r="A1349" t="s">
        <v>121</v>
      </c>
      <c r="B1349">
        <v>2</v>
      </c>
    </row>
    <row r="1350" spans="1:2">
      <c r="A1350" t="s">
        <v>576</v>
      </c>
      <c r="B1350">
        <v>11</v>
      </c>
    </row>
    <row r="1351" spans="1:2">
      <c r="A1351" t="s">
        <v>371</v>
      </c>
      <c r="B1351">
        <v>22</v>
      </c>
    </row>
    <row r="1352" spans="1:2">
      <c r="A1352" t="s">
        <v>309</v>
      </c>
      <c r="B1352">
        <v>4</v>
      </c>
    </row>
    <row r="1353" spans="1:2">
      <c r="A1353" t="s">
        <v>606</v>
      </c>
      <c r="B1353">
        <v>2</v>
      </c>
    </row>
    <row r="1354" spans="1:2">
      <c r="A1354" t="s">
        <v>71</v>
      </c>
      <c r="B1354">
        <v>14</v>
      </c>
    </row>
    <row r="1355" spans="1:2">
      <c r="A1355" t="s">
        <v>610</v>
      </c>
      <c r="B1355">
        <v>1</v>
      </c>
    </row>
    <row r="1356" spans="1:2">
      <c r="A1356" t="s">
        <v>383</v>
      </c>
      <c r="B1356">
        <v>2</v>
      </c>
    </row>
    <row r="1357" spans="1:2">
      <c r="A1357" t="s">
        <v>613</v>
      </c>
      <c r="B1357">
        <v>2</v>
      </c>
    </row>
    <row r="1358" spans="1:2">
      <c r="A1358" t="s">
        <v>615</v>
      </c>
      <c r="B1358">
        <v>3</v>
      </c>
    </row>
    <row r="1359" spans="1:2">
      <c r="A1359" t="s">
        <v>622</v>
      </c>
      <c r="B1359">
        <v>2</v>
      </c>
    </row>
    <row r="1360" spans="1:2">
      <c r="A1360" t="s">
        <v>626</v>
      </c>
      <c r="B1360">
        <v>3</v>
      </c>
    </row>
    <row r="1361" spans="1:2">
      <c r="A1361" t="s">
        <v>631</v>
      </c>
      <c r="B1361">
        <v>1</v>
      </c>
    </row>
    <row r="1362" spans="1:2">
      <c r="A1362" t="s">
        <v>648</v>
      </c>
      <c r="B1362">
        <v>2</v>
      </c>
    </row>
    <row r="1363" spans="1:2">
      <c r="A1363" t="s">
        <v>176</v>
      </c>
      <c r="B1363">
        <v>28</v>
      </c>
    </row>
    <row r="1364" spans="1:2">
      <c r="A1364" t="s">
        <v>660</v>
      </c>
      <c r="B1364">
        <v>1</v>
      </c>
    </row>
    <row r="1365" spans="1:2">
      <c r="A1365" t="s">
        <v>261</v>
      </c>
      <c r="B1365">
        <v>2</v>
      </c>
    </row>
    <row r="1366" spans="1:2">
      <c r="A1366" t="s">
        <v>687</v>
      </c>
      <c r="B1366">
        <v>2</v>
      </c>
    </row>
    <row r="1367" spans="1:2">
      <c r="A1367" t="s">
        <v>717</v>
      </c>
      <c r="B1367">
        <v>1</v>
      </c>
    </row>
    <row r="1368" spans="1:2">
      <c r="A1368" t="s">
        <v>302</v>
      </c>
      <c r="B1368">
        <v>3</v>
      </c>
    </row>
    <row r="1369" spans="1:2">
      <c r="A1369" t="s">
        <v>730</v>
      </c>
      <c r="B1369">
        <v>1</v>
      </c>
    </row>
    <row r="1370" spans="1:2">
      <c r="A1370" t="s">
        <v>768</v>
      </c>
      <c r="B1370">
        <v>1</v>
      </c>
    </row>
    <row r="1371" spans="1:2">
      <c r="A1371" t="s">
        <v>301</v>
      </c>
      <c r="B1371">
        <v>1</v>
      </c>
    </row>
    <row r="1372" spans="1:2">
      <c r="A1372" t="s">
        <v>816</v>
      </c>
      <c r="B1372">
        <v>1</v>
      </c>
    </row>
    <row r="1373" spans="1:2">
      <c r="A1373" t="s">
        <v>324</v>
      </c>
      <c r="B1373">
        <v>5</v>
      </c>
    </row>
    <row r="1374" spans="1:2">
      <c r="A1374" t="s">
        <v>358</v>
      </c>
      <c r="B1374">
        <v>6</v>
      </c>
    </row>
    <row r="1375" spans="1:2">
      <c r="A1375" t="s">
        <v>849</v>
      </c>
      <c r="B1375">
        <v>2</v>
      </c>
    </row>
    <row r="1376" spans="1:2">
      <c r="A1376" t="s">
        <v>882</v>
      </c>
      <c r="B1376">
        <v>1</v>
      </c>
    </row>
    <row r="1377" spans="1:2">
      <c r="A1377" t="s">
        <v>222</v>
      </c>
      <c r="B1377">
        <v>3</v>
      </c>
    </row>
    <row r="1378" spans="1:2">
      <c r="A1378" t="s">
        <v>916</v>
      </c>
      <c r="B1378">
        <v>3</v>
      </c>
    </row>
    <row r="1379" spans="1:2">
      <c r="A1379" t="s">
        <v>941</v>
      </c>
      <c r="B1379">
        <v>1</v>
      </c>
    </row>
    <row r="1380" spans="1:2">
      <c r="A1380" t="s">
        <v>396</v>
      </c>
      <c r="B1380">
        <v>2</v>
      </c>
    </row>
    <row r="1381" spans="1:2">
      <c r="A1381" t="s">
        <v>949</v>
      </c>
      <c r="B1381">
        <v>1</v>
      </c>
    </row>
    <row r="1382" spans="1:2">
      <c r="A1382" t="s">
        <v>397</v>
      </c>
      <c r="B1382">
        <v>1</v>
      </c>
    </row>
    <row r="1383" spans="1:2">
      <c r="A1383" t="s">
        <v>950</v>
      </c>
      <c r="B1383">
        <v>1</v>
      </c>
    </row>
    <row r="1384" spans="1:2">
      <c r="A1384" t="s">
        <v>951</v>
      </c>
      <c r="B1384">
        <v>1</v>
      </c>
    </row>
    <row r="1385" spans="1:2">
      <c r="A1385" t="s">
        <v>960</v>
      </c>
      <c r="B1385">
        <v>1</v>
      </c>
    </row>
    <row r="1386" spans="1:2">
      <c r="A1386" t="s">
        <v>969</v>
      </c>
      <c r="B1386">
        <v>2</v>
      </c>
    </row>
    <row r="1387" spans="1:2">
      <c r="A1387" t="s">
        <v>974</v>
      </c>
      <c r="B1387">
        <v>1</v>
      </c>
    </row>
    <row r="1388" spans="1:2">
      <c r="A1388" t="s">
        <v>1015</v>
      </c>
      <c r="B1388">
        <v>1</v>
      </c>
    </row>
    <row r="1389" spans="1:2">
      <c r="A1389" t="s">
        <v>1042</v>
      </c>
      <c r="B1389">
        <v>1</v>
      </c>
    </row>
    <row r="1390" spans="1:2">
      <c r="A1390" t="s">
        <v>1054</v>
      </c>
      <c r="B1390">
        <v>1</v>
      </c>
    </row>
    <row r="1391" spans="1:2">
      <c r="A1391" t="s">
        <v>1063</v>
      </c>
      <c r="B1391">
        <v>1</v>
      </c>
    </row>
    <row r="1392" spans="1:2">
      <c r="A1392" s="2" t="s">
        <v>9</v>
      </c>
      <c r="B1392" s="2">
        <v>201</v>
      </c>
    </row>
    <row r="1394" spans="1:2">
      <c r="A1394" s="2" t="s">
        <v>1065</v>
      </c>
    </row>
    <row r="1395" spans="1:2">
      <c r="A1395" s="2" t="s">
        <v>0</v>
      </c>
      <c r="B1395" s="2" t="s">
        <v>1</v>
      </c>
    </row>
    <row r="1396" spans="1:2">
      <c r="A1396" t="s">
        <v>286</v>
      </c>
      <c r="B1396">
        <v>16</v>
      </c>
    </row>
    <row r="1397" spans="1:2">
      <c r="A1397" t="s">
        <v>901</v>
      </c>
      <c r="B1397">
        <v>1</v>
      </c>
    </row>
    <row r="1398" spans="1:2">
      <c r="A1398" s="2" t="s">
        <v>9</v>
      </c>
      <c r="B1398" s="2">
        <v>17</v>
      </c>
    </row>
    <row r="1400" spans="1:2">
      <c r="A1400" s="2" t="s">
        <v>49</v>
      </c>
    </row>
    <row r="1401" spans="1:2">
      <c r="A1401" s="2" t="s">
        <v>0</v>
      </c>
      <c r="B1401" s="2" t="s">
        <v>1</v>
      </c>
    </row>
    <row r="1402" spans="1:2">
      <c r="A1402" t="s">
        <v>569</v>
      </c>
      <c r="B1402">
        <v>8</v>
      </c>
    </row>
    <row r="1403" spans="1:2">
      <c r="A1403" t="s">
        <v>154</v>
      </c>
      <c r="B1403">
        <v>12</v>
      </c>
    </row>
    <row r="1404" spans="1:2">
      <c r="A1404" t="s">
        <v>595</v>
      </c>
      <c r="B1404">
        <v>2</v>
      </c>
    </row>
    <row r="1405" spans="1:2">
      <c r="A1405" t="s">
        <v>617</v>
      </c>
      <c r="B1405">
        <v>1</v>
      </c>
    </row>
    <row r="1406" spans="1:2">
      <c r="A1406" t="s">
        <v>332</v>
      </c>
      <c r="B1406">
        <v>2</v>
      </c>
    </row>
    <row r="1407" spans="1:2">
      <c r="A1407" t="s">
        <v>632</v>
      </c>
      <c r="B1407">
        <v>2</v>
      </c>
    </row>
    <row r="1408" spans="1:2">
      <c r="A1408" t="s">
        <v>633</v>
      </c>
      <c r="B1408">
        <v>1</v>
      </c>
    </row>
    <row r="1409" spans="1:2">
      <c r="A1409" t="s">
        <v>635</v>
      </c>
      <c r="B1409">
        <v>7</v>
      </c>
    </row>
    <row r="1410" spans="1:2">
      <c r="A1410" t="s">
        <v>636</v>
      </c>
      <c r="B1410">
        <v>7</v>
      </c>
    </row>
    <row r="1411" spans="1:2">
      <c r="A1411" t="s">
        <v>148</v>
      </c>
      <c r="B1411">
        <v>10</v>
      </c>
    </row>
    <row r="1412" spans="1:2">
      <c r="A1412" t="s">
        <v>663</v>
      </c>
      <c r="B1412">
        <v>1</v>
      </c>
    </row>
    <row r="1413" spans="1:2">
      <c r="A1413" t="s">
        <v>668</v>
      </c>
      <c r="B1413">
        <v>1</v>
      </c>
    </row>
    <row r="1414" spans="1:2">
      <c r="A1414" t="s">
        <v>669</v>
      </c>
      <c r="B1414">
        <v>1</v>
      </c>
    </row>
    <row r="1415" spans="1:2">
      <c r="A1415" t="s">
        <v>670</v>
      </c>
      <c r="B1415">
        <v>1</v>
      </c>
    </row>
    <row r="1416" spans="1:2">
      <c r="A1416" t="s">
        <v>672</v>
      </c>
      <c r="B1416">
        <v>2</v>
      </c>
    </row>
    <row r="1417" spans="1:2">
      <c r="A1417" t="s">
        <v>699</v>
      </c>
      <c r="B1417">
        <v>4</v>
      </c>
    </row>
    <row r="1418" spans="1:2">
      <c r="A1418" t="s">
        <v>754</v>
      </c>
      <c r="B1418">
        <v>5</v>
      </c>
    </row>
    <row r="1419" spans="1:2">
      <c r="A1419" t="s">
        <v>759</v>
      </c>
      <c r="B1419">
        <v>4</v>
      </c>
    </row>
    <row r="1420" spans="1:2">
      <c r="A1420" t="s">
        <v>789</v>
      </c>
      <c r="B1420">
        <v>1</v>
      </c>
    </row>
    <row r="1421" spans="1:2">
      <c r="A1421" t="s">
        <v>835</v>
      </c>
      <c r="B1421">
        <v>1</v>
      </c>
    </row>
    <row r="1422" spans="1:2">
      <c r="A1422" t="s">
        <v>874</v>
      </c>
      <c r="B1422">
        <v>1</v>
      </c>
    </row>
    <row r="1423" spans="1:2">
      <c r="A1423" t="s">
        <v>875</v>
      </c>
      <c r="B1423">
        <v>1</v>
      </c>
    </row>
    <row r="1424" spans="1:2">
      <c r="A1424" t="s">
        <v>893</v>
      </c>
      <c r="B1424">
        <v>1</v>
      </c>
    </row>
    <row r="1425" spans="1:2">
      <c r="A1425" t="s">
        <v>896</v>
      </c>
      <c r="B1425">
        <v>1</v>
      </c>
    </row>
    <row r="1426" spans="1:2">
      <c r="A1426" t="s">
        <v>947</v>
      </c>
      <c r="B1426">
        <v>1</v>
      </c>
    </row>
    <row r="1427" spans="1:2">
      <c r="A1427" t="s">
        <v>957</v>
      </c>
      <c r="B1427">
        <v>1</v>
      </c>
    </row>
    <row r="1428" spans="1:2">
      <c r="A1428" t="s">
        <v>963</v>
      </c>
      <c r="B1428">
        <v>4</v>
      </c>
    </row>
    <row r="1429" spans="1:2">
      <c r="A1429" t="s">
        <v>1031</v>
      </c>
      <c r="B1429">
        <v>1</v>
      </c>
    </row>
    <row r="1430" spans="1:2">
      <c r="A1430" s="2" t="s">
        <v>9</v>
      </c>
      <c r="B1430" s="2">
        <v>84</v>
      </c>
    </row>
    <row r="1432" spans="1:2">
      <c r="A1432" s="2" t="s">
        <v>530</v>
      </c>
    </row>
    <row r="1433" spans="1:2">
      <c r="A1433" s="2" t="s">
        <v>0</v>
      </c>
      <c r="B1433" s="2" t="s">
        <v>1</v>
      </c>
    </row>
    <row r="1434" spans="1:2">
      <c r="A1434" t="s">
        <v>575</v>
      </c>
      <c r="B1434">
        <v>1</v>
      </c>
    </row>
    <row r="1435" spans="1:2">
      <c r="A1435" t="s">
        <v>712</v>
      </c>
      <c r="B1435">
        <v>1</v>
      </c>
    </row>
    <row r="1436" spans="1:2">
      <c r="A1436" t="s">
        <v>228</v>
      </c>
      <c r="B1436">
        <v>7</v>
      </c>
    </row>
    <row r="1437" spans="1:2">
      <c r="A1437" s="2" t="s">
        <v>9</v>
      </c>
      <c r="B1437" s="2">
        <v>9</v>
      </c>
    </row>
    <row r="1439" spans="1:2">
      <c r="A1439" s="2" t="s">
        <v>528</v>
      </c>
    </row>
    <row r="1440" spans="1:2">
      <c r="A1440" s="2" t="s">
        <v>0</v>
      </c>
      <c r="B1440" s="2" t="s">
        <v>1</v>
      </c>
    </row>
    <row r="1441" spans="1:2">
      <c r="A1441" t="s">
        <v>577</v>
      </c>
      <c r="B1441">
        <v>3</v>
      </c>
    </row>
    <row r="1442" spans="1:2">
      <c r="A1442" t="s">
        <v>641</v>
      </c>
      <c r="B1442">
        <v>1</v>
      </c>
    </row>
    <row r="1443" spans="1:2">
      <c r="A1443" t="s">
        <v>122</v>
      </c>
      <c r="B1443">
        <v>6</v>
      </c>
    </row>
    <row r="1444" spans="1:2">
      <c r="A1444" t="s">
        <v>498</v>
      </c>
      <c r="B1444">
        <v>3</v>
      </c>
    </row>
    <row r="1445" spans="1:2">
      <c r="A1445" t="s">
        <v>112</v>
      </c>
      <c r="B1445">
        <v>2</v>
      </c>
    </row>
    <row r="1446" spans="1:2">
      <c r="A1446" t="s">
        <v>642</v>
      </c>
      <c r="B1446">
        <v>1</v>
      </c>
    </row>
    <row r="1447" spans="1:2">
      <c r="A1447" t="s">
        <v>643</v>
      </c>
      <c r="B1447">
        <v>2</v>
      </c>
    </row>
    <row r="1448" spans="1:2">
      <c r="A1448" t="s">
        <v>644</v>
      </c>
      <c r="B1448">
        <v>1</v>
      </c>
    </row>
    <row r="1449" spans="1:2">
      <c r="A1449" t="s">
        <v>673</v>
      </c>
      <c r="B1449">
        <v>2</v>
      </c>
    </row>
    <row r="1450" spans="1:2">
      <c r="A1450" t="s">
        <v>706</v>
      </c>
      <c r="B1450">
        <v>1</v>
      </c>
    </row>
    <row r="1451" spans="1:2">
      <c r="A1451" t="s">
        <v>771</v>
      </c>
      <c r="B1451">
        <v>1</v>
      </c>
    </row>
    <row r="1452" spans="1:2">
      <c r="A1452" t="s">
        <v>790</v>
      </c>
      <c r="B1452">
        <v>1</v>
      </c>
    </row>
    <row r="1453" spans="1:2">
      <c r="A1453" t="s">
        <v>846</v>
      </c>
      <c r="B1453">
        <v>1</v>
      </c>
    </row>
    <row r="1454" spans="1:2">
      <c r="A1454" t="s">
        <v>459</v>
      </c>
      <c r="B1454">
        <v>2</v>
      </c>
    </row>
    <row r="1455" spans="1:2">
      <c r="A1455" t="s">
        <v>895</v>
      </c>
      <c r="B1455">
        <v>1</v>
      </c>
    </row>
    <row r="1456" spans="1:2">
      <c r="A1456" t="s">
        <v>214</v>
      </c>
      <c r="B1456">
        <v>1</v>
      </c>
    </row>
    <row r="1457" spans="1:2">
      <c r="A1457" t="s">
        <v>922</v>
      </c>
      <c r="B1457">
        <v>1</v>
      </c>
    </row>
    <row r="1458" spans="1:2">
      <c r="A1458" t="s">
        <v>924</v>
      </c>
      <c r="B1458">
        <v>1</v>
      </c>
    </row>
    <row r="1459" spans="1:2">
      <c r="A1459" t="s">
        <v>158</v>
      </c>
      <c r="B1459">
        <v>1</v>
      </c>
    </row>
    <row r="1460" spans="1:2">
      <c r="A1460" t="s">
        <v>927</v>
      </c>
      <c r="B1460">
        <v>1</v>
      </c>
    </row>
    <row r="1461" spans="1:2">
      <c r="A1461" t="s">
        <v>928</v>
      </c>
      <c r="B1461">
        <v>1</v>
      </c>
    </row>
    <row r="1462" spans="1:2">
      <c r="A1462" t="s">
        <v>988</v>
      </c>
      <c r="B1462">
        <v>3</v>
      </c>
    </row>
    <row r="1463" spans="1:2">
      <c r="A1463" t="s">
        <v>1047</v>
      </c>
      <c r="B1463">
        <v>1</v>
      </c>
    </row>
    <row r="1464" spans="1:2">
      <c r="A1464" t="s">
        <v>1056</v>
      </c>
      <c r="B1464">
        <v>1</v>
      </c>
    </row>
    <row r="1465" spans="1:2">
      <c r="A1465" t="s">
        <v>1057</v>
      </c>
      <c r="B1465">
        <v>1</v>
      </c>
    </row>
    <row r="1466" spans="1:2">
      <c r="A1466" t="s">
        <v>1058</v>
      </c>
      <c r="B1466">
        <v>1</v>
      </c>
    </row>
    <row r="1467" spans="1:2">
      <c r="A1467" t="s">
        <v>1059</v>
      </c>
      <c r="B1467">
        <v>1</v>
      </c>
    </row>
    <row r="1468" spans="1:2">
      <c r="A1468" t="s">
        <v>1060</v>
      </c>
      <c r="B1468">
        <v>1</v>
      </c>
    </row>
    <row r="1469" spans="1:2">
      <c r="A1469" t="s">
        <v>1061</v>
      </c>
      <c r="B1469">
        <v>1</v>
      </c>
    </row>
    <row r="1470" spans="1:2">
      <c r="A1470" s="2" t="s">
        <v>9</v>
      </c>
      <c r="B1470" s="2">
        <v>44</v>
      </c>
    </row>
    <row r="1472" spans="1:2">
      <c r="A1472" s="2" t="s">
        <v>1066</v>
      </c>
    </row>
    <row r="1473" spans="1:2">
      <c r="A1473" s="2" t="s">
        <v>0</v>
      </c>
      <c r="B1473" s="2" t="s">
        <v>1</v>
      </c>
    </row>
    <row r="1474" spans="1:2">
      <c r="A1474" t="s">
        <v>584</v>
      </c>
      <c r="B1474">
        <v>2</v>
      </c>
    </row>
    <row r="1475" spans="1:2">
      <c r="A1475" t="s">
        <v>761</v>
      </c>
      <c r="B1475">
        <v>2</v>
      </c>
    </row>
    <row r="1476" spans="1:2">
      <c r="A1476" s="2" t="s">
        <v>9</v>
      </c>
      <c r="B1476" s="2">
        <v>4</v>
      </c>
    </row>
    <row r="1478" spans="1:2">
      <c r="A1478" s="2" t="s">
        <v>11</v>
      </c>
    </row>
    <row r="1479" spans="1:2">
      <c r="A1479" s="2" t="s">
        <v>0</v>
      </c>
      <c r="B1479" s="2" t="s">
        <v>1</v>
      </c>
    </row>
    <row r="1480" spans="1:2">
      <c r="A1480" t="s">
        <v>587</v>
      </c>
      <c r="B1480">
        <v>3</v>
      </c>
    </row>
    <row r="1481" spans="1:2">
      <c r="A1481" t="s">
        <v>602</v>
      </c>
      <c r="B1481">
        <v>4</v>
      </c>
    </row>
    <row r="1482" spans="1:2">
      <c r="A1482" t="s">
        <v>351</v>
      </c>
      <c r="B1482">
        <v>1</v>
      </c>
    </row>
    <row r="1483" spans="1:2">
      <c r="A1483" t="s">
        <v>624</v>
      </c>
      <c r="B1483">
        <v>16</v>
      </c>
    </row>
    <row r="1484" spans="1:2">
      <c r="A1484" t="s">
        <v>373</v>
      </c>
      <c r="B1484">
        <v>10</v>
      </c>
    </row>
    <row r="1485" spans="1:2">
      <c r="A1485" t="s">
        <v>634</v>
      </c>
      <c r="B1485">
        <v>10</v>
      </c>
    </row>
    <row r="1486" spans="1:2">
      <c r="A1486" t="s">
        <v>649</v>
      </c>
      <c r="B1486">
        <v>1</v>
      </c>
    </row>
    <row r="1487" spans="1:2">
      <c r="A1487" t="s">
        <v>426</v>
      </c>
      <c r="B1487">
        <v>7</v>
      </c>
    </row>
    <row r="1488" spans="1:2">
      <c r="A1488" t="s">
        <v>686</v>
      </c>
      <c r="B1488">
        <v>2</v>
      </c>
    </row>
    <row r="1489" spans="1:2">
      <c r="A1489" t="s">
        <v>423</v>
      </c>
      <c r="B1489">
        <v>14</v>
      </c>
    </row>
    <row r="1490" spans="1:2">
      <c r="A1490" t="s">
        <v>722</v>
      </c>
      <c r="B1490">
        <v>1</v>
      </c>
    </row>
    <row r="1491" spans="1:2">
      <c r="A1491" t="s">
        <v>736</v>
      </c>
      <c r="B1491">
        <v>1</v>
      </c>
    </row>
    <row r="1492" spans="1:2">
      <c r="A1492" t="s">
        <v>749</v>
      </c>
      <c r="B1492">
        <v>2</v>
      </c>
    </row>
    <row r="1493" spans="1:2">
      <c r="A1493" t="s">
        <v>762</v>
      </c>
      <c r="B1493">
        <v>3</v>
      </c>
    </row>
    <row r="1494" spans="1:2">
      <c r="A1494" t="s">
        <v>763</v>
      </c>
      <c r="B1494">
        <v>3</v>
      </c>
    </row>
    <row r="1495" spans="1:2">
      <c r="A1495" t="s">
        <v>772</v>
      </c>
      <c r="B1495">
        <v>1</v>
      </c>
    </row>
    <row r="1496" spans="1:2">
      <c r="A1496" t="s">
        <v>775</v>
      </c>
      <c r="B1496">
        <v>1</v>
      </c>
    </row>
    <row r="1497" spans="1:2">
      <c r="A1497" t="s">
        <v>242</v>
      </c>
      <c r="B1497">
        <v>1</v>
      </c>
    </row>
    <row r="1498" spans="1:2">
      <c r="A1498" t="s">
        <v>794</v>
      </c>
      <c r="B1498">
        <v>1</v>
      </c>
    </row>
    <row r="1499" spans="1:2">
      <c r="A1499" t="s">
        <v>399</v>
      </c>
      <c r="B1499">
        <v>1</v>
      </c>
    </row>
    <row r="1500" spans="1:2">
      <c r="A1500" t="s">
        <v>809</v>
      </c>
      <c r="B1500">
        <v>2</v>
      </c>
    </row>
    <row r="1501" spans="1:2">
      <c r="A1501" t="s">
        <v>820</v>
      </c>
      <c r="B1501">
        <v>1</v>
      </c>
    </row>
    <row r="1502" spans="1:2">
      <c r="A1502" t="s">
        <v>870</v>
      </c>
      <c r="B1502">
        <v>1</v>
      </c>
    </row>
    <row r="1503" spans="1:2">
      <c r="A1503" t="s">
        <v>450</v>
      </c>
      <c r="B1503">
        <v>4</v>
      </c>
    </row>
    <row r="1504" spans="1:2">
      <c r="A1504" t="s">
        <v>890</v>
      </c>
      <c r="B1504">
        <v>1</v>
      </c>
    </row>
    <row r="1505" spans="1:2">
      <c r="A1505" t="s">
        <v>933</v>
      </c>
      <c r="B1505">
        <v>1</v>
      </c>
    </row>
    <row r="1506" spans="1:2">
      <c r="A1506" t="s">
        <v>934</v>
      </c>
      <c r="B1506">
        <v>1</v>
      </c>
    </row>
    <row r="1507" spans="1:2">
      <c r="A1507" t="s">
        <v>954</v>
      </c>
      <c r="B1507">
        <v>2</v>
      </c>
    </row>
    <row r="1508" spans="1:2">
      <c r="A1508" t="s">
        <v>225</v>
      </c>
      <c r="B1508">
        <v>2</v>
      </c>
    </row>
    <row r="1509" spans="1:2">
      <c r="A1509" t="s">
        <v>984</v>
      </c>
      <c r="B1509">
        <v>1</v>
      </c>
    </row>
    <row r="1510" spans="1:2">
      <c r="A1510" t="s">
        <v>329</v>
      </c>
      <c r="B1510">
        <v>1</v>
      </c>
    </row>
    <row r="1511" spans="1:2">
      <c r="A1511" t="s">
        <v>985</v>
      </c>
      <c r="B1511">
        <v>1</v>
      </c>
    </row>
    <row r="1512" spans="1:2">
      <c r="A1512" t="s">
        <v>992</v>
      </c>
      <c r="B1512">
        <v>1</v>
      </c>
    </row>
    <row r="1513" spans="1:2">
      <c r="A1513" t="s">
        <v>235</v>
      </c>
      <c r="B1513">
        <v>1</v>
      </c>
    </row>
    <row r="1514" spans="1:2">
      <c r="A1514" t="s">
        <v>466</v>
      </c>
      <c r="B1514">
        <v>1</v>
      </c>
    </row>
    <row r="1515" spans="1:2">
      <c r="A1515" t="s">
        <v>1010</v>
      </c>
      <c r="B1515">
        <v>1</v>
      </c>
    </row>
    <row r="1516" spans="1:2">
      <c r="A1516" t="s">
        <v>1011</v>
      </c>
      <c r="B1516">
        <v>1</v>
      </c>
    </row>
    <row r="1517" spans="1:2">
      <c r="A1517" t="s">
        <v>1012</v>
      </c>
      <c r="B1517">
        <v>2</v>
      </c>
    </row>
    <row r="1518" spans="1:2">
      <c r="A1518" t="s">
        <v>1013</v>
      </c>
      <c r="B1518">
        <v>1</v>
      </c>
    </row>
    <row r="1519" spans="1:2">
      <c r="A1519" t="s">
        <v>1022</v>
      </c>
      <c r="B1519">
        <v>1</v>
      </c>
    </row>
    <row r="1520" spans="1:2">
      <c r="A1520" t="s">
        <v>1045</v>
      </c>
      <c r="B1520">
        <v>1</v>
      </c>
    </row>
    <row r="1521" spans="1:2">
      <c r="A1521" t="s">
        <v>1048</v>
      </c>
      <c r="B1521">
        <v>1</v>
      </c>
    </row>
    <row r="1522" spans="1:2">
      <c r="A1522" s="2" t="s">
        <v>9</v>
      </c>
      <c r="B1522" s="2">
        <v>112</v>
      </c>
    </row>
    <row r="1524" spans="1:2">
      <c r="A1524" s="2" t="s">
        <v>546</v>
      </c>
    </row>
    <row r="1525" spans="1:2">
      <c r="A1525" s="2" t="s">
        <v>0</v>
      </c>
      <c r="B1525" s="2" t="s">
        <v>1</v>
      </c>
    </row>
    <row r="1526" spans="1:2">
      <c r="A1526" t="s">
        <v>493</v>
      </c>
      <c r="B1526">
        <v>3</v>
      </c>
    </row>
    <row r="1527" spans="1:2">
      <c r="A1527" t="s">
        <v>608</v>
      </c>
      <c r="B1527">
        <v>1</v>
      </c>
    </row>
    <row r="1528" spans="1:2">
      <c r="A1528" t="s">
        <v>210</v>
      </c>
      <c r="B1528">
        <v>2</v>
      </c>
    </row>
    <row r="1529" spans="1:2">
      <c r="A1529" t="s">
        <v>657</v>
      </c>
      <c r="B1529">
        <v>1</v>
      </c>
    </row>
    <row r="1530" spans="1:2">
      <c r="A1530" t="s">
        <v>662</v>
      </c>
      <c r="B1530">
        <v>2</v>
      </c>
    </row>
    <row r="1531" spans="1:2">
      <c r="A1531" t="s">
        <v>932</v>
      </c>
      <c r="B1531">
        <v>5</v>
      </c>
    </row>
    <row r="1532" spans="1:2">
      <c r="A1532" t="s">
        <v>409</v>
      </c>
      <c r="B1532">
        <v>1</v>
      </c>
    </row>
    <row r="1533" spans="1:2">
      <c r="A1533" t="s">
        <v>1046</v>
      </c>
      <c r="B1533">
        <v>1</v>
      </c>
    </row>
    <row r="1534" spans="1:2">
      <c r="A1534" s="2" t="s">
        <v>9</v>
      </c>
      <c r="B1534" s="2">
        <v>16</v>
      </c>
    </row>
    <row r="1536" spans="1:2">
      <c r="A1536" s="2" t="s">
        <v>13</v>
      </c>
    </row>
    <row r="1537" spans="1:2">
      <c r="A1537" s="2" t="s">
        <v>0</v>
      </c>
      <c r="B1537" s="2" t="s">
        <v>1</v>
      </c>
    </row>
    <row r="1538" spans="1:2">
      <c r="A1538" t="s">
        <v>600</v>
      </c>
      <c r="B1538">
        <v>2</v>
      </c>
    </row>
    <row r="1539" spans="1:2">
      <c r="A1539" t="s">
        <v>241</v>
      </c>
      <c r="B1539">
        <v>5</v>
      </c>
    </row>
    <row r="1540" spans="1:2">
      <c r="A1540" t="s">
        <v>681</v>
      </c>
      <c r="B1540">
        <v>3</v>
      </c>
    </row>
    <row r="1541" spans="1:2">
      <c r="A1541" t="s">
        <v>757</v>
      </c>
      <c r="B1541">
        <v>2</v>
      </c>
    </row>
    <row r="1542" spans="1:2">
      <c r="A1542" t="s">
        <v>877</v>
      </c>
      <c r="B1542">
        <v>1</v>
      </c>
    </row>
    <row r="1543" spans="1:2">
      <c r="A1543" t="s">
        <v>878</v>
      </c>
      <c r="B1543">
        <v>1</v>
      </c>
    </row>
    <row r="1544" spans="1:2">
      <c r="A1544" t="s">
        <v>879</v>
      </c>
      <c r="B1544">
        <v>1</v>
      </c>
    </row>
    <row r="1545" spans="1:2">
      <c r="A1545" s="2" t="s">
        <v>9</v>
      </c>
      <c r="B1545" s="2">
        <v>15</v>
      </c>
    </row>
    <row r="1547" spans="1:2">
      <c r="A1547" s="2" t="s">
        <v>529</v>
      </c>
    </row>
    <row r="1548" spans="1:2">
      <c r="A1548" s="2" t="s">
        <v>0</v>
      </c>
      <c r="B1548" s="2" t="s">
        <v>1</v>
      </c>
    </row>
    <row r="1549" spans="1:2">
      <c r="A1549" t="s">
        <v>422</v>
      </c>
      <c r="B1549">
        <v>25</v>
      </c>
    </row>
    <row r="1550" spans="1:2">
      <c r="A1550" t="s">
        <v>215</v>
      </c>
      <c r="B1550">
        <v>2</v>
      </c>
    </row>
    <row r="1551" spans="1:2">
      <c r="A1551" t="s">
        <v>779</v>
      </c>
      <c r="B1551">
        <v>1</v>
      </c>
    </row>
    <row r="1552" spans="1:2">
      <c r="A1552" t="s">
        <v>780</v>
      </c>
      <c r="B1552">
        <v>1</v>
      </c>
    </row>
    <row r="1553" spans="1:2">
      <c r="A1553" t="s">
        <v>787</v>
      </c>
      <c r="B1553">
        <v>1</v>
      </c>
    </row>
    <row r="1554" spans="1:2">
      <c r="A1554" t="s">
        <v>798</v>
      </c>
      <c r="B1554">
        <v>1</v>
      </c>
    </row>
    <row r="1555" spans="1:2">
      <c r="A1555" t="s">
        <v>799</v>
      </c>
      <c r="B1555">
        <v>1</v>
      </c>
    </row>
    <row r="1556" spans="1:2">
      <c r="A1556" t="s">
        <v>804</v>
      </c>
      <c r="B1556">
        <v>1</v>
      </c>
    </row>
    <row r="1557" spans="1:2">
      <c r="A1557" t="s">
        <v>886</v>
      </c>
      <c r="B1557">
        <v>1</v>
      </c>
    </row>
    <row r="1558" spans="1:2">
      <c r="A1558" t="s">
        <v>914</v>
      </c>
      <c r="B1558">
        <v>1</v>
      </c>
    </row>
    <row r="1559" spans="1:2">
      <c r="A1559" t="s">
        <v>1051</v>
      </c>
      <c r="B1559">
        <v>1</v>
      </c>
    </row>
    <row r="1560" spans="1:2">
      <c r="A1560" s="2" t="s">
        <v>9</v>
      </c>
      <c r="B1560" s="2">
        <v>36</v>
      </c>
    </row>
    <row r="1562" spans="1:2">
      <c r="A1562" s="2" t="s">
        <v>53</v>
      </c>
    </row>
    <row r="1563" spans="1:2">
      <c r="A1563" s="2" t="s">
        <v>0</v>
      </c>
      <c r="B1563" s="2" t="s">
        <v>1</v>
      </c>
    </row>
    <row r="1564" spans="1:2">
      <c r="A1564" t="s">
        <v>628</v>
      </c>
      <c r="B1564">
        <v>4</v>
      </c>
    </row>
    <row r="1565" spans="1:2">
      <c r="A1565" t="s">
        <v>652</v>
      </c>
      <c r="B1565">
        <v>4</v>
      </c>
    </row>
    <row r="1566" spans="1:2">
      <c r="A1566" t="s">
        <v>664</v>
      </c>
      <c r="B1566">
        <v>2</v>
      </c>
    </row>
    <row r="1567" spans="1:2">
      <c r="A1567" t="s">
        <v>666</v>
      </c>
      <c r="B1567">
        <v>1</v>
      </c>
    </row>
    <row r="1568" spans="1:2">
      <c r="A1568" t="s">
        <v>253</v>
      </c>
      <c r="B1568">
        <v>9</v>
      </c>
    </row>
    <row r="1569" spans="1:2">
      <c r="A1569" t="s">
        <v>698</v>
      </c>
      <c r="B1569">
        <v>2</v>
      </c>
    </row>
    <row r="1570" spans="1:2">
      <c r="A1570" t="s">
        <v>714</v>
      </c>
      <c r="B1570">
        <v>1</v>
      </c>
    </row>
    <row r="1571" spans="1:2">
      <c r="A1571" t="s">
        <v>831</v>
      </c>
      <c r="B1571">
        <v>1</v>
      </c>
    </row>
    <row r="1572" spans="1:2">
      <c r="A1572" t="s">
        <v>867</v>
      </c>
      <c r="B1572">
        <v>1</v>
      </c>
    </row>
    <row r="1573" spans="1:2">
      <c r="A1573" t="s">
        <v>892</v>
      </c>
      <c r="B1573">
        <v>2</v>
      </c>
    </row>
    <row r="1574" spans="1:2">
      <c r="A1574" t="s">
        <v>36</v>
      </c>
      <c r="B1574">
        <v>3</v>
      </c>
    </row>
    <row r="1575" spans="1:2">
      <c r="A1575" t="s">
        <v>897</v>
      </c>
      <c r="B1575">
        <v>1</v>
      </c>
    </row>
    <row r="1576" spans="1:2">
      <c r="A1576" t="s">
        <v>931</v>
      </c>
      <c r="B1576">
        <v>1</v>
      </c>
    </row>
    <row r="1577" spans="1:2">
      <c r="A1577" t="s">
        <v>935</v>
      </c>
      <c r="B1577">
        <v>1</v>
      </c>
    </row>
    <row r="1578" spans="1:2">
      <c r="A1578" t="s">
        <v>997</v>
      </c>
      <c r="B1578">
        <v>1</v>
      </c>
    </row>
    <row r="1579" spans="1:2">
      <c r="A1579" t="s">
        <v>1008</v>
      </c>
      <c r="B1579">
        <v>1</v>
      </c>
    </row>
    <row r="1580" spans="1:2">
      <c r="A1580" t="s">
        <v>1028</v>
      </c>
      <c r="B1580">
        <v>1</v>
      </c>
    </row>
    <row r="1581" spans="1:2">
      <c r="A1581" s="2" t="s">
        <v>9</v>
      </c>
      <c r="B1581" s="2">
        <v>36</v>
      </c>
    </row>
    <row r="1583" spans="1:2">
      <c r="A1583" s="2" t="s">
        <v>537</v>
      </c>
    </row>
    <row r="1584" spans="1:2">
      <c r="A1584" s="2" t="s">
        <v>0</v>
      </c>
      <c r="B1584" s="2" t="s">
        <v>1</v>
      </c>
    </row>
    <row r="1585" spans="1:2">
      <c r="A1585" t="s">
        <v>639</v>
      </c>
      <c r="B1585">
        <v>21</v>
      </c>
    </row>
    <row r="1586" spans="1:2">
      <c r="A1586" t="s">
        <v>661</v>
      </c>
      <c r="B1586">
        <v>8</v>
      </c>
    </row>
    <row r="1587" spans="1:2">
      <c r="A1587" t="s">
        <v>494</v>
      </c>
      <c r="B1587">
        <v>5</v>
      </c>
    </row>
    <row r="1588" spans="1:2">
      <c r="A1588" t="s">
        <v>173</v>
      </c>
      <c r="B1588">
        <v>1</v>
      </c>
    </row>
    <row r="1589" spans="1:2">
      <c r="A1589" t="s">
        <v>764</v>
      </c>
      <c r="B1589">
        <v>3</v>
      </c>
    </row>
    <row r="1590" spans="1:2">
      <c r="A1590" t="s">
        <v>782</v>
      </c>
      <c r="B1590">
        <v>1</v>
      </c>
    </row>
    <row r="1591" spans="1:2">
      <c r="A1591" t="s">
        <v>189</v>
      </c>
      <c r="B1591">
        <v>1</v>
      </c>
    </row>
    <row r="1592" spans="1:2">
      <c r="A1592" t="s">
        <v>838</v>
      </c>
      <c r="B1592">
        <v>1</v>
      </c>
    </row>
    <row r="1593" spans="1:2">
      <c r="A1593" t="s">
        <v>868</v>
      </c>
      <c r="B1593">
        <v>1</v>
      </c>
    </row>
    <row r="1594" spans="1:2">
      <c r="A1594" t="s">
        <v>972</v>
      </c>
      <c r="B1594">
        <v>1</v>
      </c>
    </row>
    <row r="1595" spans="1:2">
      <c r="A1595" t="s">
        <v>1007</v>
      </c>
      <c r="B1595">
        <v>1</v>
      </c>
    </row>
    <row r="1596" spans="1:2">
      <c r="A1596" t="s">
        <v>1009</v>
      </c>
      <c r="B1596">
        <v>1</v>
      </c>
    </row>
    <row r="1597" spans="1:2">
      <c r="A1597" t="s">
        <v>1021</v>
      </c>
      <c r="B1597">
        <v>1</v>
      </c>
    </row>
    <row r="1598" spans="1:2">
      <c r="A1598" s="2" t="s">
        <v>9</v>
      </c>
      <c r="B1598" s="2">
        <v>46</v>
      </c>
    </row>
    <row r="1600" spans="1:2">
      <c r="A1600" s="2" t="s">
        <v>1067</v>
      </c>
    </row>
    <row r="1601" spans="1:2">
      <c r="A1601" s="2" t="s">
        <v>0</v>
      </c>
      <c r="B1601" s="2" t="s">
        <v>1</v>
      </c>
    </row>
    <row r="1602" spans="1:2">
      <c r="A1602" t="s">
        <v>683</v>
      </c>
      <c r="B1602">
        <v>1</v>
      </c>
    </row>
    <row r="1603" spans="1:2">
      <c r="A1603" s="2" t="s">
        <v>9</v>
      </c>
      <c r="B1603" s="2">
        <v>1</v>
      </c>
    </row>
    <row r="1605" spans="1:2">
      <c r="A1605" s="2" t="s">
        <v>1068</v>
      </c>
    </row>
    <row r="1606" spans="1:2">
      <c r="A1606" s="2" t="s">
        <v>0</v>
      </c>
      <c r="B1606" s="2" t="s">
        <v>1</v>
      </c>
    </row>
    <row r="1607" spans="1:2">
      <c r="A1607" t="s">
        <v>690</v>
      </c>
      <c r="B1607">
        <v>6</v>
      </c>
    </row>
    <row r="1608" spans="1:2">
      <c r="A1608" t="s">
        <v>729</v>
      </c>
      <c r="B1608">
        <v>1</v>
      </c>
    </row>
    <row r="1609" spans="1:2">
      <c r="A1609" s="2" t="s">
        <v>9</v>
      </c>
      <c r="B1609" s="2">
        <v>7</v>
      </c>
    </row>
    <row r="1611" spans="1:2">
      <c r="A1611" s="2" t="s">
        <v>1069</v>
      </c>
    </row>
    <row r="1612" spans="1:2">
      <c r="A1612" s="2" t="s">
        <v>0</v>
      </c>
      <c r="B1612" s="2" t="s">
        <v>1</v>
      </c>
    </row>
    <row r="1613" spans="1:2">
      <c r="A1613" t="s">
        <v>693</v>
      </c>
      <c r="B1613">
        <v>6</v>
      </c>
    </row>
    <row r="1614" spans="1:2">
      <c r="A1614" t="s">
        <v>788</v>
      </c>
      <c r="B1614">
        <v>1</v>
      </c>
    </row>
    <row r="1615" spans="1:2">
      <c r="A1615" t="s">
        <v>862</v>
      </c>
      <c r="B1615">
        <v>1</v>
      </c>
    </row>
    <row r="1616" spans="1:2">
      <c r="A1616" s="2" t="s">
        <v>9</v>
      </c>
      <c r="B1616" s="2">
        <v>8</v>
      </c>
    </row>
    <row r="1618" spans="1:2">
      <c r="A1618" s="2" t="s">
        <v>543</v>
      </c>
    </row>
    <row r="1619" spans="1:2">
      <c r="A1619" s="2" t="s">
        <v>0</v>
      </c>
      <c r="B1619" s="2" t="s">
        <v>1</v>
      </c>
    </row>
    <row r="1620" spans="1:2">
      <c r="A1620" t="s">
        <v>713</v>
      </c>
      <c r="B1620">
        <v>2</v>
      </c>
    </row>
    <row r="1621" spans="1:2">
      <c r="A1621" t="s">
        <v>715</v>
      </c>
      <c r="B1621">
        <v>1</v>
      </c>
    </row>
    <row r="1622" spans="1:2">
      <c r="A1622" t="s">
        <v>899</v>
      </c>
      <c r="B1622">
        <v>1</v>
      </c>
    </row>
    <row r="1623" spans="1:2">
      <c r="A1623" s="2" t="s">
        <v>9</v>
      </c>
      <c r="B1623" s="2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79"/>
  <sheetViews>
    <sheetView topLeftCell="D3" workbookViewId="0">
      <selection activeCell="H15" sqref="H15"/>
    </sheetView>
  </sheetViews>
  <sheetFormatPr defaultRowHeight="14.45"/>
  <cols>
    <col min="1" max="1" width="51" customWidth="1"/>
    <col min="5" max="5" width="14.28515625" bestFit="1" customWidth="1"/>
    <col min="6" max="6" width="15.85546875" bestFit="1" customWidth="1"/>
  </cols>
  <sheetData>
    <row r="1" spans="1:8" s="2" customFormat="1">
      <c r="A1" s="2" t="s">
        <v>0</v>
      </c>
      <c r="B1" s="2" t="s">
        <v>2</v>
      </c>
      <c r="C1" s="2" t="s">
        <v>1</v>
      </c>
    </row>
    <row r="2" spans="1:8">
      <c r="A2" t="s">
        <v>25</v>
      </c>
      <c r="B2" t="s">
        <v>26</v>
      </c>
      <c r="C2">
        <v>2</v>
      </c>
    </row>
    <row r="3" spans="1:8">
      <c r="A3" t="s">
        <v>167</v>
      </c>
      <c r="B3" t="s">
        <v>16</v>
      </c>
      <c r="C3">
        <v>1</v>
      </c>
    </row>
    <row r="4" spans="1:8">
      <c r="A4" t="s">
        <v>428</v>
      </c>
      <c r="B4" t="s">
        <v>30</v>
      </c>
      <c r="C4">
        <v>1</v>
      </c>
    </row>
    <row r="5" spans="1:8">
      <c r="A5" t="s">
        <v>231</v>
      </c>
      <c r="B5" t="s">
        <v>30</v>
      </c>
      <c r="C5">
        <v>1</v>
      </c>
      <c r="E5" s="7" t="s">
        <v>7</v>
      </c>
      <c r="F5" t="s">
        <v>8</v>
      </c>
      <c r="G5" t="s">
        <v>9</v>
      </c>
      <c r="H5" t="s">
        <v>550</v>
      </c>
    </row>
    <row r="6" spans="1:8">
      <c r="A6" t="s">
        <v>133</v>
      </c>
      <c r="B6" t="s">
        <v>16</v>
      </c>
      <c r="C6">
        <v>1</v>
      </c>
      <c r="E6" s="8" t="s">
        <v>61</v>
      </c>
      <c r="F6">
        <v>1</v>
      </c>
      <c r="G6">
        <v>3</v>
      </c>
      <c r="H6">
        <f>F6/G6</f>
        <v>0.33333333333333331</v>
      </c>
    </row>
    <row r="7" spans="1:8">
      <c r="A7" t="s">
        <v>130</v>
      </c>
      <c r="B7" t="s">
        <v>64</v>
      </c>
      <c r="C7">
        <v>1</v>
      </c>
      <c r="E7" s="8" t="s">
        <v>22</v>
      </c>
      <c r="F7">
        <v>1</v>
      </c>
      <c r="G7">
        <v>3</v>
      </c>
      <c r="H7">
        <f t="shared" ref="H7:H15" si="0">F7/G7</f>
        <v>0.33333333333333331</v>
      </c>
    </row>
    <row r="8" spans="1:8">
      <c r="A8" t="s">
        <v>28</v>
      </c>
      <c r="B8" t="s">
        <v>22</v>
      </c>
      <c r="C8">
        <v>1</v>
      </c>
      <c r="E8" s="8" t="s">
        <v>125</v>
      </c>
      <c r="F8">
        <v>4</v>
      </c>
      <c r="G8">
        <v>3</v>
      </c>
      <c r="H8">
        <f t="shared" si="0"/>
        <v>1.3333333333333333</v>
      </c>
    </row>
    <row r="9" spans="1:8">
      <c r="A9" t="s">
        <v>178</v>
      </c>
      <c r="B9" t="s">
        <v>131</v>
      </c>
      <c r="C9">
        <v>1</v>
      </c>
      <c r="E9" s="8" t="s">
        <v>16</v>
      </c>
      <c r="F9">
        <v>2</v>
      </c>
      <c r="G9">
        <v>3</v>
      </c>
      <c r="H9">
        <f t="shared" si="0"/>
        <v>0.66666666666666663</v>
      </c>
    </row>
    <row r="10" spans="1:8">
      <c r="A10" t="s">
        <v>324</v>
      </c>
      <c r="B10" t="s">
        <v>34</v>
      </c>
      <c r="C10">
        <v>1</v>
      </c>
      <c r="E10" s="8" t="s">
        <v>19</v>
      </c>
      <c r="F10">
        <v>1</v>
      </c>
      <c r="G10">
        <v>3</v>
      </c>
      <c r="H10">
        <f t="shared" si="0"/>
        <v>0.33333333333333331</v>
      </c>
    </row>
    <row r="11" spans="1:8">
      <c r="A11" t="s">
        <v>132</v>
      </c>
      <c r="B11" t="s">
        <v>30</v>
      </c>
      <c r="C11">
        <v>1</v>
      </c>
      <c r="E11" s="8" t="s">
        <v>64</v>
      </c>
      <c r="F11">
        <v>2</v>
      </c>
      <c r="G11">
        <v>3</v>
      </c>
      <c r="H11">
        <f t="shared" si="0"/>
        <v>0.66666666666666663</v>
      </c>
    </row>
    <row r="12" spans="1:8">
      <c r="A12" t="s">
        <v>305</v>
      </c>
      <c r="B12" t="s">
        <v>30</v>
      </c>
      <c r="C12">
        <v>1</v>
      </c>
      <c r="E12" s="8" t="s">
        <v>131</v>
      </c>
      <c r="F12">
        <v>1</v>
      </c>
      <c r="G12">
        <v>3</v>
      </c>
      <c r="H12">
        <f t="shared" si="0"/>
        <v>0.33333333333333331</v>
      </c>
    </row>
    <row r="13" spans="1:8">
      <c r="A13" t="s">
        <v>103</v>
      </c>
      <c r="B13" t="s">
        <v>125</v>
      </c>
      <c r="C13">
        <v>1</v>
      </c>
      <c r="E13" s="8" t="s">
        <v>26</v>
      </c>
      <c r="F13">
        <v>2</v>
      </c>
      <c r="G13">
        <v>3</v>
      </c>
      <c r="H13">
        <f t="shared" si="0"/>
        <v>0.66666666666666663</v>
      </c>
    </row>
    <row r="14" spans="1:8">
      <c r="A14" t="s">
        <v>769</v>
      </c>
      <c r="B14" t="s">
        <v>64</v>
      </c>
      <c r="C14">
        <v>1</v>
      </c>
      <c r="E14" s="8" t="s">
        <v>30</v>
      </c>
      <c r="F14">
        <v>5</v>
      </c>
      <c r="G14">
        <v>3</v>
      </c>
      <c r="H14">
        <f t="shared" si="0"/>
        <v>1.6666666666666667</v>
      </c>
    </row>
    <row r="15" spans="1:8">
      <c r="A15" t="s">
        <v>97</v>
      </c>
      <c r="B15" t="s">
        <v>125</v>
      </c>
      <c r="C15">
        <v>1</v>
      </c>
      <c r="E15" s="8" t="s">
        <v>34</v>
      </c>
      <c r="F15">
        <v>1</v>
      </c>
      <c r="G15">
        <v>3</v>
      </c>
      <c r="H15">
        <f t="shared" si="0"/>
        <v>0.33333333333333331</v>
      </c>
    </row>
    <row r="16" spans="1:8">
      <c r="A16" t="s">
        <v>570</v>
      </c>
      <c r="B16" t="s">
        <v>19</v>
      </c>
      <c r="C16">
        <v>1</v>
      </c>
      <c r="E16" s="8" t="s">
        <v>12</v>
      </c>
      <c r="F16">
        <v>20</v>
      </c>
    </row>
    <row r="17" spans="1:3">
      <c r="A17" t="s">
        <v>200</v>
      </c>
      <c r="B17" t="s">
        <v>125</v>
      </c>
      <c r="C17">
        <v>1</v>
      </c>
    </row>
    <row r="18" spans="1:3">
      <c r="A18" t="s">
        <v>756</v>
      </c>
      <c r="B18" t="s">
        <v>61</v>
      </c>
      <c r="C18">
        <v>1</v>
      </c>
    </row>
    <row r="19" spans="1:3">
      <c r="A19" t="s">
        <v>124</v>
      </c>
      <c r="B19" t="s">
        <v>125</v>
      </c>
      <c r="C19">
        <v>1</v>
      </c>
    </row>
    <row r="20" spans="1:3">
      <c r="A20" t="s">
        <v>65</v>
      </c>
      <c r="B20" t="s">
        <v>30</v>
      </c>
      <c r="C20">
        <v>1</v>
      </c>
    </row>
    <row r="22" spans="1:3">
      <c r="A22" s="2" t="s">
        <v>50</v>
      </c>
    </row>
    <row r="23" spans="1:3">
      <c r="A23" s="2" t="s">
        <v>0</v>
      </c>
      <c r="B23" s="2" t="s">
        <v>1</v>
      </c>
    </row>
    <row r="24" spans="1:3">
      <c r="A24" t="s">
        <v>25</v>
      </c>
      <c r="B24">
        <v>2</v>
      </c>
    </row>
    <row r="25" spans="1:3">
      <c r="A25" s="2" t="s">
        <v>9</v>
      </c>
      <c r="B25" s="2">
        <v>2</v>
      </c>
    </row>
    <row r="27" spans="1:3">
      <c r="A27" s="2" t="s">
        <v>47</v>
      </c>
    </row>
    <row r="28" spans="1:3">
      <c r="A28" s="2" t="s">
        <v>0</v>
      </c>
      <c r="B28" s="2" t="s">
        <v>1</v>
      </c>
    </row>
    <row r="29" spans="1:3">
      <c r="A29" t="s">
        <v>167</v>
      </c>
      <c r="B29">
        <v>1</v>
      </c>
    </row>
    <row r="30" spans="1:3">
      <c r="A30" t="s">
        <v>133</v>
      </c>
      <c r="B30">
        <v>1</v>
      </c>
    </row>
    <row r="31" spans="1:3">
      <c r="A31" s="2" t="s">
        <v>9</v>
      </c>
      <c r="B31" s="2">
        <v>2</v>
      </c>
    </row>
    <row r="33" spans="1:2">
      <c r="A33" s="2" t="s">
        <v>52</v>
      </c>
    </row>
    <row r="34" spans="1:2">
      <c r="A34" s="2" t="s">
        <v>0</v>
      </c>
      <c r="B34" s="2" t="s">
        <v>1</v>
      </c>
    </row>
    <row r="35" spans="1:2">
      <c r="A35" t="s">
        <v>428</v>
      </c>
      <c r="B35">
        <v>1</v>
      </c>
    </row>
    <row r="36" spans="1:2">
      <c r="A36" t="s">
        <v>231</v>
      </c>
      <c r="B36">
        <v>1</v>
      </c>
    </row>
    <row r="37" spans="1:2">
      <c r="A37" t="s">
        <v>132</v>
      </c>
      <c r="B37">
        <v>1</v>
      </c>
    </row>
    <row r="38" spans="1:2">
      <c r="A38" t="s">
        <v>305</v>
      </c>
      <c r="B38">
        <v>1</v>
      </c>
    </row>
    <row r="39" spans="1:2">
      <c r="A39" t="s">
        <v>65</v>
      </c>
      <c r="B39">
        <v>1</v>
      </c>
    </row>
    <row r="40" spans="1:2">
      <c r="A40" s="2" t="s">
        <v>9</v>
      </c>
      <c r="B40" s="2">
        <v>5</v>
      </c>
    </row>
    <row r="42" spans="1:2">
      <c r="A42" s="2" t="s">
        <v>96</v>
      </c>
    </row>
    <row r="43" spans="1:2">
      <c r="A43" s="2" t="s">
        <v>0</v>
      </c>
      <c r="B43" s="2" t="s">
        <v>1</v>
      </c>
    </row>
    <row r="44" spans="1:2">
      <c r="A44" t="s">
        <v>130</v>
      </c>
      <c r="B44">
        <v>1</v>
      </c>
    </row>
    <row r="45" spans="1:2">
      <c r="A45" t="s">
        <v>769</v>
      </c>
      <c r="B45">
        <v>1</v>
      </c>
    </row>
    <row r="46" spans="1:2">
      <c r="A46" s="2" t="s">
        <v>9</v>
      </c>
      <c r="B46" s="2">
        <v>2</v>
      </c>
    </row>
    <row r="48" spans="1:2">
      <c r="A48" s="2" t="s">
        <v>51</v>
      </c>
    </row>
    <row r="49" spans="1:2">
      <c r="A49" s="2" t="s">
        <v>0</v>
      </c>
      <c r="B49" s="2" t="s">
        <v>1</v>
      </c>
    </row>
    <row r="50" spans="1:2">
      <c r="A50" t="s">
        <v>28</v>
      </c>
      <c r="B50">
        <v>1</v>
      </c>
    </row>
    <row r="51" spans="1:2">
      <c r="A51" s="2" t="s">
        <v>9</v>
      </c>
      <c r="B51" s="2">
        <v>1</v>
      </c>
    </row>
    <row r="53" spans="1:2">
      <c r="A53" s="2" t="s">
        <v>533</v>
      </c>
    </row>
    <row r="54" spans="1:2">
      <c r="A54" s="2" t="s">
        <v>0</v>
      </c>
      <c r="B54" s="2" t="s">
        <v>1</v>
      </c>
    </row>
    <row r="55" spans="1:2">
      <c r="A55" t="s">
        <v>178</v>
      </c>
      <c r="B55">
        <v>1</v>
      </c>
    </row>
    <row r="56" spans="1:2">
      <c r="A56" s="2" t="s">
        <v>9</v>
      </c>
      <c r="B56" s="2">
        <v>1</v>
      </c>
    </row>
    <row r="58" spans="1:2">
      <c r="A58" s="2" t="s">
        <v>54</v>
      </c>
    </row>
    <row r="59" spans="1:2">
      <c r="A59" s="2" t="s">
        <v>0</v>
      </c>
      <c r="B59" s="2" t="s">
        <v>1</v>
      </c>
    </row>
    <row r="60" spans="1:2">
      <c r="A60" t="s">
        <v>324</v>
      </c>
      <c r="B60">
        <v>1</v>
      </c>
    </row>
    <row r="61" spans="1:2">
      <c r="A61" s="2" t="s">
        <v>9</v>
      </c>
      <c r="B61" s="2">
        <v>1</v>
      </c>
    </row>
    <row r="63" spans="1:2">
      <c r="A63" s="2" t="s">
        <v>532</v>
      </c>
    </row>
    <row r="64" spans="1:2">
      <c r="A64" s="2" t="s">
        <v>0</v>
      </c>
      <c r="B64" s="2" t="s">
        <v>1</v>
      </c>
    </row>
    <row r="65" spans="1:2">
      <c r="A65" t="s">
        <v>103</v>
      </c>
      <c r="B65">
        <v>1</v>
      </c>
    </row>
    <row r="66" spans="1:2">
      <c r="A66" t="s">
        <v>97</v>
      </c>
      <c r="B66">
        <v>1</v>
      </c>
    </row>
    <row r="67" spans="1:2">
      <c r="A67" t="s">
        <v>200</v>
      </c>
      <c r="B67">
        <v>1</v>
      </c>
    </row>
    <row r="68" spans="1:2">
      <c r="A68" t="s">
        <v>124</v>
      </c>
      <c r="B68">
        <v>1</v>
      </c>
    </row>
    <row r="69" spans="1:2">
      <c r="A69" s="2" t="s">
        <v>9</v>
      </c>
      <c r="B69" s="2">
        <v>4</v>
      </c>
    </row>
    <row r="71" spans="1:2">
      <c r="A71" s="2" t="s">
        <v>48</v>
      </c>
    </row>
    <row r="72" spans="1:2">
      <c r="A72" s="2" t="s">
        <v>0</v>
      </c>
      <c r="B72" s="2" t="s">
        <v>1</v>
      </c>
    </row>
    <row r="73" spans="1:2">
      <c r="A73" t="s">
        <v>570</v>
      </c>
      <c r="B73">
        <v>1</v>
      </c>
    </row>
    <row r="74" spans="1:2">
      <c r="A74" s="2" t="s">
        <v>9</v>
      </c>
      <c r="B74" s="2">
        <v>1</v>
      </c>
    </row>
    <row r="76" spans="1:2">
      <c r="A76" s="2" t="s">
        <v>95</v>
      </c>
    </row>
    <row r="77" spans="1:2">
      <c r="A77" s="2" t="s">
        <v>0</v>
      </c>
      <c r="B77" s="2" t="s">
        <v>1</v>
      </c>
    </row>
    <row r="78" spans="1:2">
      <c r="A78" t="s">
        <v>756</v>
      </c>
      <c r="B78">
        <v>1</v>
      </c>
    </row>
    <row r="79" spans="1:2">
      <c r="A79" s="2" t="s">
        <v>9</v>
      </c>
      <c r="B79" s="2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N2933"/>
  <sheetViews>
    <sheetView topLeftCell="D1" workbookViewId="0">
      <selection activeCell="I17" sqref="I17"/>
    </sheetView>
  </sheetViews>
  <sheetFormatPr defaultRowHeight="14.45"/>
  <cols>
    <col min="1" max="1" width="40" customWidth="1"/>
    <col min="2" max="2" width="20.85546875" customWidth="1"/>
    <col min="6" max="6" width="14.140625" bestFit="1" customWidth="1"/>
    <col min="7" max="7" width="15.85546875" bestFit="1" customWidth="1"/>
  </cols>
  <sheetData>
    <row r="1" spans="1:14">
      <c r="A1" t="s">
        <v>0</v>
      </c>
      <c r="B1" t="s">
        <v>2</v>
      </c>
      <c r="C1" t="s">
        <v>1</v>
      </c>
    </row>
    <row r="2" spans="1:14">
      <c r="A2" t="s">
        <v>152</v>
      </c>
      <c r="B2" t="s">
        <v>30</v>
      </c>
      <c r="C2">
        <v>33</v>
      </c>
    </row>
    <row r="3" spans="1:14">
      <c r="A3" t="s">
        <v>800</v>
      </c>
      <c r="B3" t="s">
        <v>30</v>
      </c>
      <c r="C3">
        <v>6</v>
      </c>
    </row>
    <row r="4" spans="1:14">
      <c r="A4" t="s">
        <v>86</v>
      </c>
      <c r="B4" t="s">
        <v>26</v>
      </c>
      <c r="C4">
        <v>67</v>
      </c>
    </row>
    <row r="5" spans="1:14">
      <c r="A5" t="s">
        <v>656</v>
      </c>
      <c r="B5" t="s">
        <v>128</v>
      </c>
      <c r="C5">
        <v>16</v>
      </c>
      <c r="F5" s="7" t="s">
        <v>7</v>
      </c>
      <c r="G5" t="s">
        <v>8</v>
      </c>
      <c r="H5" t="s">
        <v>1070</v>
      </c>
      <c r="I5" t="s">
        <v>1071</v>
      </c>
      <c r="K5" t="s">
        <v>1072</v>
      </c>
      <c r="L5" t="s">
        <v>1</v>
      </c>
      <c r="M5" t="s">
        <v>1070</v>
      </c>
      <c r="N5" t="s">
        <v>1071</v>
      </c>
    </row>
    <row r="6" spans="1:14">
      <c r="A6" t="s">
        <v>581</v>
      </c>
      <c r="B6" t="s">
        <v>128</v>
      </c>
      <c r="C6">
        <v>35</v>
      </c>
      <c r="F6" s="8" t="s">
        <v>1073</v>
      </c>
      <c r="G6">
        <v>5</v>
      </c>
      <c r="H6">
        <v>1563</v>
      </c>
      <c r="I6">
        <f>G6/H6</f>
        <v>3.1989763275751758E-3</v>
      </c>
      <c r="K6" t="s">
        <v>1074</v>
      </c>
      <c r="L6">
        <f>481+5</f>
        <v>486</v>
      </c>
      <c r="M6">
        <v>1563</v>
      </c>
      <c r="N6">
        <f>L6/M6</f>
        <v>0.31094049904030713</v>
      </c>
    </row>
    <row r="7" spans="1:14">
      <c r="A7" t="s">
        <v>486</v>
      </c>
      <c r="B7" t="s">
        <v>128</v>
      </c>
      <c r="C7">
        <v>36</v>
      </c>
      <c r="F7" s="8" t="s">
        <v>61</v>
      </c>
      <c r="G7">
        <v>481</v>
      </c>
      <c r="H7">
        <v>1563</v>
      </c>
      <c r="I7">
        <f t="shared" ref="I7:I36" si="0">G7/H7</f>
        <v>0.30774152271273192</v>
      </c>
      <c r="K7" t="s">
        <v>129</v>
      </c>
      <c r="L7">
        <f>766+202+179</f>
        <v>1147</v>
      </c>
      <c r="M7">
        <v>1563</v>
      </c>
      <c r="N7">
        <f t="shared" ref="N7:N9" si="1">L7/M7</f>
        <v>0.73384516954574541</v>
      </c>
    </row>
    <row r="8" spans="1:14">
      <c r="A8" t="s">
        <v>1075</v>
      </c>
      <c r="B8" t="s">
        <v>125</v>
      </c>
      <c r="C8">
        <v>2</v>
      </c>
      <c r="F8" s="8" t="s">
        <v>22</v>
      </c>
      <c r="G8">
        <v>225</v>
      </c>
      <c r="H8">
        <v>1563</v>
      </c>
      <c r="I8">
        <f t="shared" si="0"/>
        <v>0.14395393474088292</v>
      </c>
      <c r="K8" t="s">
        <v>123</v>
      </c>
      <c r="L8">
        <f>687+6+2</f>
        <v>695</v>
      </c>
      <c r="M8">
        <v>1563</v>
      </c>
      <c r="N8">
        <f t="shared" si="1"/>
        <v>0.44465770953294947</v>
      </c>
    </row>
    <row r="9" spans="1:14">
      <c r="A9" t="s">
        <v>17</v>
      </c>
      <c r="B9" t="s">
        <v>16</v>
      </c>
      <c r="C9">
        <v>12</v>
      </c>
      <c r="F9" s="8" t="s">
        <v>125</v>
      </c>
      <c r="G9">
        <v>687</v>
      </c>
      <c r="H9">
        <v>1563</v>
      </c>
      <c r="I9">
        <f t="shared" si="0"/>
        <v>0.43953934740882916</v>
      </c>
      <c r="K9" t="s">
        <v>126</v>
      </c>
      <c r="L9">
        <f>104+58</f>
        <v>162</v>
      </c>
      <c r="M9">
        <v>1563</v>
      </c>
      <c r="N9">
        <f t="shared" si="1"/>
        <v>0.1036468330134357</v>
      </c>
    </row>
    <row r="10" spans="1:14">
      <c r="A10" t="s">
        <v>177</v>
      </c>
      <c r="B10" t="s">
        <v>16</v>
      </c>
      <c r="C10">
        <v>31</v>
      </c>
      <c r="F10" s="8" t="s">
        <v>128</v>
      </c>
      <c r="G10">
        <v>329</v>
      </c>
      <c r="H10">
        <v>1563</v>
      </c>
      <c r="I10">
        <f t="shared" si="0"/>
        <v>0.21049264235444659</v>
      </c>
    </row>
    <row r="11" spans="1:14">
      <c r="A11" t="s">
        <v>570</v>
      </c>
      <c r="B11" t="s">
        <v>19</v>
      </c>
      <c r="C11">
        <v>53</v>
      </c>
      <c r="F11" s="8" t="s">
        <v>131</v>
      </c>
      <c r="G11">
        <v>179</v>
      </c>
      <c r="H11">
        <v>1563</v>
      </c>
      <c r="I11">
        <f t="shared" si="0"/>
        <v>0.1145233525271913</v>
      </c>
    </row>
    <row r="12" spans="1:14">
      <c r="A12" t="s">
        <v>1076</v>
      </c>
      <c r="B12" t="s">
        <v>26</v>
      </c>
      <c r="C12">
        <v>7</v>
      </c>
      <c r="F12" s="8" t="s">
        <v>30</v>
      </c>
      <c r="G12">
        <v>766</v>
      </c>
      <c r="H12">
        <v>1563</v>
      </c>
      <c r="I12">
        <f t="shared" si="0"/>
        <v>0.49008317338451696</v>
      </c>
    </row>
    <row r="13" spans="1:14">
      <c r="A13" t="s">
        <v>1077</v>
      </c>
      <c r="B13" t="s">
        <v>19</v>
      </c>
      <c r="C13">
        <v>1</v>
      </c>
      <c r="F13" s="8" t="s">
        <v>113</v>
      </c>
      <c r="G13">
        <v>202</v>
      </c>
      <c r="H13">
        <v>1563</v>
      </c>
      <c r="I13">
        <f t="shared" si="0"/>
        <v>0.12923864363403711</v>
      </c>
    </row>
    <row r="14" spans="1:14">
      <c r="A14" t="s">
        <v>124</v>
      </c>
      <c r="B14" t="s">
        <v>125</v>
      </c>
      <c r="C14">
        <v>113</v>
      </c>
      <c r="F14" s="8" t="s">
        <v>134</v>
      </c>
      <c r="G14">
        <v>6</v>
      </c>
      <c r="H14">
        <v>1563</v>
      </c>
      <c r="I14">
        <f t="shared" si="0"/>
        <v>3.838771593090211E-3</v>
      </c>
    </row>
    <row r="15" spans="1:14">
      <c r="A15" t="s">
        <v>212</v>
      </c>
      <c r="B15" t="s">
        <v>16</v>
      </c>
      <c r="C15">
        <v>57</v>
      </c>
      <c r="F15" s="8" t="s">
        <v>561</v>
      </c>
      <c r="G15">
        <v>2</v>
      </c>
      <c r="H15">
        <v>1563</v>
      </c>
      <c r="I15">
        <f t="shared" si="0"/>
        <v>1.2795905310300703E-3</v>
      </c>
    </row>
    <row r="16" spans="1:14">
      <c r="A16" t="s">
        <v>336</v>
      </c>
      <c r="B16" t="s">
        <v>16</v>
      </c>
      <c r="C16">
        <v>33</v>
      </c>
      <c r="F16" s="8" t="s">
        <v>32</v>
      </c>
      <c r="G16">
        <v>104</v>
      </c>
      <c r="H16">
        <v>1563</v>
      </c>
      <c r="I16">
        <f t="shared" si="0"/>
        <v>6.6538707613563661E-2</v>
      </c>
    </row>
    <row r="17" spans="1:9">
      <c r="A17" t="s">
        <v>583</v>
      </c>
      <c r="B17" t="s">
        <v>16</v>
      </c>
      <c r="C17">
        <v>83</v>
      </c>
      <c r="F17" s="8" t="s">
        <v>34</v>
      </c>
      <c r="G17">
        <v>543</v>
      </c>
      <c r="H17">
        <v>1563</v>
      </c>
      <c r="I17">
        <f t="shared" si="0"/>
        <v>0.34740882917466409</v>
      </c>
    </row>
    <row r="18" spans="1:9">
      <c r="A18" t="s">
        <v>587</v>
      </c>
      <c r="B18" t="s">
        <v>4</v>
      </c>
      <c r="C18">
        <v>4</v>
      </c>
      <c r="F18" s="8" t="s">
        <v>138</v>
      </c>
      <c r="G18">
        <v>58</v>
      </c>
      <c r="H18">
        <v>1563</v>
      </c>
      <c r="I18">
        <f t="shared" si="0"/>
        <v>3.7108125399872044E-2</v>
      </c>
    </row>
    <row r="19" spans="1:9">
      <c r="A19" t="s">
        <v>227</v>
      </c>
      <c r="B19" t="s">
        <v>128</v>
      </c>
      <c r="C19">
        <v>17</v>
      </c>
      <c r="F19" s="8" t="s">
        <v>12</v>
      </c>
      <c r="G19">
        <v>3587</v>
      </c>
      <c r="H19">
        <v>1563</v>
      </c>
      <c r="I19">
        <f t="shared" si="0"/>
        <v>2.2949456174024312</v>
      </c>
    </row>
    <row r="20" spans="1:9">
      <c r="A20" t="s">
        <v>388</v>
      </c>
      <c r="B20" t="s">
        <v>61</v>
      </c>
      <c r="C20">
        <v>10</v>
      </c>
      <c r="H20">
        <v>1563</v>
      </c>
      <c r="I20">
        <f t="shared" si="0"/>
        <v>0</v>
      </c>
    </row>
    <row r="21" spans="1:9">
      <c r="A21" t="s">
        <v>968</v>
      </c>
      <c r="B21" t="s">
        <v>319</v>
      </c>
      <c r="C21">
        <v>3</v>
      </c>
      <c r="H21">
        <v>1563</v>
      </c>
      <c r="I21">
        <f t="shared" si="0"/>
        <v>0</v>
      </c>
    </row>
    <row r="22" spans="1:9">
      <c r="A22" t="s">
        <v>135</v>
      </c>
      <c r="B22" t="s">
        <v>64</v>
      </c>
      <c r="C22">
        <v>22</v>
      </c>
      <c r="H22">
        <v>1563</v>
      </c>
      <c r="I22">
        <f t="shared" si="0"/>
        <v>0</v>
      </c>
    </row>
    <row r="23" spans="1:9">
      <c r="A23" t="s">
        <v>1078</v>
      </c>
      <c r="B23" t="s">
        <v>64</v>
      </c>
      <c r="C23">
        <v>2</v>
      </c>
      <c r="H23">
        <v>1563</v>
      </c>
      <c r="I23">
        <f t="shared" si="0"/>
        <v>0</v>
      </c>
    </row>
    <row r="24" spans="1:9">
      <c r="A24" t="s">
        <v>121</v>
      </c>
      <c r="B24" t="s">
        <v>34</v>
      </c>
      <c r="C24">
        <v>5</v>
      </c>
      <c r="H24">
        <v>1563</v>
      </c>
      <c r="I24">
        <f t="shared" si="0"/>
        <v>0</v>
      </c>
    </row>
    <row r="25" spans="1:9">
      <c r="A25" t="s">
        <v>438</v>
      </c>
      <c r="B25" t="s">
        <v>19</v>
      </c>
      <c r="C25">
        <v>8</v>
      </c>
      <c r="H25">
        <v>1563</v>
      </c>
      <c r="I25">
        <f t="shared" si="0"/>
        <v>0</v>
      </c>
    </row>
    <row r="26" spans="1:9">
      <c r="A26" t="s">
        <v>368</v>
      </c>
      <c r="B26" t="s">
        <v>64</v>
      </c>
      <c r="C26">
        <v>2</v>
      </c>
      <c r="H26">
        <v>1563</v>
      </c>
      <c r="I26">
        <f t="shared" si="0"/>
        <v>0</v>
      </c>
    </row>
    <row r="27" spans="1:9">
      <c r="A27" t="s">
        <v>25</v>
      </c>
      <c r="B27" t="s">
        <v>26</v>
      </c>
      <c r="C27">
        <v>153</v>
      </c>
      <c r="H27">
        <v>1563</v>
      </c>
      <c r="I27">
        <f t="shared" si="0"/>
        <v>0</v>
      </c>
    </row>
    <row r="28" spans="1:9">
      <c r="A28" t="s">
        <v>175</v>
      </c>
      <c r="B28" t="s">
        <v>26</v>
      </c>
      <c r="C28">
        <v>68</v>
      </c>
      <c r="H28">
        <v>1563</v>
      </c>
      <c r="I28">
        <f t="shared" si="0"/>
        <v>0</v>
      </c>
    </row>
    <row r="29" spans="1:9">
      <c r="A29" t="s">
        <v>1079</v>
      </c>
      <c r="B29" t="s">
        <v>142</v>
      </c>
      <c r="C29">
        <v>2</v>
      </c>
      <c r="H29">
        <v>1563</v>
      </c>
      <c r="I29">
        <f t="shared" si="0"/>
        <v>0</v>
      </c>
    </row>
    <row r="30" spans="1:9">
      <c r="A30" t="s">
        <v>1080</v>
      </c>
      <c r="B30" t="s">
        <v>26</v>
      </c>
      <c r="C30">
        <v>4</v>
      </c>
      <c r="H30">
        <v>1563</v>
      </c>
      <c r="I30">
        <f t="shared" si="0"/>
        <v>0</v>
      </c>
    </row>
    <row r="31" spans="1:9">
      <c r="A31" t="s">
        <v>27</v>
      </c>
      <c r="B31" t="s">
        <v>19</v>
      </c>
      <c r="C31">
        <v>28</v>
      </c>
      <c r="H31">
        <v>1563</v>
      </c>
      <c r="I31">
        <f t="shared" si="0"/>
        <v>0</v>
      </c>
    </row>
    <row r="32" spans="1:9">
      <c r="A32" t="s">
        <v>484</v>
      </c>
      <c r="B32" t="s">
        <v>26</v>
      </c>
      <c r="C32">
        <v>6</v>
      </c>
      <c r="H32">
        <v>1563</v>
      </c>
      <c r="I32">
        <f t="shared" si="0"/>
        <v>0</v>
      </c>
    </row>
    <row r="33" spans="1:9">
      <c r="A33" t="s">
        <v>766</v>
      </c>
      <c r="B33" t="s">
        <v>22</v>
      </c>
      <c r="C33">
        <v>9</v>
      </c>
      <c r="H33">
        <v>1563</v>
      </c>
      <c r="I33">
        <f t="shared" si="0"/>
        <v>0</v>
      </c>
    </row>
    <row r="34" spans="1:9">
      <c r="A34" t="s">
        <v>1081</v>
      </c>
      <c r="B34" t="s">
        <v>125</v>
      </c>
      <c r="C34">
        <v>3</v>
      </c>
      <c r="H34">
        <v>1563</v>
      </c>
      <c r="I34">
        <f t="shared" si="0"/>
        <v>0</v>
      </c>
    </row>
    <row r="35" spans="1:9">
      <c r="A35" t="s">
        <v>71</v>
      </c>
      <c r="B35" t="s">
        <v>34</v>
      </c>
      <c r="C35">
        <v>102</v>
      </c>
      <c r="H35">
        <v>1563</v>
      </c>
      <c r="I35">
        <f t="shared" si="0"/>
        <v>0</v>
      </c>
    </row>
    <row r="36" spans="1:9">
      <c r="A36" t="s">
        <v>1027</v>
      </c>
      <c r="B36" t="s">
        <v>30</v>
      </c>
      <c r="C36">
        <v>5</v>
      </c>
      <c r="H36">
        <v>1563</v>
      </c>
      <c r="I36">
        <f t="shared" si="0"/>
        <v>0</v>
      </c>
    </row>
    <row r="37" spans="1:9">
      <c r="A37" t="s">
        <v>165</v>
      </c>
      <c r="B37" t="s">
        <v>61</v>
      </c>
      <c r="C37">
        <v>41</v>
      </c>
    </row>
    <row r="38" spans="1:9">
      <c r="A38" t="s">
        <v>103</v>
      </c>
      <c r="B38" t="s">
        <v>125</v>
      </c>
      <c r="C38">
        <v>136</v>
      </c>
    </row>
    <row r="39" spans="1:9">
      <c r="A39" t="s">
        <v>282</v>
      </c>
      <c r="B39" t="s">
        <v>22</v>
      </c>
      <c r="C39">
        <v>11</v>
      </c>
    </row>
    <row r="40" spans="1:9">
      <c r="A40" t="s">
        <v>859</v>
      </c>
      <c r="B40" t="s">
        <v>30</v>
      </c>
      <c r="C40">
        <v>14</v>
      </c>
    </row>
    <row r="41" spans="1:9">
      <c r="A41" t="s">
        <v>219</v>
      </c>
      <c r="B41" t="s">
        <v>19</v>
      </c>
      <c r="C41">
        <v>38</v>
      </c>
    </row>
    <row r="42" spans="1:9">
      <c r="A42" t="s">
        <v>100</v>
      </c>
      <c r="B42" t="s">
        <v>125</v>
      </c>
      <c r="C42">
        <v>11</v>
      </c>
    </row>
    <row r="43" spans="1:9">
      <c r="A43" t="s">
        <v>1082</v>
      </c>
      <c r="B43" t="s">
        <v>16</v>
      </c>
      <c r="C43">
        <v>1</v>
      </c>
    </row>
    <row r="44" spans="1:9">
      <c r="A44" t="s">
        <v>624</v>
      </c>
      <c r="B44" t="s">
        <v>4</v>
      </c>
      <c r="C44">
        <v>35</v>
      </c>
    </row>
    <row r="45" spans="1:9">
      <c r="A45" t="s">
        <v>307</v>
      </c>
      <c r="B45" t="s">
        <v>22</v>
      </c>
      <c r="C45">
        <v>6</v>
      </c>
    </row>
    <row r="46" spans="1:9">
      <c r="A46" t="s">
        <v>1083</v>
      </c>
      <c r="B46" t="s">
        <v>24</v>
      </c>
      <c r="C46">
        <v>1</v>
      </c>
    </row>
    <row r="47" spans="1:9">
      <c r="A47" t="s">
        <v>220</v>
      </c>
      <c r="B47" t="s">
        <v>30</v>
      </c>
      <c r="C47">
        <v>2</v>
      </c>
    </row>
    <row r="48" spans="1:9">
      <c r="A48" t="s">
        <v>163</v>
      </c>
      <c r="B48" t="s">
        <v>16</v>
      </c>
      <c r="C48">
        <v>25</v>
      </c>
    </row>
    <row r="49" spans="1:3">
      <c r="A49" t="s">
        <v>853</v>
      </c>
      <c r="B49" t="s">
        <v>19</v>
      </c>
      <c r="C49">
        <v>8</v>
      </c>
    </row>
    <row r="50" spans="1:3">
      <c r="A50" t="s">
        <v>1084</v>
      </c>
      <c r="B50" t="s">
        <v>115</v>
      </c>
      <c r="C50">
        <v>1</v>
      </c>
    </row>
    <row r="51" spans="1:3">
      <c r="A51" t="s">
        <v>1085</v>
      </c>
      <c r="B51" t="s">
        <v>64</v>
      </c>
      <c r="C51">
        <v>1</v>
      </c>
    </row>
    <row r="52" spans="1:3">
      <c r="A52" t="s">
        <v>1086</v>
      </c>
      <c r="B52" t="s">
        <v>64</v>
      </c>
      <c r="C52">
        <v>6</v>
      </c>
    </row>
    <row r="53" spans="1:3">
      <c r="A53" t="s">
        <v>133</v>
      </c>
      <c r="B53" t="s">
        <v>16</v>
      </c>
      <c r="C53">
        <v>147</v>
      </c>
    </row>
    <row r="54" spans="1:3">
      <c r="A54" t="s">
        <v>876</v>
      </c>
      <c r="B54" t="s">
        <v>319</v>
      </c>
      <c r="C54">
        <v>5</v>
      </c>
    </row>
    <row r="55" spans="1:3">
      <c r="A55" t="s">
        <v>861</v>
      </c>
      <c r="B55" t="s">
        <v>22</v>
      </c>
      <c r="C55">
        <v>6</v>
      </c>
    </row>
    <row r="56" spans="1:3">
      <c r="A56" t="s">
        <v>661</v>
      </c>
      <c r="B56" t="s">
        <v>138</v>
      </c>
      <c r="C56">
        <v>19</v>
      </c>
    </row>
    <row r="57" spans="1:3">
      <c r="A57" t="s">
        <v>1087</v>
      </c>
      <c r="B57" t="s">
        <v>26</v>
      </c>
      <c r="C57">
        <v>1</v>
      </c>
    </row>
    <row r="58" spans="1:3">
      <c r="A58" t="s">
        <v>1088</v>
      </c>
      <c r="B58" t="s">
        <v>34</v>
      </c>
      <c r="C58">
        <v>1</v>
      </c>
    </row>
    <row r="59" spans="1:3">
      <c r="A59" t="s">
        <v>358</v>
      </c>
      <c r="B59" t="s">
        <v>34</v>
      </c>
      <c r="C59">
        <v>26</v>
      </c>
    </row>
    <row r="60" spans="1:3">
      <c r="A60" t="s">
        <v>423</v>
      </c>
      <c r="B60" t="s">
        <v>4</v>
      </c>
      <c r="C60">
        <v>55</v>
      </c>
    </row>
    <row r="61" spans="1:3">
      <c r="A61" t="s">
        <v>487</v>
      </c>
      <c r="B61" t="s">
        <v>30</v>
      </c>
      <c r="C61">
        <v>13</v>
      </c>
    </row>
    <row r="62" spans="1:3">
      <c r="A62" t="s">
        <v>154</v>
      </c>
      <c r="B62" t="s">
        <v>24</v>
      </c>
      <c r="C62">
        <v>51</v>
      </c>
    </row>
    <row r="63" spans="1:3">
      <c r="A63" t="s">
        <v>409</v>
      </c>
      <c r="B63" t="s">
        <v>410</v>
      </c>
      <c r="C63">
        <v>5</v>
      </c>
    </row>
    <row r="64" spans="1:3">
      <c r="A64" t="s">
        <v>371</v>
      </c>
      <c r="B64" t="s">
        <v>34</v>
      </c>
      <c r="C64">
        <v>35</v>
      </c>
    </row>
    <row r="65" spans="1:3">
      <c r="A65" t="s">
        <v>727</v>
      </c>
      <c r="B65" t="s">
        <v>26</v>
      </c>
      <c r="C65">
        <v>5</v>
      </c>
    </row>
    <row r="66" spans="1:3">
      <c r="A66" t="s">
        <v>708</v>
      </c>
      <c r="B66" t="s">
        <v>16</v>
      </c>
      <c r="C66">
        <v>24</v>
      </c>
    </row>
    <row r="67" spans="1:3">
      <c r="A67" t="s">
        <v>449</v>
      </c>
      <c r="B67" t="s">
        <v>26</v>
      </c>
      <c r="C67">
        <v>3</v>
      </c>
    </row>
    <row r="68" spans="1:3">
      <c r="A68" t="s">
        <v>176</v>
      </c>
      <c r="B68" t="s">
        <v>34</v>
      </c>
      <c r="C68">
        <v>34</v>
      </c>
    </row>
    <row r="69" spans="1:3">
      <c r="A69" t="s">
        <v>603</v>
      </c>
      <c r="B69" t="s">
        <v>16</v>
      </c>
      <c r="C69">
        <v>12</v>
      </c>
    </row>
    <row r="70" spans="1:3">
      <c r="A70" t="s">
        <v>494</v>
      </c>
      <c r="B70" t="s">
        <v>138</v>
      </c>
      <c r="C70">
        <v>4</v>
      </c>
    </row>
    <row r="71" spans="1:3">
      <c r="A71" t="s">
        <v>328</v>
      </c>
      <c r="B71" t="s">
        <v>19</v>
      </c>
      <c r="C71">
        <v>25</v>
      </c>
    </row>
    <row r="72" spans="1:3">
      <c r="A72" t="s">
        <v>132</v>
      </c>
      <c r="B72" t="s">
        <v>30</v>
      </c>
      <c r="C72">
        <v>60</v>
      </c>
    </row>
    <row r="73" spans="1:3">
      <c r="A73" t="s">
        <v>638</v>
      </c>
      <c r="B73" t="s">
        <v>30</v>
      </c>
      <c r="C73">
        <v>8</v>
      </c>
    </row>
    <row r="74" spans="1:3">
      <c r="A74" t="s">
        <v>769</v>
      </c>
      <c r="B74" t="s">
        <v>64</v>
      </c>
      <c r="C74">
        <v>16</v>
      </c>
    </row>
    <row r="75" spans="1:3">
      <c r="A75" t="s">
        <v>360</v>
      </c>
      <c r="B75" t="s">
        <v>16</v>
      </c>
      <c r="C75">
        <v>18</v>
      </c>
    </row>
    <row r="76" spans="1:3">
      <c r="A76" t="s">
        <v>930</v>
      </c>
      <c r="B76" t="s">
        <v>128</v>
      </c>
      <c r="C76">
        <v>9</v>
      </c>
    </row>
    <row r="77" spans="1:3">
      <c r="A77" t="s">
        <v>251</v>
      </c>
      <c r="B77" t="s">
        <v>128</v>
      </c>
      <c r="C77">
        <v>51</v>
      </c>
    </row>
    <row r="78" spans="1:3">
      <c r="A78" t="s">
        <v>505</v>
      </c>
      <c r="B78" t="s">
        <v>61</v>
      </c>
      <c r="C78">
        <v>20</v>
      </c>
    </row>
    <row r="79" spans="1:3">
      <c r="A79" t="s">
        <v>253</v>
      </c>
      <c r="B79" t="s">
        <v>32</v>
      </c>
      <c r="C79">
        <v>9</v>
      </c>
    </row>
    <row r="80" spans="1:3">
      <c r="A80" t="s">
        <v>1089</v>
      </c>
      <c r="B80" t="s">
        <v>30</v>
      </c>
      <c r="C80">
        <v>1</v>
      </c>
    </row>
    <row r="81" spans="1:3">
      <c r="A81" t="s">
        <v>1090</v>
      </c>
      <c r="B81" t="s">
        <v>319</v>
      </c>
      <c r="C81">
        <v>2</v>
      </c>
    </row>
    <row r="82" spans="1:3">
      <c r="A82" t="s">
        <v>1091</v>
      </c>
      <c r="B82" t="s">
        <v>319</v>
      </c>
      <c r="C82">
        <v>2</v>
      </c>
    </row>
    <row r="83" spans="1:3">
      <c r="A83" t="s">
        <v>35</v>
      </c>
      <c r="B83" t="s">
        <v>30</v>
      </c>
      <c r="C83">
        <v>70</v>
      </c>
    </row>
    <row r="84" spans="1:3">
      <c r="A84" t="s">
        <v>1092</v>
      </c>
      <c r="B84" t="s">
        <v>32</v>
      </c>
      <c r="C84">
        <v>13</v>
      </c>
    </row>
    <row r="85" spans="1:3">
      <c r="A85" t="s">
        <v>1029</v>
      </c>
      <c r="B85" t="s">
        <v>22</v>
      </c>
      <c r="C85">
        <v>5</v>
      </c>
    </row>
    <row r="86" spans="1:3">
      <c r="A86" t="s">
        <v>1093</v>
      </c>
      <c r="B86" t="s">
        <v>319</v>
      </c>
      <c r="C86">
        <v>1</v>
      </c>
    </row>
    <row r="87" spans="1:3">
      <c r="A87" t="s">
        <v>1094</v>
      </c>
      <c r="B87" t="s">
        <v>24</v>
      </c>
      <c r="C87">
        <v>2</v>
      </c>
    </row>
    <row r="88" spans="1:3">
      <c r="A88" t="s">
        <v>1095</v>
      </c>
      <c r="B88" t="s">
        <v>32</v>
      </c>
      <c r="C88">
        <v>1</v>
      </c>
    </row>
    <row r="89" spans="1:3">
      <c r="A89" t="s">
        <v>622</v>
      </c>
      <c r="B89" t="s">
        <v>34</v>
      </c>
      <c r="C89">
        <v>2</v>
      </c>
    </row>
    <row r="90" spans="1:3">
      <c r="A90" t="s">
        <v>1096</v>
      </c>
      <c r="B90" t="s">
        <v>125</v>
      </c>
      <c r="C90">
        <v>1</v>
      </c>
    </row>
    <row r="91" spans="1:3">
      <c r="A91" t="s">
        <v>1097</v>
      </c>
      <c r="B91" t="s">
        <v>125</v>
      </c>
      <c r="C91">
        <v>2</v>
      </c>
    </row>
    <row r="92" spans="1:3">
      <c r="A92" t="s">
        <v>1098</v>
      </c>
      <c r="B92" t="s">
        <v>19</v>
      </c>
      <c r="C92">
        <v>1</v>
      </c>
    </row>
    <row r="93" spans="1:3">
      <c r="A93" t="s">
        <v>1023</v>
      </c>
      <c r="B93" t="s">
        <v>30</v>
      </c>
      <c r="C93">
        <v>2</v>
      </c>
    </row>
    <row r="94" spans="1:3">
      <c r="A94" t="s">
        <v>1099</v>
      </c>
      <c r="B94" t="s">
        <v>32</v>
      </c>
      <c r="C94">
        <v>16</v>
      </c>
    </row>
    <row r="95" spans="1:3">
      <c r="A95" t="s">
        <v>461</v>
      </c>
      <c r="B95" t="s">
        <v>26</v>
      </c>
      <c r="C95">
        <v>6</v>
      </c>
    </row>
    <row r="96" spans="1:3">
      <c r="A96" t="s">
        <v>1100</v>
      </c>
      <c r="B96" t="s">
        <v>61</v>
      </c>
      <c r="C96">
        <v>4</v>
      </c>
    </row>
    <row r="97" spans="1:3">
      <c r="A97" t="s">
        <v>1101</v>
      </c>
      <c r="B97" t="s">
        <v>24</v>
      </c>
      <c r="C97">
        <v>2</v>
      </c>
    </row>
    <row r="98" spans="1:3">
      <c r="A98" t="s">
        <v>1102</v>
      </c>
      <c r="B98" t="s">
        <v>30</v>
      </c>
      <c r="C98">
        <v>5</v>
      </c>
    </row>
    <row r="99" spans="1:3">
      <c r="A99" t="s">
        <v>97</v>
      </c>
      <c r="B99" t="s">
        <v>125</v>
      </c>
      <c r="C99">
        <v>84</v>
      </c>
    </row>
    <row r="100" spans="1:3">
      <c r="A100" t="s">
        <v>167</v>
      </c>
      <c r="B100" t="s">
        <v>16</v>
      </c>
      <c r="C100">
        <v>63</v>
      </c>
    </row>
    <row r="101" spans="1:3">
      <c r="A101" t="s">
        <v>322</v>
      </c>
      <c r="B101" t="s">
        <v>16</v>
      </c>
      <c r="C101">
        <v>7</v>
      </c>
    </row>
    <row r="102" spans="1:3">
      <c r="A102" t="s">
        <v>330</v>
      </c>
      <c r="B102" t="s">
        <v>61</v>
      </c>
      <c r="C102">
        <v>16</v>
      </c>
    </row>
    <row r="103" spans="1:3">
      <c r="A103" t="s">
        <v>143</v>
      </c>
      <c r="B103" t="s">
        <v>142</v>
      </c>
      <c r="C103">
        <v>54</v>
      </c>
    </row>
    <row r="104" spans="1:3">
      <c r="A104" t="s">
        <v>80</v>
      </c>
      <c r="B104" t="s">
        <v>64</v>
      </c>
      <c r="C104">
        <v>12</v>
      </c>
    </row>
    <row r="105" spans="1:3">
      <c r="A105" t="s">
        <v>99</v>
      </c>
      <c r="B105" t="s">
        <v>125</v>
      </c>
      <c r="C105">
        <v>32</v>
      </c>
    </row>
    <row r="106" spans="1:3">
      <c r="A106" t="s">
        <v>146</v>
      </c>
      <c r="B106" t="s">
        <v>64</v>
      </c>
      <c r="C106">
        <v>25</v>
      </c>
    </row>
    <row r="107" spans="1:3">
      <c r="A107" t="s">
        <v>162</v>
      </c>
      <c r="B107" t="s">
        <v>64</v>
      </c>
      <c r="C107">
        <v>72</v>
      </c>
    </row>
    <row r="108" spans="1:3">
      <c r="A108" t="s">
        <v>117</v>
      </c>
      <c r="B108" t="s">
        <v>16</v>
      </c>
      <c r="C108">
        <v>17</v>
      </c>
    </row>
    <row r="109" spans="1:3">
      <c r="A109" t="s">
        <v>1033</v>
      </c>
      <c r="B109" t="s">
        <v>26</v>
      </c>
      <c r="C109">
        <v>14</v>
      </c>
    </row>
    <row r="110" spans="1:3">
      <c r="A110" t="s">
        <v>1022</v>
      </c>
      <c r="B110" t="s">
        <v>4</v>
      </c>
      <c r="C110">
        <v>2</v>
      </c>
    </row>
    <row r="111" spans="1:3">
      <c r="A111" t="s">
        <v>179</v>
      </c>
      <c r="B111" t="s">
        <v>131</v>
      </c>
      <c r="C111">
        <v>19</v>
      </c>
    </row>
    <row r="112" spans="1:3">
      <c r="A112" t="s">
        <v>1103</v>
      </c>
      <c r="B112" t="s">
        <v>131</v>
      </c>
      <c r="C112">
        <v>2</v>
      </c>
    </row>
    <row r="113" spans="1:3">
      <c r="A113" t="s">
        <v>1104</v>
      </c>
      <c r="B113" t="s">
        <v>26</v>
      </c>
      <c r="C113">
        <v>1</v>
      </c>
    </row>
    <row r="114" spans="1:3">
      <c r="A114" t="s">
        <v>215</v>
      </c>
      <c r="B114" t="s">
        <v>115</v>
      </c>
      <c r="C114">
        <v>16</v>
      </c>
    </row>
    <row r="115" spans="1:3">
      <c r="A115" t="s">
        <v>1105</v>
      </c>
      <c r="B115" t="s">
        <v>131</v>
      </c>
      <c r="C115">
        <v>1</v>
      </c>
    </row>
    <row r="116" spans="1:3">
      <c r="A116" t="s">
        <v>225</v>
      </c>
      <c r="B116" t="s">
        <v>4</v>
      </c>
      <c r="C116">
        <v>16</v>
      </c>
    </row>
    <row r="117" spans="1:3">
      <c r="A117" t="s">
        <v>1106</v>
      </c>
      <c r="B117" t="s">
        <v>26</v>
      </c>
      <c r="C117">
        <v>2</v>
      </c>
    </row>
    <row r="118" spans="1:3">
      <c r="A118" t="s">
        <v>1107</v>
      </c>
      <c r="B118" t="s">
        <v>26</v>
      </c>
      <c r="C118">
        <v>1</v>
      </c>
    </row>
    <row r="119" spans="1:3">
      <c r="A119" t="s">
        <v>157</v>
      </c>
      <c r="B119" t="s">
        <v>26</v>
      </c>
      <c r="C119">
        <v>39</v>
      </c>
    </row>
    <row r="120" spans="1:3">
      <c r="A120" t="s">
        <v>558</v>
      </c>
      <c r="B120" t="s">
        <v>128</v>
      </c>
      <c r="C120">
        <v>12</v>
      </c>
    </row>
    <row r="121" spans="1:3">
      <c r="A121" t="s">
        <v>414</v>
      </c>
      <c r="B121" t="s">
        <v>16</v>
      </c>
      <c r="C121">
        <v>10</v>
      </c>
    </row>
    <row r="122" spans="1:3">
      <c r="A122" t="s">
        <v>460</v>
      </c>
      <c r="B122" t="s">
        <v>113</v>
      </c>
      <c r="C122">
        <v>4</v>
      </c>
    </row>
    <row r="123" spans="1:3">
      <c r="A123" t="s">
        <v>653</v>
      </c>
      <c r="B123" t="s">
        <v>30</v>
      </c>
      <c r="C123">
        <v>5</v>
      </c>
    </row>
    <row r="124" spans="1:3">
      <c r="A124" t="s">
        <v>566</v>
      </c>
      <c r="B124" t="s">
        <v>34</v>
      </c>
      <c r="C124">
        <v>27</v>
      </c>
    </row>
    <row r="125" spans="1:3">
      <c r="A125" t="s">
        <v>46</v>
      </c>
      <c r="B125" t="s">
        <v>16</v>
      </c>
      <c r="C125">
        <v>16</v>
      </c>
    </row>
    <row r="126" spans="1:3">
      <c r="A126" t="s">
        <v>1108</v>
      </c>
      <c r="B126" t="s">
        <v>4</v>
      </c>
      <c r="C126">
        <v>10</v>
      </c>
    </row>
    <row r="127" spans="1:3">
      <c r="A127" t="s">
        <v>1109</v>
      </c>
      <c r="B127" t="s">
        <v>61</v>
      </c>
      <c r="C127">
        <v>14</v>
      </c>
    </row>
    <row r="128" spans="1:3">
      <c r="A128" t="s">
        <v>56</v>
      </c>
      <c r="B128" t="s">
        <v>16</v>
      </c>
      <c r="C128">
        <v>18</v>
      </c>
    </row>
    <row r="129" spans="1:3">
      <c r="A129" t="s">
        <v>68</v>
      </c>
      <c r="B129" t="s">
        <v>142</v>
      </c>
      <c r="C129">
        <v>19</v>
      </c>
    </row>
    <row r="130" spans="1:3">
      <c r="A130" t="s">
        <v>1110</v>
      </c>
      <c r="B130" t="s">
        <v>4</v>
      </c>
      <c r="C130">
        <v>11</v>
      </c>
    </row>
    <row r="131" spans="1:3">
      <c r="A131" t="s">
        <v>1111</v>
      </c>
      <c r="B131" t="s">
        <v>24</v>
      </c>
      <c r="C131">
        <v>10</v>
      </c>
    </row>
    <row r="132" spans="1:3">
      <c r="A132" t="s">
        <v>1112</v>
      </c>
      <c r="B132" t="s">
        <v>319</v>
      </c>
      <c r="C132">
        <v>3</v>
      </c>
    </row>
    <row r="133" spans="1:3">
      <c r="A133" t="s">
        <v>578</v>
      </c>
      <c r="B133" t="s">
        <v>30</v>
      </c>
      <c r="C133">
        <v>11</v>
      </c>
    </row>
    <row r="134" spans="1:3">
      <c r="A134" t="s">
        <v>209</v>
      </c>
      <c r="B134" t="s">
        <v>142</v>
      </c>
      <c r="C134">
        <v>12</v>
      </c>
    </row>
    <row r="135" spans="1:3">
      <c r="A135" t="s">
        <v>488</v>
      </c>
      <c r="B135" t="s">
        <v>26</v>
      </c>
      <c r="C135">
        <v>4</v>
      </c>
    </row>
    <row r="136" spans="1:3">
      <c r="A136" t="s">
        <v>612</v>
      </c>
      <c r="B136" t="s">
        <v>272</v>
      </c>
      <c r="C136">
        <v>4</v>
      </c>
    </row>
    <row r="137" spans="1:3">
      <c r="A137" t="s">
        <v>302</v>
      </c>
      <c r="B137" t="s">
        <v>34</v>
      </c>
      <c r="C137">
        <v>21</v>
      </c>
    </row>
    <row r="138" spans="1:3">
      <c r="A138" t="s">
        <v>408</v>
      </c>
      <c r="B138" t="s">
        <v>407</v>
      </c>
      <c r="C138">
        <v>27</v>
      </c>
    </row>
    <row r="139" spans="1:3">
      <c r="A139" t="s">
        <v>1113</v>
      </c>
      <c r="B139" t="s">
        <v>26</v>
      </c>
      <c r="C139">
        <v>3</v>
      </c>
    </row>
    <row r="140" spans="1:3">
      <c r="A140" t="s">
        <v>850</v>
      </c>
      <c r="B140" t="s">
        <v>64</v>
      </c>
      <c r="C140">
        <v>11</v>
      </c>
    </row>
    <row r="141" spans="1:3">
      <c r="A141" t="s">
        <v>915</v>
      </c>
      <c r="B141" t="s">
        <v>16</v>
      </c>
      <c r="C141">
        <v>2</v>
      </c>
    </row>
    <row r="142" spans="1:3">
      <c r="A142" t="s">
        <v>456</v>
      </c>
      <c r="B142" t="s">
        <v>19</v>
      </c>
      <c r="C142">
        <v>5</v>
      </c>
    </row>
    <row r="143" spans="1:3">
      <c r="A143" t="s">
        <v>1114</v>
      </c>
      <c r="B143" t="s">
        <v>34</v>
      </c>
      <c r="C143">
        <v>4</v>
      </c>
    </row>
    <row r="144" spans="1:3">
      <c r="A144" t="s">
        <v>1115</v>
      </c>
      <c r="B144" t="s">
        <v>407</v>
      </c>
      <c r="C144">
        <v>3</v>
      </c>
    </row>
    <row r="145" spans="1:3">
      <c r="A145" t="s">
        <v>385</v>
      </c>
      <c r="B145" t="s">
        <v>34</v>
      </c>
      <c r="C145">
        <v>35</v>
      </c>
    </row>
    <row r="146" spans="1:3">
      <c r="A146" t="s">
        <v>1116</v>
      </c>
      <c r="B146" t="s">
        <v>34</v>
      </c>
      <c r="C146">
        <v>3</v>
      </c>
    </row>
    <row r="147" spans="1:3">
      <c r="A147" t="s">
        <v>977</v>
      </c>
      <c r="B147" t="s">
        <v>30</v>
      </c>
      <c r="C147">
        <v>9</v>
      </c>
    </row>
    <row r="148" spans="1:3">
      <c r="A148" t="s">
        <v>784</v>
      </c>
      <c r="B148" t="s">
        <v>30</v>
      </c>
      <c r="C148">
        <v>14</v>
      </c>
    </row>
    <row r="149" spans="1:3">
      <c r="A149" t="s">
        <v>428</v>
      </c>
      <c r="B149" t="s">
        <v>30</v>
      </c>
      <c r="C149">
        <v>6</v>
      </c>
    </row>
    <row r="150" spans="1:3">
      <c r="A150" t="s">
        <v>756</v>
      </c>
      <c r="B150" t="s">
        <v>61</v>
      </c>
      <c r="C150">
        <v>20</v>
      </c>
    </row>
    <row r="151" spans="1:3">
      <c r="A151" t="s">
        <v>83</v>
      </c>
      <c r="B151" t="s">
        <v>61</v>
      </c>
      <c r="C151">
        <v>33</v>
      </c>
    </row>
    <row r="152" spans="1:3">
      <c r="A152" t="s">
        <v>1117</v>
      </c>
      <c r="B152" t="s">
        <v>319</v>
      </c>
      <c r="C152">
        <v>3</v>
      </c>
    </row>
    <row r="153" spans="1:3">
      <c r="A153" t="s">
        <v>1118</v>
      </c>
      <c r="B153" t="s">
        <v>61</v>
      </c>
      <c r="C153">
        <v>3</v>
      </c>
    </row>
    <row r="154" spans="1:3">
      <c r="A154" t="s">
        <v>200</v>
      </c>
      <c r="B154" t="s">
        <v>125</v>
      </c>
      <c r="C154">
        <v>44</v>
      </c>
    </row>
    <row r="155" spans="1:3">
      <c r="A155" t="s">
        <v>192</v>
      </c>
      <c r="B155" t="s">
        <v>30</v>
      </c>
      <c r="C155">
        <v>17</v>
      </c>
    </row>
    <row r="156" spans="1:3">
      <c r="A156" t="s">
        <v>94</v>
      </c>
      <c r="B156" t="s">
        <v>131</v>
      </c>
      <c r="C156">
        <v>27</v>
      </c>
    </row>
    <row r="157" spans="1:3">
      <c r="A157" t="s">
        <v>178</v>
      </c>
      <c r="B157" t="s">
        <v>131</v>
      </c>
      <c r="C157">
        <v>33</v>
      </c>
    </row>
    <row r="158" spans="1:3">
      <c r="A158" t="s">
        <v>569</v>
      </c>
      <c r="B158" t="s">
        <v>24</v>
      </c>
      <c r="C158">
        <v>37</v>
      </c>
    </row>
    <row r="159" spans="1:3">
      <c r="A159" t="s">
        <v>231</v>
      </c>
      <c r="B159" t="s">
        <v>30</v>
      </c>
      <c r="C159">
        <v>45</v>
      </c>
    </row>
    <row r="160" spans="1:3">
      <c r="A160" t="s">
        <v>168</v>
      </c>
      <c r="B160" t="s">
        <v>16</v>
      </c>
      <c r="C160">
        <v>11</v>
      </c>
    </row>
    <row r="161" spans="1:3">
      <c r="A161" t="s">
        <v>1119</v>
      </c>
      <c r="B161" t="s">
        <v>142</v>
      </c>
      <c r="C161">
        <v>2</v>
      </c>
    </row>
    <row r="162" spans="1:3">
      <c r="A162" t="s">
        <v>230</v>
      </c>
      <c r="B162" t="s">
        <v>61</v>
      </c>
      <c r="C162">
        <v>10</v>
      </c>
    </row>
    <row r="163" spans="1:3">
      <c r="A163" t="s">
        <v>201</v>
      </c>
      <c r="B163" t="s">
        <v>16</v>
      </c>
      <c r="C163">
        <v>28</v>
      </c>
    </row>
    <row r="164" spans="1:3">
      <c r="A164" t="s">
        <v>207</v>
      </c>
      <c r="B164" t="s">
        <v>64</v>
      </c>
      <c r="C164">
        <v>25</v>
      </c>
    </row>
    <row r="165" spans="1:3">
      <c r="A165" t="s">
        <v>1120</v>
      </c>
      <c r="B165" t="s">
        <v>64</v>
      </c>
      <c r="C165">
        <v>5</v>
      </c>
    </row>
    <row r="166" spans="1:3">
      <c r="A166" t="s">
        <v>1121</v>
      </c>
      <c r="B166" t="s">
        <v>64</v>
      </c>
      <c r="C166">
        <v>5</v>
      </c>
    </row>
    <row r="167" spans="1:3">
      <c r="A167" t="s">
        <v>233</v>
      </c>
      <c r="B167" t="s">
        <v>19</v>
      </c>
      <c r="C167">
        <v>79</v>
      </c>
    </row>
    <row r="168" spans="1:3">
      <c r="A168" t="s">
        <v>294</v>
      </c>
      <c r="B168" t="s">
        <v>16</v>
      </c>
      <c r="C168">
        <v>54</v>
      </c>
    </row>
    <row r="169" spans="1:3">
      <c r="A169" t="s">
        <v>156</v>
      </c>
      <c r="B169" t="s">
        <v>34</v>
      </c>
      <c r="C169">
        <v>3</v>
      </c>
    </row>
    <row r="170" spans="1:3">
      <c r="A170" t="s">
        <v>228</v>
      </c>
      <c r="B170" t="s">
        <v>118</v>
      </c>
      <c r="C170">
        <v>6</v>
      </c>
    </row>
    <row r="171" spans="1:3">
      <c r="A171" t="s">
        <v>130</v>
      </c>
      <c r="B171" t="s">
        <v>64</v>
      </c>
      <c r="C171">
        <v>46</v>
      </c>
    </row>
    <row r="172" spans="1:3">
      <c r="A172" t="s">
        <v>873</v>
      </c>
      <c r="B172" t="s">
        <v>128</v>
      </c>
      <c r="C172">
        <v>10</v>
      </c>
    </row>
    <row r="173" spans="1:3">
      <c r="A173" t="s">
        <v>92</v>
      </c>
      <c r="B173" t="s">
        <v>30</v>
      </c>
      <c r="C173">
        <v>17</v>
      </c>
    </row>
    <row r="174" spans="1:3">
      <c r="A174" t="s">
        <v>454</v>
      </c>
      <c r="B174" t="s">
        <v>26</v>
      </c>
      <c r="C174">
        <v>2</v>
      </c>
    </row>
    <row r="175" spans="1:3">
      <c r="A175" t="s">
        <v>280</v>
      </c>
      <c r="B175" t="s">
        <v>128</v>
      </c>
      <c r="C175">
        <v>13</v>
      </c>
    </row>
    <row r="176" spans="1:3">
      <c r="A176" t="s">
        <v>1122</v>
      </c>
      <c r="B176" t="s">
        <v>125</v>
      </c>
      <c r="C176">
        <v>5</v>
      </c>
    </row>
    <row r="177" spans="1:3">
      <c r="A177" t="s">
        <v>726</v>
      </c>
      <c r="B177" t="s">
        <v>128</v>
      </c>
      <c r="C177">
        <v>11</v>
      </c>
    </row>
    <row r="178" spans="1:3">
      <c r="A178" t="s">
        <v>959</v>
      </c>
      <c r="B178" t="s">
        <v>16</v>
      </c>
      <c r="C178">
        <v>1</v>
      </c>
    </row>
    <row r="179" spans="1:3">
      <c r="A179" t="s">
        <v>805</v>
      </c>
      <c r="B179" t="s">
        <v>16</v>
      </c>
      <c r="C179">
        <v>31</v>
      </c>
    </row>
    <row r="180" spans="1:3">
      <c r="A180" t="s">
        <v>1123</v>
      </c>
      <c r="B180" t="s">
        <v>125</v>
      </c>
      <c r="C180">
        <v>8</v>
      </c>
    </row>
    <row r="181" spans="1:3">
      <c r="A181" t="s">
        <v>127</v>
      </c>
      <c r="B181" t="s">
        <v>64</v>
      </c>
      <c r="C181">
        <v>41</v>
      </c>
    </row>
    <row r="182" spans="1:3">
      <c r="A182" t="s">
        <v>161</v>
      </c>
      <c r="B182" t="s">
        <v>125</v>
      </c>
      <c r="C182">
        <v>12</v>
      </c>
    </row>
    <row r="183" spans="1:3">
      <c r="A183" t="s">
        <v>262</v>
      </c>
      <c r="B183" t="s">
        <v>26</v>
      </c>
      <c r="C183">
        <v>75</v>
      </c>
    </row>
    <row r="184" spans="1:3">
      <c r="A184" t="s">
        <v>1124</v>
      </c>
      <c r="B184" t="s">
        <v>694</v>
      </c>
      <c r="C184">
        <v>35</v>
      </c>
    </row>
    <row r="185" spans="1:3">
      <c r="A185" t="s">
        <v>447</v>
      </c>
      <c r="B185" t="s">
        <v>26</v>
      </c>
      <c r="C185">
        <v>12</v>
      </c>
    </row>
    <row r="186" spans="1:3">
      <c r="A186" t="s">
        <v>869</v>
      </c>
      <c r="B186" t="s">
        <v>128</v>
      </c>
      <c r="C186">
        <v>4</v>
      </c>
    </row>
    <row r="187" spans="1:3">
      <c r="A187" t="s">
        <v>106</v>
      </c>
      <c r="B187" t="s">
        <v>16</v>
      </c>
      <c r="C187">
        <v>37</v>
      </c>
    </row>
    <row r="188" spans="1:3">
      <c r="A188" t="s">
        <v>194</v>
      </c>
      <c r="B188" t="s">
        <v>694</v>
      </c>
      <c r="C188">
        <v>14</v>
      </c>
    </row>
    <row r="189" spans="1:3">
      <c r="A189" t="s">
        <v>1125</v>
      </c>
      <c r="B189" t="s">
        <v>61</v>
      </c>
      <c r="C189">
        <v>1</v>
      </c>
    </row>
    <row r="190" spans="1:3">
      <c r="A190" t="s">
        <v>1126</v>
      </c>
      <c r="B190" t="s">
        <v>61</v>
      </c>
      <c r="C190">
        <v>2</v>
      </c>
    </row>
    <row r="191" spans="1:3">
      <c r="A191" t="s">
        <v>630</v>
      </c>
      <c r="B191" t="s">
        <v>61</v>
      </c>
      <c r="C191">
        <v>1</v>
      </c>
    </row>
    <row r="192" spans="1:3">
      <c r="A192" t="s">
        <v>1127</v>
      </c>
      <c r="B192" t="s">
        <v>61</v>
      </c>
      <c r="C192">
        <v>3</v>
      </c>
    </row>
    <row r="193" spans="1:3">
      <c r="A193" t="s">
        <v>412</v>
      </c>
      <c r="B193" t="s">
        <v>61</v>
      </c>
      <c r="C193">
        <v>1</v>
      </c>
    </row>
    <row r="194" spans="1:3">
      <c r="A194" t="s">
        <v>434</v>
      </c>
      <c r="B194" t="s">
        <v>61</v>
      </c>
      <c r="C194">
        <v>4</v>
      </c>
    </row>
    <row r="195" spans="1:3">
      <c r="A195" t="s">
        <v>136</v>
      </c>
      <c r="B195" t="s">
        <v>131</v>
      </c>
      <c r="C195">
        <v>7</v>
      </c>
    </row>
    <row r="196" spans="1:3">
      <c r="A196" t="s">
        <v>991</v>
      </c>
      <c r="B196" t="s">
        <v>16</v>
      </c>
      <c r="C196">
        <v>9</v>
      </c>
    </row>
    <row r="197" spans="1:3">
      <c r="A197" t="s">
        <v>74</v>
      </c>
      <c r="B197" t="s">
        <v>30</v>
      </c>
      <c r="C197">
        <v>16</v>
      </c>
    </row>
    <row r="198" spans="1:3">
      <c r="A198" t="s">
        <v>898</v>
      </c>
      <c r="B198" t="s">
        <v>26</v>
      </c>
      <c r="C198">
        <v>8</v>
      </c>
    </row>
    <row r="199" spans="1:3">
      <c r="A199" t="s">
        <v>351</v>
      </c>
      <c r="B199" t="s">
        <v>4</v>
      </c>
      <c r="C199">
        <v>3</v>
      </c>
    </row>
    <row r="200" spans="1:3">
      <c r="A200" t="s">
        <v>1128</v>
      </c>
      <c r="B200" t="s">
        <v>61</v>
      </c>
      <c r="C200">
        <v>2</v>
      </c>
    </row>
    <row r="201" spans="1:3">
      <c r="A201" t="s">
        <v>321</v>
      </c>
      <c r="B201" t="s">
        <v>319</v>
      </c>
      <c r="C201">
        <v>19</v>
      </c>
    </row>
    <row r="202" spans="1:3">
      <c r="A202" t="s">
        <v>1129</v>
      </c>
      <c r="B202" t="s">
        <v>319</v>
      </c>
      <c r="C202">
        <v>2</v>
      </c>
    </row>
    <row r="203" spans="1:3">
      <c r="A203" t="s">
        <v>1130</v>
      </c>
      <c r="B203" t="s">
        <v>64</v>
      </c>
      <c r="C203">
        <v>3</v>
      </c>
    </row>
    <row r="204" spans="1:3">
      <c r="A204" t="s">
        <v>627</v>
      </c>
      <c r="B204" t="s">
        <v>128</v>
      </c>
      <c r="C204">
        <v>14</v>
      </c>
    </row>
    <row r="205" spans="1:3">
      <c r="A205" t="s">
        <v>1131</v>
      </c>
      <c r="B205" t="s">
        <v>16</v>
      </c>
      <c r="C205">
        <v>2</v>
      </c>
    </row>
    <row r="206" spans="1:3">
      <c r="A206" t="s">
        <v>803</v>
      </c>
      <c r="B206" t="s">
        <v>64</v>
      </c>
      <c r="C206">
        <v>2</v>
      </c>
    </row>
    <row r="207" spans="1:3">
      <c r="A207" t="s">
        <v>1132</v>
      </c>
      <c r="B207" t="s">
        <v>142</v>
      </c>
      <c r="C207">
        <v>2</v>
      </c>
    </row>
    <row r="208" spans="1:3">
      <c r="A208" t="s">
        <v>810</v>
      </c>
      <c r="B208" t="s">
        <v>30</v>
      </c>
      <c r="C208">
        <v>3</v>
      </c>
    </row>
    <row r="209" spans="1:3">
      <c r="A209" t="s">
        <v>894</v>
      </c>
      <c r="B209" t="s">
        <v>30</v>
      </c>
      <c r="C209">
        <v>2</v>
      </c>
    </row>
    <row r="210" spans="1:3">
      <c r="A210" t="s">
        <v>498</v>
      </c>
      <c r="B210" t="s">
        <v>113</v>
      </c>
      <c r="C210">
        <v>34</v>
      </c>
    </row>
    <row r="211" spans="1:3">
      <c r="A211" t="s">
        <v>171</v>
      </c>
      <c r="B211" t="s">
        <v>30</v>
      </c>
      <c r="C211">
        <v>8</v>
      </c>
    </row>
    <row r="212" spans="1:3">
      <c r="A212" t="s">
        <v>90</v>
      </c>
      <c r="B212" t="s">
        <v>61</v>
      </c>
      <c r="C212">
        <v>13</v>
      </c>
    </row>
    <row r="213" spans="1:3">
      <c r="A213" t="s">
        <v>1133</v>
      </c>
      <c r="B213" t="s">
        <v>4</v>
      </c>
      <c r="C213">
        <v>2</v>
      </c>
    </row>
    <row r="214" spans="1:3">
      <c r="A214" t="s">
        <v>1134</v>
      </c>
      <c r="B214" t="s">
        <v>4</v>
      </c>
      <c r="C214">
        <v>1</v>
      </c>
    </row>
    <row r="215" spans="1:3">
      <c r="A215" t="s">
        <v>672</v>
      </c>
      <c r="B215" t="s">
        <v>22</v>
      </c>
      <c r="C215">
        <v>17</v>
      </c>
    </row>
    <row r="216" spans="1:3">
      <c r="A216" t="s">
        <v>628</v>
      </c>
      <c r="B216" t="s">
        <v>32</v>
      </c>
      <c r="C216">
        <v>8</v>
      </c>
    </row>
    <row r="217" spans="1:3">
      <c r="A217" t="s">
        <v>874</v>
      </c>
      <c r="B217" t="s">
        <v>22</v>
      </c>
      <c r="C217">
        <v>3</v>
      </c>
    </row>
    <row r="218" spans="1:3">
      <c r="A218" t="s">
        <v>1135</v>
      </c>
      <c r="B218" t="s">
        <v>125</v>
      </c>
      <c r="C218">
        <v>2</v>
      </c>
    </row>
    <row r="219" spans="1:3">
      <c r="A219" t="s">
        <v>573</v>
      </c>
      <c r="B219" t="s">
        <v>16</v>
      </c>
      <c r="C219">
        <v>5</v>
      </c>
    </row>
    <row r="220" spans="1:3">
      <c r="A220" t="s">
        <v>1136</v>
      </c>
      <c r="B220" t="s">
        <v>22</v>
      </c>
      <c r="C220">
        <v>1</v>
      </c>
    </row>
    <row r="221" spans="1:3">
      <c r="A221" t="s">
        <v>974</v>
      </c>
      <c r="B221" t="s">
        <v>34</v>
      </c>
      <c r="C221">
        <v>6</v>
      </c>
    </row>
    <row r="222" spans="1:3">
      <c r="A222" t="s">
        <v>1137</v>
      </c>
      <c r="B222" t="s">
        <v>61</v>
      </c>
      <c r="C222">
        <v>6</v>
      </c>
    </row>
    <row r="223" spans="1:3">
      <c r="A223" t="s">
        <v>218</v>
      </c>
      <c r="B223" t="s">
        <v>19</v>
      </c>
      <c r="C223">
        <v>17</v>
      </c>
    </row>
    <row r="224" spans="1:3">
      <c r="A224" t="s">
        <v>189</v>
      </c>
      <c r="B224" t="s">
        <v>138</v>
      </c>
      <c r="C224">
        <v>4</v>
      </c>
    </row>
    <row r="225" spans="1:3">
      <c r="A225" t="s">
        <v>613</v>
      </c>
      <c r="B225" t="s">
        <v>34</v>
      </c>
      <c r="C225">
        <v>8</v>
      </c>
    </row>
    <row r="226" spans="1:3">
      <c r="A226" t="s">
        <v>1138</v>
      </c>
      <c r="B226" t="s">
        <v>125</v>
      </c>
      <c r="C226">
        <v>1</v>
      </c>
    </row>
    <row r="227" spans="1:3">
      <c r="A227" t="s">
        <v>1139</v>
      </c>
      <c r="B227" t="s">
        <v>61</v>
      </c>
      <c r="C227">
        <v>1</v>
      </c>
    </row>
    <row r="228" spans="1:3">
      <c r="A228" t="s">
        <v>325</v>
      </c>
      <c r="B228" t="s">
        <v>61</v>
      </c>
      <c r="C228">
        <v>3</v>
      </c>
    </row>
    <row r="229" spans="1:3">
      <c r="A229" t="s">
        <v>104</v>
      </c>
      <c r="B229" t="s">
        <v>19</v>
      </c>
      <c r="C229">
        <v>1</v>
      </c>
    </row>
    <row r="230" spans="1:3">
      <c r="A230" t="s">
        <v>678</v>
      </c>
      <c r="B230" t="s">
        <v>16</v>
      </c>
      <c r="C230">
        <v>17</v>
      </c>
    </row>
    <row r="231" spans="1:3">
      <c r="A231" t="s">
        <v>1010</v>
      </c>
      <c r="B231" t="s">
        <v>4</v>
      </c>
      <c r="C231">
        <v>6</v>
      </c>
    </row>
    <row r="232" spans="1:3">
      <c r="A232" t="s">
        <v>1140</v>
      </c>
      <c r="B232" t="s">
        <v>118</v>
      </c>
      <c r="C232">
        <v>3</v>
      </c>
    </row>
    <row r="233" spans="1:3">
      <c r="A233" t="s">
        <v>1141</v>
      </c>
      <c r="B233" t="s">
        <v>115</v>
      </c>
      <c r="C233">
        <v>5</v>
      </c>
    </row>
    <row r="234" spans="1:3">
      <c r="A234" t="s">
        <v>474</v>
      </c>
      <c r="B234" t="s">
        <v>26</v>
      </c>
      <c r="C234">
        <v>15</v>
      </c>
    </row>
    <row r="235" spans="1:3">
      <c r="A235" t="s">
        <v>946</v>
      </c>
      <c r="B235" t="s">
        <v>16</v>
      </c>
      <c r="C235">
        <v>1</v>
      </c>
    </row>
    <row r="236" spans="1:3">
      <c r="A236" t="s">
        <v>66</v>
      </c>
      <c r="B236" t="s">
        <v>319</v>
      </c>
      <c r="C236">
        <v>2</v>
      </c>
    </row>
    <row r="237" spans="1:3">
      <c r="A237" t="s">
        <v>817</v>
      </c>
      <c r="B237" t="s">
        <v>16</v>
      </c>
      <c r="C237">
        <v>7</v>
      </c>
    </row>
    <row r="238" spans="1:3">
      <c r="A238" t="s">
        <v>1142</v>
      </c>
      <c r="B238" t="s">
        <v>34</v>
      </c>
      <c r="C238">
        <v>1</v>
      </c>
    </row>
    <row r="239" spans="1:3">
      <c r="A239" t="s">
        <v>916</v>
      </c>
      <c r="B239" t="s">
        <v>34</v>
      </c>
      <c r="C239">
        <v>6</v>
      </c>
    </row>
    <row r="240" spans="1:3">
      <c r="A240" t="s">
        <v>1143</v>
      </c>
      <c r="B240" t="s">
        <v>125</v>
      </c>
      <c r="C240">
        <v>3</v>
      </c>
    </row>
    <row r="241" spans="1:3">
      <c r="A241" t="s">
        <v>1144</v>
      </c>
      <c r="B241" t="s">
        <v>30</v>
      </c>
      <c r="C241">
        <v>1</v>
      </c>
    </row>
    <row r="242" spans="1:3">
      <c r="A242" t="s">
        <v>1145</v>
      </c>
      <c r="B242" t="s">
        <v>22</v>
      </c>
      <c r="C242">
        <v>5</v>
      </c>
    </row>
    <row r="243" spans="1:3">
      <c r="A243" t="s">
        <v>1146</v>
      </c>
      <c r="B243" t="s">
        <v>26</v>
      </c>
      <c r="C243">
        <v>8</v>
      </c>
    </row>
    <row r="244" spans="1:3">
      <c r="A244" t="s">
        <v>759</v>
      </c>
      <c r="B244" t="s">
        <v>24</v>
      </c>
      <c r="C244">
        <v>18</v>
      </c>
    </row>
    <row r="245" spans="1:3">
      <c r="A245" t="s">
        <v>241</v>
      </c>
      <c r="B245" t="s">
        <v>6</v>
      </c>
      <c r="C245">
        <v>3</v>
      </c>
    </row>
    <row r="246" spans="1:3">
      <c r="A246" t="s">
        <v>681</v>
      </c>
      <c r="B246" t="s">
        <v>6</v>
      </c>
      <c r="C246">
        <v>1</v>
      </c>
    </row>
    <row r="247" spans="1:3">
      <c r="A247" t="s">
        <v>1147</v>
      </c>
      <c r="B247" t="s">
        <v>6</v>
      </c>
      <c r="C247">
        <v>1</v>
      </c>
    </row>
    <row r="248" spans="1:3">
      <c r="A248" t="s">
        <v>436</v>
      </c>
      <c r="B248" t="s">
        <v>16</v>
      </c>
      <c r="C248">
        <v>1</v>
      </c>
    </row>
    <row r="249" spans="1:3">
      <c r="A249" t="s">
        <v>1148</v>
      </c>
      <c r="B249" t="s">
        <v>26</v>
      </c>
      <c r="C249">
        <v>1</v>
      </c>
    </row>
    <row r="250" spans="1:3">
      <c r="A250" t="s">
        <v>60</v>
      </c>
      <c r="B250" t="s">
        <v>26</v>
      </c>
      <c r="C250">
        <v>2</v>
      </c>
    </row>
    <row r="251" spans="1:3">
      <c r="A251" t="s">
        <v>348</v>
      </c>
      <c r="B251" t="s">
        <v>26</v>
      </c>
      <c r="C251">
        <v>20</v>
      </c>
    </row>
    <row r="252" spans="1:3">
      <c r="A252" t="s">
        <v>1149</v>
      </c>
      <c r="B252" t="s">
        <v>26</v>
      </c>
      <c r="C252">
        <v>2</v>
      </c>
    </row>
    <row r="253" spans="1:3">
      <c r="A253" t="s">
        <v>1150</v>
      </c>
      <c r="B253" t="s">
        <v>26</v>
      </c>
      <c r="C253">
        <v>1</v>
      </c>
    </row>
    <row r="254" spans="1:3">
      <c r="A254" t="s">
        <v>1151</v>
      </c>
      <c r="B254" t="s">
        <v>26</v>
      </c>
      <c r="C254">
        <v>1</v>
      </c>
    </row>
    <row r="255" spans="1:3">
      <c r="A255" t="s">
        <v>691</v>
      </c>
      <c r="B255" t="s">
        <v>16</v>
      </c>
      <c r="C255">
        <v>1</v>
      </c>
    </row>
    <row r="256" spans="1:3">
      <c r="A256" t="s">
        <v>880</v>
      </c>
      <c r="B256" t="s">
        <v>125</v>
      </c>
      <c r="C256">
        <v>2</v>
      </c>
    </row>
    <row r="257" spans="1:3">
      <c r="A257" t="s">
        <v>279</v>
      </c>
      <c r="B257" t="s">
        <v>128</v>
      </c>
      <c r="C257">
        <v>14</v>
      </c>
    </row>
    <row r="258" spans="1:3">
      <c r="A258" t="s">
        <v>1152</v>
      </c>
      <c r="B258" t="s">
        <v>61</v>
      </c>
      <c r="C258">
        <v>3</v>
      </c>
    </row>
    <row r="259" spans="1:3">
      <c r="A259" t="s">
        <v>344</v>
      </c>
      <c r="B259" t="s">
        <v>30</v>
      </c>
      <c r="C259">
        <v>3</v>
      </c>
    </row>
    <row r="260" spans="1:3">
      <c r="A260" t="s">
        <v>1153</v>
      </c>
      <c r="B260" t="s">
        <v>272</v>
      </c>
      <c r="C260">
        <v>3</v>
      </c>
    </row>
    <row r="261" spans="1:3">
      <c r="A261" t="s">
        <v>1154</v>
      </c>
      <c r="B261" t="s">
        <v>19</v>
      </c>
      <c r="C261">
        <v>3</v>
      </c>
    </row>
    <row r="262" spans="1:3">
      <c r="A262" t="s">
        <v>677</v>
      </c>
      <c r="B262" t="s">
        <v>319</v>
      </c>
      <c r="C262">
        <v>5</v>
      </c>
    </row>
    <row r="263" spans="1:3">
      <c r="A263" t="s">
        <v>1155</v>
      </c>
      <c r="B263" t="s">
        <v>61</v>
      </c>
      <c r="C263">
        <v>1</v>
      </c>
    </row>
    <row r="264" spans="1:3">
      <c r="A264" t="s">
        <v>852</v>
      </c>
      <c r="B264" t="s">
        <v>61</v>
      </c>
      <c r="C264">
        <v>1</v>
      </c>
    </row>
    <row r="265" spans="1:3">
      <c r="A265" t="s">
        <v>1156</v>
      </c>
      <c r="B265" t="s">
        <v>24</v>
      </c>
      <c r="C265">
        <v>1</v>
      </c>
    </row>
    <row r="266" spans="1:3">
      <c r="A266" t="s">
        <v>579</v>
      </c>
      <c r="B266" t="s">
        <v>22</v>
      </c>
      <c r="C266">
        <v>1</v>
      </c>
    </row>
    <row r="267" spans="1:3">
      <c r="A267" t="s">
        <v>148</v>
      </c>
      <c r="B267" t="s">
        <v>24</v>
      </c>
      <c r="C267">
        <v>17</v>
      </c>
    </row>
    <row r="268" spans="1:3">
      <c r="A268" t="s">
        <v>872</v>
      </c>
      <c r="B268" t="s">
        <v>22</v>
      </c>
      <c r="C268">
        <v>4</v>
      </c>
    </row>
    <row r="269" spans="1:3">
      <c r="A269" t="s">
        <v>557</v>
      </c>
      <c r="B269" t="s">
        <v>61</v>
      </c>
      <c r="C269">
        <v>1</v>
      </c>
    </row>
    <row r="270" spans="1:3">
      <c r="A270" t="s">
        <v>39</v>
      </c>
      <c r="B270" t="s">
        <v>19</v>
      </c>
      <c r="C270">
        <v>3</v>
      </c>
    </row>
    <row r="271" spans="1:3">
      <c r="A271" t="s">
        <v>393</v>
      </c>
      <c r="B271" t="s">
        <v>128</v>
      </c>
      <c r="C271">
        <v>14</v>
      </c>
    </row>
    <row r="272" spans="1:3">
      <c r="A272" t="s">
        <v>1157</v>
      </c>
      <c r="B272" t="s">
        <v>19</v>
      </c>
      <c r="C272">
        <v>3</v>
      </c>
    </row>
    <row r="273" spans="1:3">
      <c r="A273" t="s">
        <v>1158</v>
      </c>
      <c r="B273" t="s">
        <v>19</v>
      </c>
      <c r="C273">
        <v>7</v>
      </c>
    </row>
    <row r="274" spans="1:3">
      <c r="A274" t="s">
        <v>1159</v>
      </c>
      <c r="B274" t="s">
        <v>19</v>
      </c>
      <c r="C274">
        <v>1</v>
      </c>
    </row>
    <row r="275" spans="1:3">
      <c r="A275" t="s">
        <v>190</v>
      </c>
      <c r="B275" t="s">
        <v>61</v>
      </c>
      <c r="C275">
        <v>8</v>
      </c>
    </row>
    <row r="276" spans="1:3">
      <c r="A276" t="s">
        <v>289</v>
      </c>
      <c r="B276" t="s">
        <v>16</v>
      </c>
      <c r="C276">
        <v>1</v>
      </c>
    </row>
    <row r="277" spans="1:3">
      <c r="A277" t="s">
        <v>1160</v>
      </c>
      <c r="B277" t="s">
        <v>16</v>
      </c>
      <c r="C277">
        <v>1</v>
      </c>
    </row>
    <row r="278" spans="1:3">
      <c r="A278" t="s">
        <v>1161</v>
      </c>
      <c r="B278" t="s">
        <v>113</v>
      </c>
      <c r="C278">
        <v>2</v>
      </c>
    </row>
    <row r="279" spans="1:3">
      <c r="A279" t="s">
        <v>1162</v>
      </c>
      <c r="B279" t="s">
        <v>113</v>
      </c>
      <c r="C279">
        <v>2</v>
      </c>
    </row>
    <row r="280" spans="1:3">
      <c r="A280" t="s">
        <v>1163</v>
      </c>
      <c r="B280" t="s">
        <v>30</v>
      </c>
      <c r="C280">
        <v>3</v>
      </c>
    </row>
    <row r="281" spans="1:3">
      <c r="A281" t="s">
        <v>305</v>
      </c>
      <c r="B281" t="s">
        <v>30</v>
      </c>
      <c r="C281">
        <v>52</v>
      </c>
    </row>
    <row r="282" spans="1:3">
      <c r="A282" t="s">
        <v>1164</v>
      </c>
      <c r="B282" t="s">
        <v>64</v>
      </c>
      <c r="C282">
        <v>24</v>
      </c>
    </row>
    <row r="283" spans="1:3">
      <c r="A283" t="s">
        <v>1165</v>
      </c>
      <c r="B283" t="s">
        <v>407</v>
      </c>
      <c r="C283">
        <v>23</v>
      </c>
    </row>
    <row r="284" spans="1:3">
      <c r="A284" t="s">
        <v>193</v>
      </c>
      <c r="B284" t="s">
        <v>64</v>
      </c>
      <c r="C284">
        <v>29</v>
      </c>
    </row>
    <row r="285" spans="1:3">
      <c r="A285" t="s">
        <v>1166</v>
      </c>
      <c r="B285" t="s">
        <v>34</v>
      </c>
      <c r="C285">
        <v>31</v>
      </c>
    </row>
    <row r="286" spans="1:3">
      <c r="A286" t="s">
        <v>65</v>
      </c>
      <c r="B286" t="s">
        <v>30</v>
      </c>
      <c r="C286">
        <v>47</v>
      </c>
    </row>
    <row r="287" spans="1:3">
      <c r="A287" t="s">
        <v>1167</v>
      </c>
      <c r="B287" t="s">
        <v>61</v>
      </c>
      <c r="C287">
        <v>27</v>
      </c>
    </row>
    <row r="288" spans="1:3">
      <c r="A288" t="s">
        <v>112</v>
      </c>
      <c r="B288" t="s">
        <v>113</v>
      </c>
      <c r="C288">
        <v>16</v>
      </c>
    </row>
    <row r="289" spans="1:3">
      <c r="A289" t="s">
        <v>306</v>
      </c>
      <c r="B289" t="s">
        <v>16</v>
      </c>
      <c r="C289">
        <v>2</v>
      </c>
    </row>
    <row r="290" spans="1:3">
      <c r="A290" t="s">
        <v>909</v>
      </c>
      <c r="B290" t="s">
        <v>131</v>
      </c>
      <c r="C290">
        <v>1</v>
      </c>
    </row>
    <row r="291" spans="1:3">
      <c r="A291" t="s">
        <v>268</v>
      </c>
      <c r="B291" t="s">
        <v>64</v>
      </c>
      <c r="C291">
        <v>4</v>
      </c>
    </row>
    <row r="292" spans="1:3">
      <c r="A292" t="s">
        <v>28</v>
      </c>
      <c r="B292" t="s">
        <v>22</v>
      </c>
      <c r="C292">
        <v>11</v>
      </c>
    </row>
    <row r="293" spans="1:3">
      <c r="A293" t="s">
        <v>1168</v>
      </c>
      <c r="B293" t="s">
        <v>125</v>
      </c>
      <c r="C293">
        <v>5</v>
      </c>
    </row>
    <row r="294" spans="1:3">
      <c r="A294" t="s">
        <v>102</v>
      </c>
      <c r="B294" t="s">
        <v>125</v>
      </c>
      <c r="C294">
        <v>37</v>
      </c>
    </row>
    <row r="295" spans="1:3">
      <c r="A295" t="s">
        <v>191</v>
      </c>
      <c r="B295" t="s">
        <v>125</v>
      </c>
      <c r="C295">
        <v>11</v>
      </c>
    </row>
    <row r="296" spans="1:3">
      <c r="A296" t="s">
        <v>1169</v>
      </c>
      <c r="B296" t="s">
        <v>16</v>
      </c>
      <c r="C296">
        <v>1</v>
      </c>
    </row>
    <row r="297" spans="1:3">
      <c r="A297" t="s">
        <v>1170</v>
      </c>
      <c r="B297" t="s">
        <v>16</v>
      </c>
      <c r="C297">
        <v>1</v>
      </c>
    </row>
    <row r="298" spans="1:3">
      <c r="A298" t="s">
        <v>107</v>
      </c>
      <c r="B298" t="s">
        <v>30</v>
      </c>
      <c r="C298">
        <v>5</v>
      </c>
    </row>
    <row r="299" spans="1:3">
      <c r="A299" t="s">
        <v>1171</v>
      </c>
      <c r="B299" t="s">
        <v>16</v>
      </c>
      <c r="C299">
        <v>4</v>
      </c>
    </row>
    <row r="300" spans="1:3">
      <c r="A300" t="s">
        <v>495</v>
      </c>
      <c r="B300" t="s">
        <v>16</v>
      </c>
      <c r="C300">
        <v>3</v>
      </c>
    </row>
    <row r="301" spans="1:3">
      <c r="A301" t="s">
        <v>1172</v>
      </c>
      <c r="B301" t="s">
        <v>16</v>
      </c>
      <c r="C301">
        <v>1</v>
      </c>
    </row>
    <row r="302" spans="1:3">
      <c r="A302" t="s">
        <v>823</v>
      </c>
      <c r="B302" t="s">
        <v>22</v>
      </c>
      <c r="C302">
        <v>1</v>
      </c>
    </row>
    <row r="303" spans="1:3">
      <c r="A303" t="s">
        <v>703</v>
      </c>
      <c r="B303" t="s">
        <v>125</v>
      </c>
      <c r="C303">
        <v>11</v>
      </c>
    </row>
    <row r="304" spans="1:3">
      <c r="A304" t="s">
        <v>1173</v>
      </c>
      <c r="B304" t="s">
        <v>61</v>
      </c>
      <c r="C304">
        <v>2</v>
      </c>
    </row>
    <row r="305" spans="1:3">
      <c r="A305" t="s">
        <v>67</v>
      </c>
      <c r="B305" t="s">
        <v>64</v>
      </c>
      <c r="C305">
        <v>1</v>
      </c>
    </row>
    <row r="306" spans="1:3">
      <c r="A306" t="s">
        <v>914</v>
      </c>
      <c r="B306" t="s">
        <v>115</v>
      </c>
      <c r="C306">
        <v>1</v>
      </c>
    </row>
    <row r="307" spans="1:3">
      <c r="A307" t="s">
        <v>1174</v>
      </c>
      <c r="B307" t="s">
        <v>16</v>
      </c>
      <c r="C307">
        <v>3</v>
      </c>
    </row>
    <row r="308" spans="1:3">
      <c r="A308" t="s">
        <v>198</v>
      </c>
      <c r="B308" t="s">
        <v>125</v>
      </c>
      <c r="C308">
        <v>14</v>
      </c>
    </row>
    <row r="309" spans="1:3">
      <c r="A309" t="s">
        <v>211</v>
      </c>
      <c r="B309" t="s">
        <v>30</v>
      </c>
      <c r="C309">
        <v>6</v>
      </c>
    </row>
    <row r="310" spans="1:3">
      <c r="A310" t="s">
        <v>1175</v>
      </c>
      <c r="B310" t="s">
        <v>24</v>
      </c>
      <c r="C310">
        <v>2</v>
      </c>
    </row>
    <row r="311" spans="1:3">
      <c r="A311" t="s">
        <v>1176</v>
      </c>
      <c r="B311" t="s">
        <v>16</v>
      </c>
      <c r="C311">
        <v>1</v>
      </c>
    </row>
    <row r="312" spans="1:3">
      <c r="A312" t="s">
        <v>1177</v>
      </c>
      <c r="B312" t="s">
        <v>64</v>
      </c>
      <c r="C312">
        <v>1</v>
      </c>
    </row>
    <row r="313" spans="1:3">
      <c r="A313" t="s">
        <v>1178</v>
      </c>
      <c r="B313" t="s">
        <v>26</v>
      </c>
      <c r="C313">
        <v>1</v>
      </c>
    </row>
    <row r="314" spans="1:3">
      <c r="A314" t="s">
        <v>781</v>
      </c>
      <c r="B314" t="s">
        <v>125</v>
      </c>
      <c r="C314">
        <v>8</v>
      </c>
    </row>
    <row r="315" spans="1:3">
      <c r="A315" t="s">
        <v>734</v>
      </c>
      <c r="B315" t="s">
        <v>131</v>
      </c>
      <c r="C315">
        <v>1</v>
      </c>
    </row>
    <row r="316" spans="1:3">
      <c r="A316" t="s">
        <v>1179</v>
      </c>
      <c r="B316" t="s">
        <v>319</v>
      </c>
      <c r="C316">
        <v>2</v>
      </c>
    </row>
    <row r="317" spans="1:3">
      <c r="A317" t="s">
        <v>1180</v>
      </c>
      <c r="B317" t="s">
        <v>34</v>
      </c>
      <c r="C317">
        <v>1</v>
      </c>
    </row>
    <row r="318" spans="1:3">
      <c r="A318" t="s">
        <v>1181</v>
      </c>
      <c r="B318" t="s">
        <v>26</v>
      </c>
      <c r="C318">
        <v>1</v>
      </c>
    </row>
    <row r="319" spans="1:3">
      <c r="A319" t="s">
        <v>234</v>
      </c>
      <c r="B319" t="s">
        <v>128</v>
      </c>
      <c r="C319">
        <v>5</v>
      </c>
    </row>
    <row r="320" spans="1:3">
      <c r="A320" t="s">
        <v>607</v>
      </c>
      <c r="B320" t="s">
        <v>16</v>
      </c>
      <c r="C320">
        <v>8</v>
      </c>
    </row>
    <row r="321" spans="1:3">
      <c r="A321" t="s">
        <v>435</v>
      </c>
      <c r="B321" t="s">
        <v>125</v>
      </c>
      <c r="C321">
        <v>2</v>
      </c>
    </row>
    <row r="322" spans="1:3">
      <c r="A322" t="s">
        <v>871</v>
      </c>
      <c r="B322" t="s">
        <v>128</v>
      </c>
      <c r="C322">
        <v>6</v>
      </c>
    </row>
    <row r="323" spans="1:3">
      <c r="A323" t="s">
        <v>77</v>
      </c>
      <c r="B323" t="s">
        <v>22</v>
      </c>
      <c r="C323">
        <v>67</v>
      </c>
    </row>
    <row r="324" spans="1:3">
      <c r="A324" t="s">
        <v>574</v>
      </c>
      <c r="B324" t="s">
        <v>131</v>
      </c>
      <c r="C324">
        <v>5</v>
      </c>
    </row>
    <row r="325" spans="1:3">
      <c r="A325" t="s">
        <v>140</v>
      </c>
      <c r="B325" t="s">
        <v>24</v>
      </c>
      <c r="C325">
        <v>1</v>
      </c>
    </row>
    <row r="326" spans="1:3">
      <c r="A326" t="s">
        <v>1182</v>
      </c>
      <c r="B326" t="s">
        <v>34</v>
      </c>
      <c r="C326">
        <v>2</v>
      </c>
    </row>
    <row r="327" spans="1:3">
      <c r="A327" t="s">
        <v>1183</v>
      </c>
      <c r="B327" t="s">
        <v>4</v>
      </c>
      <c r="C327">
        <v>1</v>
      </c>
    </row>
    <row r="328" spans="1:3">
      <c r="A328" t="s">
        <v>1184</v>
      </c>
      <c r="B328" t="s">
        <v>61</v>
      </c>
      <c r="C328">
        <v>4</v>
      </c>
    </row>
    <row r="329" spans="1:3">
      <c r="A329" t="s">
        <v>1185</v>
      </c>
      <c r="B329" t="s">
        <v>61</v>
      </c>
      <c r="C329">
        <v>3</v>
      </c>
    </row>
    <row r="330" spans="1:3">
      <c r="A330" t="s">
        <v>1186</v>
      </c>
      <c r="B330" t="s">
        <v>61</v>
      </c>
      <c r="C330">
        <v>4</v>
      </c>
    </row>
    <row r="331" spans="1:3">
      <c r="A331" t="s">
        <v>463</v>
      </c>
      <c r="B331" t="s">
        <v>61</v>
      </c>
      <c r="C331">
        <v>11</v>
      </c>
    </row>
    <row r="332" spans="1:3">
      <c r="A332" t="s">
        <v>1187</v>
      </c>
      <c r="B332" t="s">
        <v>61</v>
      </c>
      <c r="C332">
        <v>2</v>
      </c>
    </row>
    <row r="333" spans="1:3">
      <c r="A333" t="s">
        <v>1188</v>
      </c>
      <c r="B333" t="s">
        <v>34</v>
      </c>
      <c r="C333">
        <v>5</v>
      </c>
    </row>
    <row r="334" spans="1:3">
      <c r="A334" t="s">
        <v>555</v>
      </c>
      <c r="B334" t="s">
        <v>16</v>
      </c>
      <c r="C334">
        <v>59</v>
      </c>
    </row>
    <row r="335" spans="1:3">
      <c r="A335" t="s">
        <v>1189</v>
      </c>
      <c r="B335" t="s">
        <v>30</v>
      </c>
      <c r="C335">
        <v>1</v>
      </c>
    </row>
    <row r="336" spans="1:3">
      <c r="A336" t="s">
        <v>1190</v>
      </c>
      <c r="B336" t="s">
        <v>64</v>
      </c>
      <c r="C336">
        <v>3</v>
      </c>
    </row>
    <row r="337" spans="1:3">
      <c r="A337" t="s">
        <v>1191</v>
      </c>
      <c r="B337" t="s">
        <v>34</v>
      </c>
      <c r="C337">
        <v>2</v>
      </c>
    </row>
    <row r="338" spans="1:3">
      <c r="A338" t="s">
        <v>1192</v>
      </c>
      <c r="B338" t="s">
        <v>128</v>
      </c>
      <c r="C338">
        <v>5</v>
      </c>
    </row>
    <row r="339" spans="1:3">
      <c r="A339" t="s">
        <v>442</v>
      </c>
      <c r="B339" t="s">
        <v>34</v>
      </c>
      <c r="C339">
        <v>1</v>
      </c>
    </row>
    <row r="340" spans="1:3">
      <c r="A340" t="s">
        <v>443</v>
      </c>
      <c r="B340" t="s">
        <v>16</v>
      </c>
      <c r="C340">
        <v>2</v>
      </c>
    </row>
    <row r="341" spans="1:3">
      <c r="A341" t="s">
        <v>1193</v>
      </c>
      <c r="B341" t="s">
        <v>113</v>
      </c>
      <c r="C341">
        <v>1</v>
      </c>
    </row>
    <row r="342" spans="1:3">
      <c r="A342" t="s">
        <v>1194</v>
      </c>
      <c r="B342" t="s">
        <v>16</v>
      </c>
      <c r="C342">
        <v>2</v>
      </c>
    </row>
    <row r="343" spans="1:3">
      <c r="A343" t="s">
        <v>1195</v>
      </c>
      <c r="B343" t="s">
        <v>22</v>
      </c>
      <c r="C343">
        <v>2</v>
      </c>
    </row>
    <row r="344" spans="1:3">
      <c r="A344" t="s">
        <v>1196</v>
      </c>
      <c r="B344" t="s">
        <v>4</v>
      </c>
      <c r="C344">
        <v>2</v>
      </c>
    </row>
    <row r="345" spans="1:3">
      <c r="A345" t="s">
        <v>1197</v>
      </c>
      <c r="B345" t="s">
        <v>4</v>
      </c>
      <c r="C345">
        <v>2</v>
      </c>
    </row>
    <row r="346" spans="1:3">
      <c r="A346" t="s">
        <v>1198</v>
      </c>
      <c r="B346" t="s">
        <v>30</v>
      </c>
      <c r="C346">
        <v>4</v>
      </c>
    </row>
    <row r="347" spans="1:3">
      <c r="A347" t="s">
        <v>1199</v>
      </c>
      <c r="B347" t="s">
        <v>30</v>
      </c>
      <c r="C347">
        <v>1</v>
      </c>
    </row>
    <row r="348" spans="1:3">
      <c r="A348" t="s">
        <v>1200</v>
      </c>
      <c r="B348" t="s">
        <v>30</v>
      </c>
      <c r="C348">
        <v>1</v>
      </c>
    </row>
    <row r="349" spans="1:3">
      <c r="A349" t="s">
        <v>1201</v>
      </c>
      <c r="B349" t="s">
        <v>113</v>
      </c>
      <c r="C349">
        <v>1</v>
      </c>
    </row>
    <row r="350" spans="1:3">
      <c r="A350" t="s">
        <v>1202</v>
      </c>
      <c r="B350" t="s">
        <v>115</v>
      </c>
      <c r="C350">
        <v>2</v>
      </c>
    </row>
    <row r="351" spans="1:3">
      <c r="A351" t="s">
        <v>309</v>
      </c>
      <c r="B351" t="s">
        <v>34</v>
      </c>
      <c r="C351">
        <v>6</v>
      </c>
    </row>
    <row r="352" spans="1:3">
      <c r="A352" t="s">
        <v>720</v>
      </c>
      <c r="B352" t="s">
        <v>16</v>
      </c>
      <c r="C352">
        <v>5</v>
      </c>
    </row>
    <row r="353" spans="1:3">
      <c r="A353" t="s">
        <v>1203</v>
      </c>
      <c r="B353" t="s">
        <v>4</v>
      </c>
      <c r="C353">
        <v>1</v>
      </c>
    </row>
    <row r="354" spans="1:3">
      <c r="A354" t="s">
        <v>381</v>
      </c>
      <c r="B354" t="s">
        <v>19</v>
      </c>
      <c r="C354">
        <v>7</v>
      </c>
    </row>
    <row r="355" spans="1:3">
      <c r="A355" t="s">
        <v>965</v>
      </c>
      <c r="B355" t="s">
        <v>61</v>
      </c>
      <c r="C355">
        <v>15</v>
      </c>
    </row>
    <row r="356" spans="1:3">
      <c r="A356" t="s">
        <v>105</v>
      </c>
      <c r="B356" t="s">
        <v>19</v>
      </c>
      <c r="C356">
        <v>10</v>
      </c>
    </row>
    <row r="357" spans="1:3">
      <c r="A357" t="s">
        <v>1204</v>
      </c>
      <c r="B357" t="s">
        <v>407</v>
      </c>
      <c r="C357">
        <v>1</v>
      </c>
    </row>
    <row r="358" spans="1:3">
      <c r="A358" t="s">
        <v>1205</v>
      </c>
      <c r="B358" t="s">
        <v>16</v>
      </c>
      <c r="C358">
        <v>4</v>
      </c>
    </row>
    <row r="359" spans="1:3">
      <c r="A359" t="s">
        <v>725</v>
      </c>
      <c r="B359" t="s">
        <v>30</v>
      </c>
      <c r="C359">
        <v>2</v>
      </c>
    </row>
    <row r="360" spans="1:3">
      <c r="A360" t="s">
        <v>257</v>
      </c>
      <c r="B360" t="s">
        <v>128</v>
      </c>
      <c r="C360">
        <v>4</v>
      </c>
    </row>
    <row r="361" spans="1:3">
      <c r="A361" t="s">
        <v>285</v>
      </c>
      <c r="B361" t="s">
        <v>128</v>
      </c>
      <c r="C361">
        <v>10</v>
      </c>
    </row>
    <row r="362" spans="1:3">
      <c r="A362" t="s">
        <v>1206</v>
      </c>
      <c r="B362" t="s">
        <v>61</v>
      </c>
      <c r="C362">
        <v>6</v>
      </c>
    </row>
    <row r="363" spans="1:3">
      <c r="A363" t="s">
        <v>804</v>
      </c>
      <c r="B363" t="s">
        <v>115</v>
      </c>
      <c r="C363">
        <v>3</v>
      </c>
    </row>
    <row r="364" spans="1:3">
      <c r="A364" t="s">
        <v>615</v>
      </c>
      <c r="B364" t="s">
        <v>34</v>
      </c>
      <c r="C364">
        <v>9</v>
      </c>
    </row>
    <row r="365" spans="1:3">
      <c r="A365" t="s">
        <v>315</v>
      </c>
      <c r="B365" t="s">
        <v>16</v>
      </c>
      <c r="C365">
        <v>1</v>
      </c>
    </row>
    <row r="366" spans="1:3">
      <c r="A366" t="s">
        <v>662</v>
      </c>
      <c r="B366" t="s">
        <v>410</v>
      </c>
      <c r="C366">
        <v>10</v>
      </c>
    </row>
    <row r="367" spans="1:3">
      <c r="A367" t="s">
        <v>1207</v>
      </c>
      <c r="B367" t="s">
        <v>34</v>
      </c>
      <c r="C367">
        <v>3</v>
      </c>
    </row>
    <row r="368" spans="1:3">
      <c r="A368" t="s">
        <v>722</v>
      </c>
      <c r="B368" t="s">
        <v>4</v>
      </c>
      <c r="C368">
        <v>2</v>
      </c>
    </row>
    <row r="369" spans="1:3">
      <c r="A369" t="s">
        <v>1208</v>
      </c>
      <c r="B369" t="s">
        <v>16</v>
      </c>
      <c r="C369">
        <v>4</v>
      </c>
    </row>
    <row r="370" spans="1:3">
      <c r="A370" t="s">
        <v>1209</v>
      </c>
      <c r="B370" t="s">
        <v>115</v>
      </c>
      <c r="C370">
        <v>1</v>
      </c>
    </row>
    <row r="371" spans="1:3">
      <c r="A371" t="s">
        <v>1210</v>
      </c>
      <c r="B371" t="s">
        <v>16</v>
      </c>
      <c r="C371">
        <v>1</v>
      </c>
    </row>
    <row r="372" spans="1:3">
      <c r="A372" t="s">
        <v>1211</v>
      </c>
      <c r="B372" t="s">
        <v>125</v>
      </c>
      <c r="C372">
        <v>1</v>
      </c>
    </row>
    <row r="373" spans="1:3">
      <c r="A373" t="s">
        <v>1212</v>
      </c>
      <c r="B373" t="s">
        <v>319</v>
      </c>
      <c r="C373">
        <v>1</v>
      </c>
    </row>
    <row r="374" spans="1:3">
      <c r="A374" t="s">
        <v>342</v>
      </c>
      <c r="B374" t="s">
        <v>19</v>
      </c>
      <c r="C374">
        <v>20</v>
      </c>
    </row>
    <row r="375" spans="1:3">
      <c r="A375" t="s">
        <v>252</v>
      </c>
      <c r="B375" t="s">
        <v>128</v>
      </c>
      <c r="C375">
        <v>1</v>
      </c>
    </row>
    <row r="376" spans="1:3">
      <c r="A376" t="s">
        <v>480</v>
      </c>
      <c r="B376" t="s">
        <v>26</v>
      </c>
      <c r="C376">
        <v>2</v>
      </c>
    </row>
    <row r="377" spans="1:3">
      <c r="A377" t="s">
        <v>604</v>
      </c>
      <c r="B377" t="s">
        <v>30</v>
      </c>
      <c r="C377">
        <v>6</v>
      </c>
    </row>
    <row r="378" spans="1:3">
      <c r="A378" t="s">
        <v>791</v>
      </c>
      <c r="B378" t="s">
        <v>16</v>
      </c>
      <c r="C378">
        <v>8</v>
      </c>
    </row>
    <row r="379" spans="1:3">
      <c r="A379" t="s">
        <v>952</v>
      </c>
      <c r="B379" t="s">
        <v>26</v>
      </c>
      <c r="C379">
        <v>27</v>
      </c>
    </row>
    <row r="380" spans="1:3">
      <c r="A380" t="s">
        <v>1213</v>
      </c>
      <c r="B380" t="s">
        <v>19</v>
      </c>
      <c r="C380">
        <v>1</v>
      </c>
    </row>
    <row r="381" spans="1:3">
      <c r="A381" t="s">
        <v>1214</v>
      </c>
      <c r="B381" t="s">
        <v>407</v>
      </c>
      <c r="C381">
        <v>1</v>
      </c>
    </row>
    <row r="382" spans="1:3">
      <c r="A382" t="s">
        <v>1215</v>
      </c>
      <c r="B382" t="s">
        <v>26</v>
      </c>
      <c r="C382">
        <v>5</v>
      </c>
    </row>
    <row r="383" spans="1:3">
      <c r="A383" t="s">
        <v>1216</v>
      </c>
      <c r="B383" t="s">
        <v>64</v>
      </c>
      <c r="C383">
        <v>1</v>
      </c>
    </row>
    <row r="384" spans="1:3">
      <c r="A384" t="s">
        <v>356</v>
      </c>
      <c r="B384" t="s">
        <v>128</v>
      </c>
      <c r="C384">
        <v>3</v>
      </c>
    </row>
    <row r="385" spans="1:3">
      <c r="A385" t="s">
        <v>1217</v>
      </c>
      <c r="B385" t="s">
        <v>113</v>
      </c>
      <c r="C385">
        <v>6</v>
      </c>
    </row>
    <row r="386" spans="1:3">
      <c r="A386" t="s">
        <v>643</v>
      </c>
      <c r="B386" t="s">
        <v>113</v>
      </c>
      <c r="C386">
        <v>6</v>
      </c>
    </row>
    <row r="387" spans="1:3">
      <c r="A387" t="s">
        <v>76</v>
      </c>
      <c r="B387" t="s">
        <v>407</v>
      </c>
      <c r="C387">
        <v>2</v>
      </c>
    </row>
    <row r="388" spans="1:3">
      <c r="A388" t="s">
        <v>1218</v>
      </c>
      <c r="B388" t="s">
        <v>34</v>
      </c>
      <c r="C388">
        <v>1</v>
      </c>
    </row>
    <row r="389" spans="1:3">
      <c r="A389" t="s">
        <v>1219</v>
      </c>
      <c r="B389" t="s">
        <v>61</v>
      </c>
      <c r="C389">
        <v>3</v>
      </c>
    </row>
    <row r="390" spans="1:3">
      <c r="A390" t="s">
        <v>376</v>
      </c>
      <c r="B390" t="s">
        <v>34</v>
      </c>
      <c r="C390">
        <v>5</v>
      </c>
    </row>
    <row r="391" spans="1:3">
      <c r="A391" t="s">
        <v>687</v>
      </c>
      <c r="B391" t="s">
        <v>34</v>
      </c>
      <c r="C391">
        <v>4</v>
      </c>
    </row>
    <row r="392" spans="1:3">
      <c r="A392" t="s">
        <v>405</v>
      </c>
      <c r="B392" t="s">
        <v>319</v>
      </c>
      <c r="C392">
        <v>18</v>
      </c>
    </row>
    <row r="393" spans="1:3">
      <c r="A393" t="s">
        <v>1220</v>
      </c>
      <c r="B393" t="s">
        <v>125</v>
      </c>
      <c r="C393">
        <v>4</v>
      </c>
    </row>
    <row r="394" spans="1:3">
      <c r="A394" t="s">
        <v>1221</v>
      </c>
      <c r="B394" t="s">
        <v>125</v>
      </c>
      <c r="C394">
        <v>1</v>
      </c>
    </row>
    <row r="395" spans="1:3">
      <c r="A395" t="s">
        <v>1222</v>
      </c>
      <c r="B395" t="s">
        <v>16</v>
      </c>
      <c r="C395">
        <v>2</v>
      </c>
    </row>
    <row r="396" spans="1:3">
      <c r="A396" t="s">
        <v>440</v>
      </c>
      <c r="B396" t="s">
        <v>19</v>
      </c>
      <c r="C396">
        <v>2</v>
      </c>
    </row>
    <row r="397" spans="1:3">
      <c r="A397" t="s">
        <v>571</v>
      </c>
      <c r="B397" t="s">
        <v>16</v>
      </c>
      <c r="C397">
        <v>21</v>
      </c>
    </row>
    <row r="398" spans="1:3">
      <c r="A398" t="s">
        <v>832</v>
      </c>
      <c r="B398" t="s">
        <v>26</v>
      </c>
      <c r="C398">
        <v>10</v>
      </c>
    </row>
    <row r="399" spans="1:3">
      <c r="A399" t="s">
        <v>151</v>
      </c>
      <c r="B399" t="s">
        <v>30</v>
      </c>
      <c r="C399">
        <v>20</v>
      </c>
    </row>
    <row r="400" spans="1:3">
      <c r="A400" t="s">
        <v>651</v>
      </c>
      <c r="B400" t="s">
        <v>16</v>
      </c>
      <c r="C400">
        <v>4</v>
      </c>
    </row>
    <row r="401" spans="1:3">
      <c r="A401" t="s">
        <v>1223</v>
      </c>
      <c r="B401" t="s">
        <v>118</v>
      </c>
      <c r="C401">
        <v>1</v>
      </c>
    </row>
    <row r="402" spans="1:3">
      <c r="A402" t="s">
        <v>1224</v>
      </c>
      <c r="B402" t="s">
        <v>125</v>
      </c>
      <c r="C402">
        <v>2</v>
      </c>
    </row>
    <row r="403" spans="1:3">
      <c r="A403" t="s">
        <v>1225</v>
      </c>
      <c r="B403" t="s">
        <v>16</v>
      </c>
      <c r="C403">
        <v>2</v>
      </c>
    </row>
    <row r="404" spans="1:3">
      <c r="A404" t="s">
        <v>1226</v>
      </c>
      <c r="B404" t="s">
        <v>407</v>
      </c>
      <c r="C404">
        <v>2</v>
      </c>
    </row>
    <row r="405" spans="1:3">
      <c r="A405" t="s">
        <v>422</v>
      </c>
      <c r="B405" t="s">
        <v>115</v>
      </c>
      <c r="C405">
        <v>17</v>
      </c>
    </row>
    <row r="406" spans="1:3">
      <c r="A406" t="s">
        <v>755</v>
      </c>
      <c r="B406" t="s">
        <v>125</v>
      </c>
      <c r="C406">
        <v>5</v>
      </c>
    </row>
    <row r="407" spans="1:3">
      <c r="A407" t="s">
        <v>881</v>
      </c>
      <c r="B407" t="s">
        <v>125</v>
      </c>
      <c r="C407">
        <v>9</v>
      </c>
    </row>
    <row r="408" spans="1:3">
      <c r="A408" t="s">
        <v>1227</v>
      </c>
      <c r="B408" t="s">
        <v>125</v>
      </c>
      <c r="C408">
        <v>1</v>
      </c>
    </row>
    <row r="409" spans="1:3">
      <c r="A409" t="s">
        <v>1228</v>
      </c>
      <c r="B409" t="s">
        <v>113</v>
      </c>
      <c r="C409">
        <v>1</v>
      </c>
    </row>
    <row r="410" spans="1:3">
      <c r="A410" t="s">
        <v>1229</v>
      </c>
      <c r="B410" t="s">
        <v>30</v>
      </c>
      <c r="C410">
        <v>1</v>
      </c>
    </row>
    <row r="411" spans="1:3">
      <c r="A411" t="s">
        <v>1230</v>
      </c>
      <c r="B411" t="s">
        <v>34</v>
      </c>
      <c r="C411">
        <v>1</v>
      </c>
    </row>
    <row r="412" spans="1:3">
      <c r="A412" t="s">
        <v>1231</v>
      </c>
      <c r="B412" t="s">
        <v>113</v>
      </c>
      <c r="C412">
        <v>1</v>
      </c>
    </row>
    <row r="413" spans="1:3">
      <c r="A413" t="s">
        <v>1232</v>
      </c>
      <c r="B413" t="s">
        <v>113</v>
      </c>
      <c r="C413">
        <v>1</v>
      </c>
    </row>
    <row r="414" spans="1:3">
      <c r="A414" t="s">
        <v>1233</v>
      </c>
      <c r="B414" t="s">
        <v>16</v>
      </c>
      <c r="C414">
        <v>5</v>
      </c>
    </row>
    <row r="415" spans="1:3">
      <c r="A415" t="s">
        <v>1234</v>
      </c>
      <c r="B415" t="s">
        <v>22</v>
      </c>
      <c r="C415">
        <v>1</v>
      </c>
    </row>
    <row r="416" spans="1:3">
      <c r="A416" t="s">
        <v>271</v>
      </c>
      <c r="B416" t="s">
        <v>272</v>
      </c>
      <c r="C416">
        <v>7</v>
      </c>
    </row>
    <row r="417" spans="1:3">
      <c r="A417" t="s">
        <v>798</v>
      </c>
      <c r="B417" t="s">
        <v>115</v>
      </c>
      <c r="C417">
        <v>7</v>
      </c>
    </row>
    <row r="418" spans="1:3">
      <c r="A418" t="s">
        <v>1235</v>
      </c>
      <c r="B418" t="s">
        <v>32</v>
      </c>
      <c r="C418">
        <v>3</v>
      </c>
    </row>
    <row r="419" spans="1:3">
      <c r="A419" t="s">
        <v>562</v>
      </c>
      <c r="B419" t="s">
        <v>64</v>
      </c>
      <c r="C419">
        <v>6</v>
      </c>
    </row>
    <row r="420" spans="1:3">
      <c r="A420" t="s">
        <v>1236</v>
      </c>
      <c r="B420" t="s">
        <v>16</v>
      </c>
      <c r="C420">
        <v>3</v>
      </c>
    </row>
    <row r="421" spans="1:3">
      <c r="A421" t="s">
        <v>1237</v>
      </c>
      <c r="B421" t="s">
        <v>407</v>
      </c>
      <c r="C421">
        <v>4</v>
      </c>
    </row>
    <row r="422" spans="1:3">
      <c r="A422" t="s">
        <v>605</v>
      </c>
      <c r="B422" t="s">
        <v>30</v>
      </c>
      <c r="C422">
        <v>21</v>
      </c>
    </row>
    <row r="423" spans="1:3">
      <c r="A423" t="s">
        <v>1238</v>
      </c>
      <c r="B423" t="s">
        <v>142</v>
      </c>
      <c r="C423">
        <v>1</v>
      </c>
    </row>
    <row r="424" spans="1:3">
      <c r="A424" t="s">
        <v>1239</v>
      </c>
      <c r="B424" t="s">
        <v>16</v>
      </c>
      <c r="C424">
        <v>2</v>
      </c>
    </row>
    <row r="425" spans="1:3">
      <c r="A425" t="s">
        <v>698</v>
      </c>
      <c r="B425" t="s">
        <v>32</v>
      </c>
      <c r="C425">
        <v>11</v>
      </c>
    </row>
    <row r="426" spans="1:3">
      <c r="A426" t="s">
        <v>997</v>
      </c>
      <c r="B426" t="s">
        <v>32</v>
      </c>
      <c r="C426">
        <v>1</v>
      </c>
    </row>
    <row r="427" spans="1:3">
      <c r="A427" t="s">
        <v>1240</v>
      </c>
      <c r="B427" t="s">
        <v>19</v>
      </c>
      <c r="C427">
        <v>2</v>
      </c>
    </row>
    <row r="428" spans="1:3">
      <c r="A428" t="s">
        <v>1241</v>
      </c>
      <c r="B428" t="s">
        <v>32</v>
      </c>
      <c r="C428">
        <v>4</v>
      </c>
    </row>
    <row r="429" spans="1:3">
      <c r="A429" t="s">
        <v>87</v>
      </c>
      <c r="B429" t="s">
        <v>61</v>
      </c>
      <c r="C429">
        <v>8</v>
      </c>
    </row>
    <row r="430" spans="1:3">
      <c r="A430" t="s">
        <v>295</v>
      </c>
      <c r="B430" t="s">
        <v>22</v>
      </c>
      <c r="C430">
        <v>1</v>
      </c>
    </row>
    <row r="431" spans="1:3">
      <c r="A431" t="s">
        <v>1242</v>
      </c>
      <c r="B431" t="s">
        <v>34</v>
      </c>
      <c r="C431">
        <v>1</v>
      </c>
    </row>
    <row r="432" spans="1:3">
      <c r="A432" t="s">
        <v>210</v>
      </c>
      <c r="B432" t="s">
        <v>410</v>
      </c>
      <c r="C432">
        <v>11</v>
      </c>
    </row>
    <row r="433" spans="1:3">
      <c r="A433" t="s">
        <v>269</v>
      </c>
      <c r="B433" t="s">
        <v>16</v>
      </c>
      <c r="C433">
        <v>11</v>
      </c>
    </row>
    <row r="434" spans="1:3">
      <c r="A434" t="s">
        <v>1243</v>
      </c>
      <c r="B434" t="s">
        <v>24</v>
      </c>
      <c r="C434">
        <v>2</v>
      </c>
    </row>
    <row r="435" spans="1:3">
      <c r="A435" t="s">
        <v>923</v>
      </c>
      <c r="B435" t="s">
        <v>64</v>
      </c>
      <c r="C435">
        <v>3</v>
      </c>
    </row>
    <row r="436" spans="1:3">
      <c r="A436" t="s">
        <v>1244</v>
      </c>
      <c r="B436" t="s">
        <v>61</v>
      </c>
      <c r="C436">
        <v>10</v>
      </c>
    </row>
    <row r="437" spans="1:3">
      <c r="A437" t="s">
        <v>1245</v>
      </c>
      <c r="B437" t="s">
        <v>32</v>
      </c>
      <c r="C437">
        <v>3</v>
      </c>
    </row>
    <row r="438" spans="1:3">
      <c r="A438" t="s">
        <v>473</v>
      </c>
      <c r="B438" t="s">
        <v>319</v>
      </c>
      <c r="C438">
        <v>3</v>
      </c>
    </row>
    <row r="439" spans="1:3">
      <c r="A439" t="s">
        <v>1246</v>
      </c>
      <c r="B439" t="s">
        <v>30</v>
      </c>
      <c r="C439">
        <v>7</v>
      </c>
    </row>
    <row r="440" spans="1:3">
      <c r="A440" t="s">
        <v>181</v>
      </c>
      <c r="B440" t="s">
        <v>30</v>
      </c>
      <c r="C440">
        <v>9</v>
      </c>
    </row>
    <row r="441" spans="1:3">
      <c r="A441" t="s">
        <v>214</v>
      </c>
      <c r="B441" t="s">
        <v>113</v>
      </c>
      <c r="C441">
        <v>4</v>
      </c>
    </row>
    <row r="442" spans="1:3">
      <c r="A442" t="s">
        <v>355</v>
      </c>
      <c r="B442" t="s">
        <v>16</v>
      </c>
      <c r="C442">
        <v>7</v>
      </c>
    </row>
    <row r="443" spans="1:3">
      <c r="A443" t="s">
        <v>1247</v>
      </c>
      <c r="B443" t="s">
        <v>34</v>
      </c>
      <c r="C443">
        <v>4</v>
      </c>
    </row>
    <row r="444" spans="1:3">
      <c r="A444" t="s">
        <v>1248</v>
      </c>
      <c r="B444" t="s">
        <v>16</v>
      </c>
      <c r="C444">
        <v>1</v>
      </c>
    </row>
    <row r="445" spans="1:3">
      <c r="A445" t="s">
        <v>1249</v>
      </c>
      <c r="B445" t="s">
        <v>319</v>
      </c>
      <c r="C445">
        <v>3</v>
      </c>
    </row>
    <row r="446" spans="1:3">
      <c r="A446" t="s">
        <v>1250</v>
      </c>
      <c r="B446" t="s">
        <v>319</v>
      </c>
      <c r="C446">
        <v>1</v>
      </c>
    </row>
    <row r="447" spans="1:3">
      <c r="A447" t="s">
        <v>316</v>
      </c>
      <c r="B447" t="s">
        <v>16</v>
      </c>
      <c r="C447">
        <v>2</v>
      </c>
    </row>
    <row r="448" spans="1:3">
      <c r="A448" t="s">
        <v>888</v>
      </c>
      <c r="B448" t="s">
        <v>64</v>
      </c>
      <c r="C448">
        <v>5</v>
      </c>
    </row>
    <row r="449" spans="1:3">
      <c r="A449" t="s">
        <v>1251</v>
      </c>
      <c r="B449" t="s">
        <v>125</v>
      </c>
      <c r="C449">
        <v>2</v>
      </c>
    </row>
    <row r="450" spans="1:3">
      <c r="A450" t="s">
        <v>1252</v>
      </c>
      <c r="B450" t="s">
        <v>64</v>
      </c>
      <c r="C450">
        <v>3</v>
      </c>
    </row>
    <row r="451" spans="1:3">
      <c r="A451" t="s">
        <v>1253</v>
      </c>
      <c r="B451" t="s">
        <v>16</v>
      </c>
      <c r="C451">
        <v>1</v>
      </c>
    </row>
    <row r="452" spans="1:3">
      <c r="A452" t="s">
        <v>704</v>
      </c>
      <c r="B452" t="s">
        <v>64</v>
      </c>
      <c r="C452">
        <v>3</v>
      </c>
    </row>
    <row r="453" spans="1:3">
      <c r="A453" t="s">
        <v>552</v>
      </c>
      <c r="B453" t="s">
        <v>128</v>
      </c>
      <c r="C453">
        <v>1</v>
      </c>
    </row>
    <row r="454" spans="1:3">
      <c r="A454" t="s">
        <v>1254</v>
      </c>
      <c r="B454" t="s">
        <v>64</v>
      </c>
      <c r="C454">
        <v>2</v>
      </c>
    </row>
    <row r="455" spans="1:3">
      <c r="A455" t="s">
        <v>458</v>
      </c>
      <c r="B455" t="s">
        <v>407</v>
      </c>
      <c r="C455">
        <v>12</v>
      </c>
    </row>
    <row r="456" spans="1:3">
      <c r="A456" t="s">
        <v>1255</v>
      </c>
      <c r="B456" t="s">
        <v>64</v>
      </c>
      <c r="C456">
        <v>2</v>
      </c>
    </row>
    <row r="457" spans="1:3">
      <c r="A457" t="s">
        <v>274</v>
      </c>
      <c r="B457" t="s">
        <v>319</v>
      </c>
      <c r="C457">
        <v>6</v>
      </c>
    </row>
    <row r="458" spans="1:3">
      <c r="A458" t="s">
        <v>267</v>
      </c>
      <c r="B458" t="s">
        <v>30</v>
      </c>
      <c r="C458">
        <v>5</v>
      </c>
    </row>
    <row r="459" spans="1:3">
      <c r="A459" t="s">
        <v>155</v>
      </c>
      <c r="B459" t="s">
        <v>125</v>
      </c>
      <c r="C459">
        <v>6</v>
      </c>
    </row>
    <row r="460" spans="1:3">
      <c r="A460" t="s">
        <v>1256</v>
      </c>
      <c r="B460" t="s">
        <v>115</v>
      </c>
      <c r="C460">
        <v>2</v>
      </c>
    </row>
    <row r="461" spans="1:3">
      <c r="A461" t="s">
        <v>1257</v>
      </c>
      <c r="B461" t="s">
        <v>115</v>
      </c>
      <c r="C461">
        <v>1</v>
      </c>
    </row>
    <row r="462" spans="1:3">
      <c r="A462" t="s">
        <v>367</v>
      </c>
      <c r="B462" t="s">
        <v>64</v>
      </c>
      <c r="C462">
        <v>8</v>
      </c>
    </row>
    <row r="463" spans="1:3">
      <c r="A463" t="s">
        <v>1258</v>
      </c>
      <c r="B463" t="s">
        <v>125</v>
      </c>
      <c r="C463">
        <v>3</v>
      </c>
    </row>
    <row r="464" spans="1:3">
      <c r="A464" t="s">
        <v>1259</v>
      </c>
      <c r="B464" t="s">
        <v>125</v>
      </c>
      <c r="C464">
        <v>1</v>
      </c>
    </row>
    <row r="465" spans="1:3">
      <c r="A465" t="s">
        <v>1260</v>
      </c>
      <c r="B465" t="s">
        <v>125</v>
      </c>
      <c r="C465">
        <v>1</v>
      </c>
    </row>
    <row r="466" spans="1:3">
      <c r="A466" t="s">
        <v>721</v>
      </c>
      <c r="B466" t="s">
        <v>125</v>
      </c>
      <c r="C466">
        <v>2</v>
      </c>
    </row>
    <row r="467" spans="1:3">
      <c r="A467" t="s">
        <v>1261</v>
      </c>
      <c r="B467" t="s">
        <v>16</v>
      </c>
      <c r="C467">
        <v>11</v>
      </c>
    </row>
    <row r="468" spans="1:3">
      <c r="A468" t="s">
        <v>370</v>
      </c>
      <c r="B468" t="s">
        <v>61</v>
      </c>
      <c r="C468">
        <v>9</v>
      </c>
    </row>
    <row r="469" spans="1:3">
      <c r="A469" t="s">
        <v>576</v>
      </c>
      <c r="B469" t="s">
        <v>34</v>
      </c>
      <c r="C469">
        <v>15</v>
      </c>
    </row>
    <row r="470" spans="1:3">
      <c r="A470" t="s">
        <v>303</v>
      </c>
      <c r="B470" t="s">
        <v>61</v>
      </c>
      <c r="C470">
        <v>10</v>
      </c>
    </row>
    <row r="471" spans="1:3">
      <c r="A471" t="s">
        <v>808</v>
      </c>
      <c r="B471" t="s">
        <v>131</v>
      </c>
      <c r="C471">
        <v>4</v>
      </c>
    </row>
    <row r="472" spans="1:3">
      <c r="A472" t="s">
        <v>1262</v>
      </c>
      <c r="B472" t="s">
        <v>26</v>
      </c>
      <c r="C472">
        <v>1</v>
      </c>
    </row>
    <row r="473" spans="1:3">
      <c r="A473" t="s">
        <v>1263</v>
      </c>
      <c r="B473" t="s">
        <v>64</v>
      </c>
      <c r="C473">
        <v>2</v>
      </c>
    </row>
    <row r="474" spans="1:3">
      <c r="A474" t="s">
        <v>1264</v>
      </c>
      <c r="B474" t="s">
        <v>16</v>
      </c>
      <c r="C474">
        <v>3</v>
      </c>
    </row>
    <row r="475" spans="1:3">
      <c r="A475" t="s">
        <v>170</v>
      </c>
      <c r="B475" t="s">
        <v>26</v>
      </c>
      <c r="C475">
        <v>7</v>
      </c>
    </row>
    <row r="476" spans="1:3">
      <c r="A476" t="s">
        <v>1265</v>
      </c>
      <c r="B476" t="s">
        <v>407</v>
      </c>
      <c r="C476">
        <v>5</v>
      </c>
    </row>
    <row r="477" spans="1:3">
      <c r="A477" t="s">
        <v>665</v>
      </c>
      <c r="B477" t="s">
        <v>61</v>
      </c>
      <c r="C477">
        <v>8</v>
      </c>
    </row>
    <row r="478" spans="1:3">
      <c r="A478" t="s">
        <v>317</v>
      </c>
      <c r="B478" t="s">
        <v>16</v>
      </c>
      <c r="C478">
        <v>6</v>
      </c>
    </row>
    <row r="479" spans="1:3">
      <c r="A479" t="s">
        <v>692</v>
      </c>
      <c r="B479" t="s">
        <v>30</v>
      </c>
      <c r="C479">
        <v>11</v>
      </c>
    </row>
    <row r="480" spans="1:3">
      <c r="A480" t="s">
        <v>1266</v>
      </c>
      <c r="B480" t="s">
        <v>125</v>
      </c>
      <c r="C480">
        <v>6</v>
      </c>
    </row>
    <row r="481" spans="1:3">
      <c r="A481" t="s">
        <v>1267</v>
      </c>
      <c r="B481" t="s">
        <v>34</v>
      </c>
      <c r="C481">
        <v>3</v>
      </c>
    </row>
    <row r="482" spans="1:3">
      <c r="A482" t="s">
        <v>1268</v>
      </c>
      <c r="B482" t="s">
        <v>128</v>
      </c>
      <c r="C482">
        <v>3</v>
      </c>
    </row>
    <row r="483" spans="1:3">
      <c r="A483" t="s">
        <v>1269</v>
      </c>
      <c r="B483" t="s">
        <v>113</v>
      </c>
      <c r="C483">
        <v>2</v>
      </c>
    </row>
    <row r="484" spans="1:3">
      <c r="A484" t="s">
        <v>1270</v>
      </c>
      <c r="B484" t="s">
        <v>26</v>
      </c>
      <c r="C484">
        <v>2</v>
      </c>
    </row>
    <row r="485" spans="1:3">
      <c r="A485" t="s">
        <v>837</v>
      </c>
      <c r="B485" t="s">
        <v>131</v>
      </c>
      <c r="C485">
        <v>2</v>
      </c>
    </row>
    <row r="486" spans="1:3">
      <c r="A486" t="s">
        <v>1271</v>
      </c>
      <c r="B486" t="s">
        <v>26</v>
      </c>
      <c r="C486">
        <v>2</v>
      </c>
    </row>
    <row r="487" spans="1:3">
      <c r="A487" t="s">
        <v>922</v>
      </c>
      <c r="B487" t="s">
        <v>113</v>
      </c>
      <c r="C487">
        <v>4</v>
      </c>
    </row>
    <row r="488" spans="1:3">
      <c r="A488" t="s">
        <v>1272</v>
      </c>
      <c r="B488" t="s">
        <v>131</v>
      </c>
      <c r="C488">
        <v>4</v>
      </c>
    </row>
    <row r="489" spans="1:3">
      <c r="A489" t="s">
        <v>1273</v>
      </c>
      <c r="B489" t="s">
        <v>16</v>
      </c>
      <c r="C489">
        <v>2</v>
      </c>
    </row>
    <row r="490" spans="1:3">
      <c r="A490" t="s">
        <v>425</v>
      </c>
      <c r="B490" t="s">
        <v>22</v>
      </c>
      <c r="C490">
        <v>9</v>
      </c>
    </row>
    <row r="491" spans="1:3">
      <c r="A491" t="s">
        <v>1054</v>
      </c>
      <c r="B491" t="s">
        <v>34</v>
      </c>
      <c r="C491">
        <v>4</v>
      </c>
    </row>
    <row r="492" spans="1:3">
      <c r="A492" t="s">
        <v>931</v>
      </c>
      <c r="B492" t="s">
        <v>32</v>
      </c>
      <c r="C492">
        <v>9</v>
      </c>
    </row>
    <row r="493" spans="1:3">
      <c r="A493" t="s">
        <v>815</v>
      </c>
      <c r="B493" t="s">
        <v>30</v>
      </c>
      <c r="C493">
        <v>6</v>
      </c>
    </row>
    <row r="494" spans="1:3">
      <c r="A494" t="s">
        <v>907</v>
      </c>
      <c r="B494" t="s">
        <v>19</v>
      </c>
      <c r="C494">
        <v>5</v>
      </c>
    </row>
    <row r="495" spans="1:3">
      <c r="A495" t="s">
        <v>972</v>
      </c>
      <c r="B495" t="s">
        <v>138</v>
      </c>
      <c r="C495">
        <v>3</v>
      </c>
    </row>
    <row r="496" spans="1:3">
      <c r="A496" t="s">
        <v>1274</v>
      </c>
      <c r="B496" t="s">
        <v>16</v>
      </c>
      <c r="C496">
        <v>2</v>
      </c>
    </row>
    <row r="497" spans="1:3">
      <c r="A497" t="s">
        <v>737</v>
      </c>
      <c r="B497" t="s">
        <v>30</v>
      </c>
      <c r="C497">
        <v>6</v>
      </c>
    </row>
    <row r="498" spans="1:3">
      <c r="A498" t="s">
        <v>1275</v>
      </c>
      <c r="B498" t="s">
        <v>30</v>
      </c>
      <c r="C498">
        <v>4</v>
      </c>
    </row>
    <row r="499" spans="1:3">
      <c r="A499" t="s">
        <v>1276</v>
      </c>
      <c r="B499" t="s">
        <v>64</v>
      </c>
      <c r="C499">
        <v>3</v>
      </c>
    </row>
    <row r="500" spans="1:3">
      <c r="A500" t="s">
        <v>1277</v>
      </c>
      <c r="B500" t="s">
        <v>26</v>
      </c>
      <c r="C500">
        <v>4</v>
      </c>
    </row>
    <row r="501" spans="1:3">
      <c r="A501" t="s">
        <v>1278</v>
      </c>
      <c r="B501" t="s">
        <v>34</v>
      </c>
      <c r="C501">
        <v>1</v>
      </c>
    </row>
    <row r="502" spans="1:3">
      <c r="A502" t="s">
        <v>1279</v>
      </c>
      <c r="B502" t="s">
        <v>34</v>
      </c>
      <c r="C502">
        <v>3</v>
      </c>
    </row>
    <row r="503" spans="1:3">
      <c r="A503" t="s">
        <v>777</v>
      </c>
      <c r="B503" t="s">
        <v>26</v>
      </c>
      <c r="C503">
        <v>2</v>
      </c>
    </row>
    <row r="504" spans="1:3">
      <c r="A504" t="s">
        <v>978</v>
      </c>
      <c r="B504" t="s">
        <v>26</v>
      </c>
      <c r="C504">
        <v>3</v>
      </c>
    </row>
    <row r="505" spans="1:3">
      <c r="A505" t="s">
        <v>822</v>
      </c>
      <c r="B505" t="s">
        <v>128</v>
      </c>
      <c r="C505">
        <v>3</v>
      </c>
    </row>
    <row r="506" spans="1:3">
      <c r="A506" t="s">
        <v>679</v>
      </c>
      <c r="B506" t="s">
        <v>30</v>
      </c>
      <c r="C506">
        <v>5</v>
      </c>
    </row>
    <row r="507" spans="1:3">
      <c r="A507" t="s">
        <v>1280</v>
      </c>
      <c r="B507" t="s">
        <v>64</v>
      </c>
      <c r="C507">
        <v>4</v>
      </c>
    </row>
    <row r="508" spans="1:3">
      <c r="A508" t="s">
        <v>1281</v>
      </c>
      <c r="B508" t="s">
        <v>319</v>
      </c>
      <c r="C508">
        <v>1</v>
      </c>
    </row>
    <row r="509" spans="1:3">
      <c r="A509" t="s">
        <v>1282</v>
      </c>
      <c r="B509" t="s">
        <v>24</v>
      </c>
      <c r="C509">
        <v>1</v>
      </c>
    </row>
    <row r="510" spans="1:3">
      <c r="A510" t="s">
        <v>780</v>
      </c>
      <c r="B510" t="s">
        <v>115</v>
      </c>
      <c r="C510">
        <v>4</v>
      </c>
    </row>
    <row r="511" spans="1:3">
      <c r="A511" t="s">
        <v>943</v>
      </c>
      <c r="B511" t="s">
        <v>64</v>
      </c>
      <c r="C511">
        <v>2</v>
      </c>
    </row>
    <row r="512" spans="1:3">
      <c r="A512" t="s">
        <v>1283</v>
      </c>
      <c r="B512" t="s">
        <v>125</v>
      </c>
      <c r="C512">
        <v>1</v>
      </c>
    </row>
    <row r="513" spans="1:3">
      <c r="A513" t="s">
        <v>1284</v>
      </c>
      <c r="B513" t="s">
        <v>113</v>
      </c>
      <c r="C513">
        <v>5</v>
      </c>
    </row>
    <row r="514" spans="1:3">
      <c r="A514" t="s">
        <v>1285</v>
      </c>
      <c r="B514" t="s">
        <v>34</v>
      </c>
      <c r="C514">
        <v>3</v>
      </c>
    </row>
    <row r="515" spans="1:3">
      <c r="A515" t="s">
        <v>1286</v>
      </c>
      <c r="B515" t="s">
        <v>34</v>
      </c>
      <c r="C515">
        <v>4</v>
      </c>
    </row>
    <row r="516" spans="1:3">
      <c r="A516" t="s">
        <v>1287</v>
      </c>
      <c r="B516" t="s">
        <v>34</v>
      </c>
      <c r="C516">
        <v>2</v>
      </c>
    </row>
    <row r="517" spans="1:3">
      <c r="A517" t="s">
        <v>396</v>
      </c>
      <c r="B517" t="s">
        <v>34</v>
      </c>
      <c r="C517">
        <v>3</v>
      </c>
    </row>
    <row r="518" spans="1:3">
      <c r="A518" t="s">
        <v>374</v>
      </c>
      <c r="B518" t="s">
        <v>118</v>
      </c>
      <c r="C518">
        <v>1</v>
      </c>
    </row>
    <row r="519" spans="1:3">
      <c r="A519" t="s">
        <v>1288</v>
      </c>
      <c r="B519" t="s">
        <v>125</v>
      </c>
      <c r="C519">
        <v>5</v>
      </c>
    </row>
    <row r="520" spans="1:3">
      <c r="A520" t="s">
        <v>331</v>
      </c>
      <c r="B520" t="s">
        <v>61</v>
      </c>
      <c r="C520">
        <v>3</v>
      </c>
    </row>
    <row r="521" spans="1:3">
      <c r="A521" t="s">
        <v>1289</v>
      </c>
      <c r="B521" t="s">
        <v>22</v>
      </c>
      <c r="C521">
        <v>1</v>
      </c>
    </row>
    <row r="522" spans="1:3">
      <c r="A522" t="s">
        <v>478</v>
      </c>
      <c r="B522" t="s">
        <v>128</v>
      </c>
      <c r="C522">
        <v>9</v>
      </c>
    </row>
    <row r="523" spans="1:3">
      <c r="A523" t="s">
        <v>1290</v>
      </c>
      <c r="B523" t="s">
        <v>30</v>
      </c>
      <c r="C523">
        <v>1</v>
      </c>
    </row>
    <row r="524" spans="1:3">
      <c r="A524" t="s">
        <v>1291</v>
      </c>
      <c r="B524" t="s">
        <v>30</v>
      </c>
      <c r="C524">
        <v>2</v>
      </c>
    </row>
    <row r="525" spans="1:3">
      <c r="A525" t="s">
        <v>928</v>
      </c>
      <c r="B525" t="s">
        <v>113</v>
      </c>
      <c r="C525">
        <v>12</v>
      </c>
    </row>
    <row r="526" spans="1:3">
      <c r="A526" t="s">
        <v>1292</v>
      </c>
      <c r="B526" t="s">
        <v>22</v>
      </c>
      <c r="C526">
        <v>1</v>
      </c>
    </row>
    <row r="527" spans="1:3">
      <c r="A527" t="s">
        <v>1293</v>
      </c>
      <c r="B527" t="s">
        <v>34</v>
      </c>
      <c r="C527">
        <v>1</v>
      </c>
    </row>
    <row r="528" spans="1:3">
      <c r="A528" t="s">
        <v>1294</v>
      </c>
      <c r="B528" t="s">
        <v>64</v>
      </c>
      <c r="C528">
        <v>1</v>
      </c>
    </row>
    <row r="529" spans="1:3">
      <c r="A529" t="s">
        <v>1295</v>
      </c>
      <c r="B529" t="s">
        <v>16</v>
      </c>
      <c r="C529">
        <v>1</v>
      </c>
    </row>
    <row r="530" spans="1:3">
      <c r="A530" t="s">
        <v>1296</v>
      </c>
      <c r="B530" t="s">
        <v>19</v>
      </c>
      <c r="C530">
        <v>1</v>
      </c>
    </row>
    <row r="531" spans="1:3">
      <c r="A531" t="s">
        <v>739</v>
      </c>
      <c r="B531" t="s">
        <v>22</v>
      </c>
      <c r="C531">
        <v>7</v>
      </c>
    </row>
    <row r="532" spans="1:3">
      <c r="A532" t="s">
        <v>1297</v>
      </c>
      <c r="B532" t="s">
        <v>4</v>
      </c>
      <c r="C532">
        <v>2</v>
      </c>
    </row>
    <row r="533" spans="1:3">
      <c r="A533" t="s">
        <v>1298</v>
      </c>
      <c r="B533" t="s">
        <v>4</v>
      </c>
      <c r="C533">
        <v>1</v>
      </c>
    </row>
    <row r="534" spans="1:3">
      <c r="A534" t="s">
        <v>413</v>
      </c>
      <c r="B534" t="s">
        <v>26</v>
      </c>
      <c r="C534">
        <v>20</v>
      </c>
    </row>
    <row r="535" spans="1:3">
      <c r="A535" t="s">
        <v>785</v>
      </c>
      <c r="B535" t="s">
        <v>61</v>
      </c>
      <c r="C535">
        <v>1</v>
      </c>
    </row>
    <row r="536" spans="1:3">
      <c r="A536" t="s">
        <v>1299</v>
      </c>
      <c r="B536" t="s">
        <v>16</v>
      </c>
      <c r="C536">
        <v>3</v>
      </c>
    </row>
    <row r="537" spans="1:3">
      <c r="A537" t="s">
        <v>23</v>
      </c>
      <c r="B537" t="s">
        <v>22</v>
      </c>
      <c r="C537">
        <v>3</v>
      </c>
    </row>
    <row r="538" spans="1:3">
      <c r="A538" t="s">
        <v>588</v>
      </c>
      <c r="B538" t="s">
        <v>19</v>
      </c>
      <c r="C538">
        <v>1</v>
      </c>
    </row>
    <row r="539" spans="1:3">
      <c r="A539" t="s">
        <v>1300</v>
      </c>
      <c r="B539" t="s">
        <v>61</v>
      </c>
      <c r="C539">
        <v>2</v>
      </c>
    </row>
    <row r="540" spans="1:3">
      <c r="A540" t="s">
        <v>1301</v>
      </c>
      <c r="B540" t="s">
        <v>19</v>
      </c>
      <c r="C540">
        <v>1</v>
      </c>
    </row>
    <row r="541" spans="1:3">
      <c r="A541" t="s">
        <v>586</v>
      </c>
      <c r="B541" t="s">
        <v>19</v>
      </c>
      <c r="C541">
        <v>1</v>
      </c>
    </row>
    <row r="542" spans="1:3">
      <c r="A542" t="s">
        <v>1302</v>
      </c>
      <c r="B542" t="s">
        <v>24</v>
      </c>
      <c r="C542">
        <v>1</v>
      </c>
    </row>
    <row r="543" spans="1:3">
      <c r="A543" t="s">
        <v>43</v>
      </c>
      <c r="B543" t="s">
        <v>19</v>
      </c>
      <c r="C543">
        <v>1</v>
      </c>
    </row>
    <row r="544" spans="1:3">
      <c r="A544" t="s">
        <v>939</v>
      </c>
      <c r="B544" t="s">
        <v>19</v>
      </c>
      <c r="C544">
        <v>1</v>
      </c>
    </row>
    <row r="545" spans="1:3">
      <c r="A545" t="s">
        <v>1303</v>
      </c>
      <c r="B545" t="s">
        <v>19</v>
      </c>
      <c r="C545">
        <v>1</v>
      </c>
    </row>
    <row r="546" spans="1:3">
      <c r="A546" t="s">
        <v>1304</v>
      </c>
      <c r="B546" t="s">
        <v>32</v>
      </c>
      <c r="C546">
        <v>1</v>
      </c>
    </row>
    <row r="547" spans="1:3">
      <c r="A547" t="s">
        <v>589</v>
      </c>
      <c r="B547" t="s">
        <v>19</v>
      </c>
      <c r="C547">
        <v>1</v>
      </c>
    </row>
    <row r="548" spans="1:3">
      <c r="A548" t="s">
        <v>582</v>
      </c>
      <c r="B548" t="s">
        <v>19</v>
      </c>
      <c r="C548">
        <v>2</v>
      </c>
    </row>
    <row r="549" spans="1:3">
      <c r="A549" t="s">
        <v>174</v>
      </c>
      <c r="B549" t="s">
        <v>64</v>
      </c>
      <c r="C549">
        <v>2</v>
      </c>
    </row>
    <row r="550" spans="1:3">
      <c r="A550" t="s">
        <v>1305</v>
      </c>
      <c r="B550" t="s">
        <v>115</v>
      </c>
      <c r="C550">
        <v>2</v>
      </c>
    </row>
    <row r="551" spans="1:3">
      <c r="A551" t="s">
        <v>116</v>
      </c>
      <c r="B551" t="s">
        <v>26</v>
      </c>
      <c r="C551">
        <v>3</v>
      </c>
    </row>
    <row r="552" spans="1:3">
      <c r="A552" t="s">
        <v>1306</v>
      </c>
      <c r="B552" t="s">
        <v>138</v>
      </c>
      <c r="C552">
        <v>1</v>
      </c>
    </row>
    <row r="553" spans="1:3">
      <c r="A553" t="s">
        <v>932</v>
      </c>
      <c r="B553" t="s">
        <v>410</v>
      </c>
      <c r="C553">
        <v>2</v>
      </c>
    </row>
    <row r="554" spans="1:3">
      <c r="A554" t="s">
        <v>169</v>
      </c>
      <c r="B554" t="s">
        <v>30</v>
      </c>
      <c r="C554">
        <v>8</v>
      </c>
    </row>
    <row r="555" spans="1:3">
      <c r="A555" t="s">
        <v>1307</v>
      </c>
      <c r="B555" t="s">
        <v>115</v>
      </c>
      <c r="C555">
        <v>2</v>
      </c>
    </row>
    <row r="556" spans="1:3">
      <c r="A556" t="s">
        <v>352</v>
      </c>
      <c r="B556" t="s">
        <v>26</v>
      </c>
      <c r="C556">
        <v>6</v>
      </c>
    </row>
    <row r="557" spans="1:3">
      <c r="A557" t="s">
        <v>293</v>
      </c>
      <c r="B557" t="s">
        <v>22</v>
      </c>
      <c r="C557">
        <v>3</v>
      </c>
    </row>
    <row r="558" spans="1:3">
      <c r="A558" t="s">
        <v>426</v>
      </c>
      <c r="B558" t="s">
        <v>4</v>
      </c>
      <c r="C558">
        <v>6</v>
      </c>
    </row>
    <row r="559" spans="1:3">
      <c r="A559" t="s">
        <v>433</v>
      </c>
      <c r="B559" t="s">
        <v>26</v>
      </c>
      <c r="C559">
        <v>14</v>
      </c>
    </row>
    <row r="560" spans="1:3">
      <c r="A560" t="s">
        <v>459</v>
      </c>
      <c r="B560" t="s">
        <v>113</v>
      </c>
      <c r="C560">
        <v>3</v>
      </c>
    </row>
    <row r="561" spans="1:3">
      <c r="A561" t="s">
        <v>150</v>
      </c>
      <c r="B561" t="s">
        <v>16</v>
      </c>
      <c r="C561">
        <v>2</v>
      </c>
    </row>
    <row r="562" spans="1:3">
      <c r="A562" t="s">
        <v>1308</v>
      </c>
      <c r="B562" t="s">
        <v>113</v>
      </c>
      <c r="C562">
        <v>1</v>
      </c>
    </row>
    <row r="563" spans="1:3">
      <c r="A563" t="s">
        <v>1309</v>
      </c>
      <c r="B563" t="s">
        <v>4</v>
      </c>
      <c r="C563">
        <v>1</v>
      </c>
    </row>
    <row r="564" spans="1:3">
      <c r="A564" t="s">
        <v>1310</v>
      </c>
      <c r="B564" t="s">
        <v>6</v>
      </c>
      <c r="C564">
        <v>1</v>
      </c>
    </row>
    <row r="565" spans="1:3">
      <c r="A565" t="s">
        <v>362</v>
      </c>
      <c r="B565" t="s">
        <v>125</v>
      </c>
      <c r="C565">
        <v>9</v>
      </c>
    </row>
    <row r="566" spans="1:3">
      <c r="A566" t="s">
        <v>559</v>
      </c>
      <c r="B566" t="s">
        <v>125</v>
      </c>
      <c r="C566">
        <v>3</v>
      </c>
    </row>
    <row r="567" spans="1:3">
      <c r="A567" t="s">
        <v>1311</v>
      </c>
      <c r="B567" t="s">
        <v>125</v>
      </c>
      <c r="C567">
        <v>1</v>
      </c>
    </row>
    <row r="568" spans="1:3">
      <c r="A568" t="s">
        <v>1312</v>
      </c>
      <c r="B568" t="s">
        <v>4</v>
      </c>
      <c r="C568">
        <v>1</v>
      </c>
    </row>
    <row r="569" spans="1:3">
      <c r="A569" t="s">
        <v>81</v>
      </c>
      <c r="B569" t="s">
        <v>64</v>
      </c>
      <c r="C569">
        <v>10</v>
      </c>
    </row>
    <row r="570" spans="1:3">
      <c r="A570" t="s">
        <v>1313</v>
      </c>
      <c r="B570" t="s">
        <v>128</v>
      </c>
      <c r="C570">
        <v>1</v>
      </c>
    </row>
    <row r="571" spans="1:3">
      <c r="A571" t="s">
        <v>21</v>
      </c>
      <c r="B571" t="s">
        <v>19</v>
      </c>
      <c r="C571">
        <v>1</v>
      </c>
    </row>
    <row r="572" spans="1:3">
      <c r="A572" t="s">
        <v>906</v>
      </c>
      <c r="B572" t="s">
        <v>19</v>
      </c>
      <c r="C572">
        <v>1</v>
      </c>
    </row>
    <row r="573" spans="1:3">
      <c r="A573" t="s">
        <v>1314</v>
      </c>
      <c r="B573" t="s">
        <v>128</v>
      </c>
      <c r="C573">
        <v>1</v>
      </c>
    </row>
    <row r="574" spans="1:3">
      <c r="A574" t="s">
        <v>1315</v>
      </c>
      <c r="B574" t="s">
        <v>16</v>
      </c>
      <c r="C574">
        <v>9</v>
      </c>
    </row>
    <row r="575" spans="1:3">
      <c r="A575" t="s">
        <v>492</v>
      </c>
      <c r="B575" t="s">
        <v>26</v>
      </c>
      <c r="C575">
        <v>10</v>
      </c>
    </row>
    <row r="576" spans="1:3">
      <c r="A576" t="s">
        <v>594</v>
      </c>
      <c r="B576" t="s">
        <v>19</v>
      </c>
      <c r="C576">
        <v>11</v>
      </c>
    </row>
    <row r="577" spans="1:3">
      <c r="A577" t="s">
        <v>1316</v>
      </c>
      <c r="B577" t="s">
        <v>16</v>
      </c>
      <c r="C577">
        <v>2</v>
      </c>
    </row>
    <row r="578" spans="1:3">
      <c r="A578" t="s">
        <v>477</v>
      </c>
      <c r="B578" t="s">
        <v>16</v>
      </c>
      <c r="C578">
        <v>4</v>
      </c>
    </row>
    <row r="579" spans="1:3">
      <c r="A579" t="s">
        <v>1317</v>
      </c>
      <c r="B579" t="s">
        <v>128</v>
      </c>
      <c r="C579">
        <v>1</v>
      </c>
    </row>
    <row r="580" spans="1:3">
      <c r="A580" t="s">
        <v>400</v>
      </c>
      <c r="B580" t="s">
        <v>26</v>
      </c>
      <c r="C580">
        <v>2</v>
      </c>
    </row>
    <row r="581" spans="1:3">
      <c r="A581" t="s">
        <v>1318</v>
      </c>
      <c r="B581" t="s">
        <v>26</v>
      </c>
      <c r="C581">
        <v>2</v>
      </c>
    </row>
    <row r="582" spans="1:3">
      <c r="A582" t="s">
        <v>501</v>
      </c>
      <c r="B582" t="s">
        <v>16</v>
      </c>
      <c r="C582">
        <v>12</v>
      </c>
    </row>
    <row r="583" spans="1:3">
      <c r="A583" t="s">
        <v>1319</v>
      </c>
      <c r="B583" t="s">
        <v>16</v>
      </c>
      <c r="C583">
        <v>1</v>
      </c>
    </row>
    <row r="584" spans="1:3">
      <c r="A584" t="s">
        <v>1320</v>
      </c>
      <c r="B584" t="s">
        <v>142</v>
      </c>
      <c r="C584">
        <v>1</v>
      </c>
    </row>
    <row r="585" spans="1:3">
      <c r="A585" t="s">
        <v>1321</v>
      </c>
      <c r="B585" t="s">
        <v>410</v>
      </c>
      <c r="C585">
        <v>1</v>
      </c>
    </row>
    <row r="586" spans="1:3">
      <c r="A586" t="s">
        <v>1322</v>
      </c>
      <c r="B586" t="s">
        <v>22</v>
      </c>
      <c r="C586">
        <v>2</v>
      </c>
    </row>
    <row r="587" spans="1:3">
      <c r="A587" t="s">
        <v>489</v>
      </c>
      <c r="B587" t="s">
        <v>26</v>
      </c>
      <c r="C587">
        <v>2</v>
      </c>
    </row>
    <row r="588" spans="1:3">
      <c r="A588" t="s">
        <v>1323</v>
      </c>
      <c r="B588" t="s">
        <v>24</v>
      </c>
      <c r="C588">
        <v>2</v>
      </c>
    </row>
    <row r="589" spans="1:3">
      <c r="A589" t="s">
        <v>816</v>
      </c>
      <c r="B589" t="s">
        <v>34</v>
      </c>
      <c r="C589">
        <v>3</v>
      </c>
    </row>
    <row r="590" spans="1:3">
      <c r="A590" t="s">
        <v>444</v>
      </c>
      <c r="B590" t="s">
        <v>64</v>
      </c>
      <c r="C590">
        <v>3</v>
      </c>
    </row>
    <row r="591" spans="1:3">
      <c r="A591" t="s">
        <v>626</v>
      </c>
      <c r="B591" t="s">
        <v>34</v>
      </c>
      <c r="C591">
        <v>2</v>
      </c>
    </row>
    <row r="592" spans="1:3">
      <c r="A592" t="s">
        <v>730</v>
      </c>
      <c r="B592" t="s">
        <v>34</v>
      </c>
      <c r="C592">
        <v>3</v>
      </c>
    </row>
    <row r="593" spans="1:3">
      <c r="A593" t="s">
        <v>1324</v>
      </c>
      <c r="B593" t="s">
        <v>138</v>
      </c>
      <c r="C593">
        <v>2</v>
      </c>
    </row>
    <row r="594" spans="1:3">
      <c r="A594" t="s">
        <v>195</v>
      </c>
      <c r="B594" t="s">
        <v>142</v>
      </c>
      <c r="C594">
        <v>7</v>
      </c>
    </row>
    <row r="595" spans="1:3">
      <c r="A595" t="s">
        <v>1325</v>
      </c>
      <c r="B595" t="s">
        <v>30</v>
      </c>
      <c r="C595">
        <v>1</v>
      </c>
    </row>
    <row r="596" spans="1:3">
      <c r="A596" t="s">
        <v>394</v>
      </c>
      <c r="B596" t="s">
        <v>16</v>
      </c>
      <c r="C596">
        <v>11</v>
      </c>
    </row>
    <row r="597" spans="1:3">
      <c r="A597" t="s">
        <v>1326</v>
      </c>
      <c r="B597" t="s">
        <v>125</v>
      </c>
      <c r="C597">
        <v>6</v>
      </c>
    </row>
    <row r="598" spans="1:3">
      <c r="A598" t="s">
        <v>180</v>
      </c>
      <c r="B598" t="s">
        <v>115</v>
      </c>
      <c r="C598">
        <v>9</v>
      </c>
    </row>
    <row r="599" spans="1:3">
      <c r="A599" t="s">
        <v>1327</v>
      </c>
      <c r="B599" t="s">
        <v>115</v>
      </c>
      <c r="C599">
        <v>1</v>
      </c>
    </row>
    <row r="600" spans="1:3">
      <c r="A600" t="s">
        <v>1328</v>
      </c>
      <c r="B600" t="s">
        <v>16</v>
      </c>
      <c r="C600">
        <v>1</v>
      </c>
    </row>
    <row r="601" spans="1:3">
      <c r="A601" t="s">
        <v>568</v>
      </c>
      <c r="B601" t="s">
        <v>22</v>
      </c>
      <c r="C601">
        <v>2</v>
      </c>
    </row>
    <row r="602" spans="1:3">
      <c r="A602" t="s">
        <v>1329</v>
      </c>
      <c r="B602" t="s">
        <v>16</v>
      </c>
      <c r="C602">
        <v>3</v>
      </c>
    </row>
    <row r="603" spans="1:3">
      <c r="A603" t="s">
        <v>455</v>
      </c>
      <c r="B603" t="s">
        <v>16</v>
      </c>
      <c r="C603">
        <v>26</v>
      </c>
    </row>
    <row r="604" spans="1:3">
      <c r="A604" t="s">
        <v>1330</v>
      </c>
      <c r="B604" t="s">
        <v>26</v>
      </c>
      <c r="C604">
        <v>2</v>
      </c>
    </row>
    <row r="605" spans="1:3">
      <c r="A605" t="s">
        <v>1331</v>
      </c>
      <c r="B605" t="s">
        <v>26</v>
      </c>
      <c r="C605">
        <v>2</v>
      </c>
    </row>
    <row r="606" spans="1:3">
      <c r="A606" t="s">
        <v>839</v>
      </c>
      <c r="B606" t="s">
        <v>26</v>
      </c>
      <c r="C606">
        <v>1</v>
      </c>
    </row>
    <row r="607" spans="1:3">
      <c r="A607" t="s">
        <v>1332</v>
      </c>
      <c r="B607" t="s">
        <v>26</v>
      </c>
      <c r="C607">
        <v>1</v>
      </c>
    </row>
    <row r="608" spans="1:3">
      <c r="A608" t="s">
        <v>699</v>
      </c>
      <c r="B608" t="s">
        <v>24</v>
      </c>
      <c r="C608">
        <v>11</v>
      </c>
    </row>
    <row r="609" spans="1:3">
      <c r="A609" t="s">
        <v>645</v>
      </c>
      <c r="B609" t="s">
        <v>407</v>
      </c>
      <c r="C609">
        <v>3</v>
      </c>
    </row>
    <row r="610" spans="1:3">
      <c r="A610" t="s">
        <v>1016</v>
      </c>
      <c r="B610" t="s">
        <v>30</v>
      </c>
      <c r="C610">
        <v>6</v>
      </c>
    </row>
    <row r="611" spans="1:3">
      <c r="A611" t="s">
        <v>584</v>
      </c>
      <c r="B611" t="s">
        <v>585</v>
      </c>
      <c r="C611">
        <v>3</v>
      </c>
    </row>
    <row r="612" spans="1:3">
      <c r="A612" t="s">
        <v>1333</v>
      </c>
      <c r="B612" t="s">
        <v>19</v>
      </c>
      <c r="C612">
        <v>3</v>
      </c>
    </row>
    <row r="613" spans="1:3">
      <c r="A613" t="s">
        <v>1334</v>
      </c>
      <c r="B613" t="s">
        <v>16</v>
      </c>
      <c r="C613">
        <v>1</v>
      </c>
    </row>
    <row r="614" spans="1:3">
      <c r="A614" t="s">
        <v>1335</v>
      </c>
      <c r="B614" t="s">
        <v>125</v>
      </c>
      <c r="C614">
        <v>1</v>
      </c>
    </row>
    <row r="615" spans="1:3">
      <c r="A615" t="s">
        <v>1336</v>
      </c>
      <c r="B615" t="s">
        <v>125</v>
      </c>
      <c r="C615">
        <v>3</v>
      </c>
    </row>
    <row r="616" spans="1:3">
      <c r="A616" t="s">
        <v>1337</v>
      </c>
      <c r="B616" t="s">
        <v>34</v>
      </c>
      <c r="C616">
        <v>1</v>
      </c>
    </row>
    <row r="617" spans="1:3">
      <c r="A617" t="s">
        <v>1338</v>
      </c>
      <c r="B617" t="s">
        <v>125</v>
      </c>
      <c r="C617">
        <v>1</v>
      </c>
    </row>
    <row r="618" spans="1:3">
      <c r="A618" t="s">
        <v>593</v>
      </c>
      <c r="B618" t="s">
        <v>19</v>
      </c>
      <c r="C618">
        <v>25</v>
      </c>
    </row>
    <row r="619" spans="1:3">
      <c r="A619" t="s">
        <v>504</v>
      </c>
      <c r="B619" t="s">
        <v>32</v>
      </c>
      <c r="C619">
        <v>3</v>
      </c>
    </row>
    <row r="620" spans="1:3">
      <c r="A620" t="s">
        <v>1339</v>
      </c>
      <c r="B620" t="s">
        <v>138</v>
      </c>
      <c r="C620">
        <v>1</v>
      </c>
    </row>
    <row r="621" spans="1:3">
      <c r="A621" t="s">
        <v>1340</v>
      </c>
      <c r="B621" t="s">
        <v>26</v>
      </c>
      <c r="C621">
        <v>2</v>
      </c>
    </row>
    <row r="622" spans="1:3">
      <c r="A622" t="s">
        <v>238</v>
      </c>
      <c r="B622" t="s">
        <v>61</v>
      </c>
      <c r="C622">
        <v>16</v>
      </c>
    </row>
    <row r="623" spans="1:3">
      <c r="A623" t="s">
        <v>1341</v>
      </c>
      <c r="B623" t="s">
        <v>115</v>
      </c>
      <c r="C623">
        <v>5</v>
      </c>
    </row>
    <row r="624" spans="1:3">
      <c r="A624" t="s">
        <v>147</v>
      </c>
      <c r="B624" t="s">
        <v>131</v>
      </c>
      <c r="C624">
        <v>10</v>
      </c>
    </row>
    <row r="625" spans="1:3">
      <c r="A625" t="s">
        <v>122</v>
      </c>
      <c r="B625" t="s">
        <v>113</v>
      </c>
      <c r="C625">
        <v>13</v>
      </c>
    </row>
    <row r="626" spans="1:3">
      <c r="A626" t="s">
        <v>1342</v>
      </c>
      <c r="B626" t="s">
        <v>16</v>
      </c>
      <c r="C626">
        <v>3</v>
      </c>
    </row>
    <row r="627" spans="1:3">
      <c r="A627" t="s">
        <v>618</v>
      </c>
      <c r="B627" t="s">
        <v>30</v>
      </c>
      <c r="C627">
        <v>12</v>
      </c>
    </row>
    <row r="628" spans="1:3">
      <c r="A628" t="s">
        <v>572</v>
      </c>
      <c r="B628" t="s">
        <v>19</v>
      </c>
      <c r="C628">
        <v>3</v>
      </c>
    </row>
    <row r="629" spans="1:3">
      <c r="A629" t="s">
        <v>793</v>
      </c>
      <c r="B629" t="s">
        <v>131</v>
      </c>
      <c r="C629">
        <v>1</v>
      </c>
    </row>
    <row r="630" spans="1:3">
      <c r="A630" t="s">
        <v>470</v>
      </c>
      <c r="B630" t="s">
        <v>131</v>
      </c>
      <c r="C630">
        <v>1</v>
      </c>
    </row>
    <row r="631" spans="1:3">
      <c r="A631" t="s">
        <v>1343</v>
      </c>
      <c r="B631" t="s">
        <v>22</v>
      </c>
      <c r="C631">
        <v>2</v>
      </c>
    </row>
    <row r="632" spans="1:3">
      <c r="A632" t="s">
        <v>1344</v>
      </c>
      <c r="B632" t="s">
        <v>19</v>
      </c>
      <c r="C632">
        <v>4</v>
      </c>
    </row>
    <row r="633" spans="1:3">
      <c r="A633" t="s">
        <v>1345</v>
      </c>
      <c r="B633" t="s">
        <v>19</v>
      </c>
      <c r="C633">
        <v>1</v>
      </c>
    </row>
    <row r="634" spans="1:3">
      <c r="A634" t="s">
        <v>774</v>
      </c>
      <c r="B634" t="s">
        <v>19</v>
      </c>
      <c r="C634">
        <v>3</v>
      </c>
    </row>
    <row r="635" spans="1:3">
      <c r="A635" t="s">
        <v>1346</v>
      </c>
      <c r="B635" t="s">
        <v>113</v>
      </c>
      <c r="C635">
        <v>7</v>
      </c>
    </row>
    <row r="636" spans="1:3">
      <c r="A636" t="s">
        <v>139</v>
      </c>
      <c r="B636" t="s">
        <v>131</v>
      </c>
      <c r="C636">
        <v>6</v>
      </c>
    </row>
    <row r="637" spans="1:3">
      <c r="A637" t="s">
        <v>728</v>
      </c>
      <c r="B637" t="s">
        <v>16</v>
      </c>
      <c r="C637">
        <v>2</v>
      </c>
    </row>
    <row r="638" spans="1:3">
      <c r="A638" t="s">
        <v>753</v>
      </c>
      <c r="B638" t="s">
        <v>16</v>
      </c>
      <c r="C638">
        <v>2</v>
      </c>
    </row>
    <row r="639" spans="1:3">
      <c r="A639" t="s">
        <v>1347</v>
      </c>
      <c r="B639" t="s">
        <v>16</v>
      </c>
      <c r="C639">
        <v>2</v>
      </c>
    </row>
    <row r="640" spans="1:3">
      <c r="A640" t="s">
        <v>1348</v>
      </c>
      <c r="B640" t="s">
        <v>22</v>
      </c>
      <c r="C640">
        <v>1</v>
      </c>
    </row>
    <row r="641" spans="1:3">
      <c r="A641" t="s">
        <v>1349</v>
      </c>
      <c r="B641" t="s">
        <v>22</v>
      </c>
      <c r="C641">
        <v>1</v>
      </c>
    </row>
    <row r="642" spans="1:3">
      <c r="A642" t="s">
        <v>263</v>
      </c>
      <c r="B642" t="s">
        <v>16</v>
      </c>
      <c r="C642">
        <v>1</v>
      </c>
    </row>
    <row r="643" spans="1:3">
      <c r="A643" t="s">
        <v>204</v>
      </c>
      <c r="B643" t="s">
        <v>16</v>
      </c>
      <c r="C643">
        <v>6</v>
      </c>
    </row>
    <row r="644" spans="1:3">
      <c r="A644" t="s">
        <v>844</v>
      </c>
      <c r="B644" t="s">
        <v>16</v>
      </c>
      <c r="C644">
        <v>1</v>
      </c>
    </row>
    <row r="645" spans="1:3">
      <c r="A645" t="s">
        <v>1350</v>
      </c>
      <c r="B645" t="s">
        <v>24</v>
      </c>
      <c r="C645">
        <v>1</v>
      </c>
    </row>
    <row r="646" spans="1:3">
      <c r="A646" t="s">
        <v>862</v>
      </c>
      <c r="B646" t="s">
        <v>694</v>
      </c>
      <c r="C646">
        <v>2</v>
      </c>
    </row>
    <row r="647" spans="1:3">
      <c r="A647" t="s">
        <v>1351</v>
      </c>
      <c r="B647" t="s">
        <v>34</v>
      </c>
      <c r="C647">
        <v>4</v>
      </c>
    </row>
    <row r="648" spans="1:3">
      <c r="A648" t="s">
        <v>1352</v>
      </c>
      <c r="B648" t="s">
        <v>61</v>
      </c>
      <c r="C648">
        <v>3</v>
      </c>
    </row>
    <row r="649" spans="1:3">
      <c r="A649" t="s">
        <v>264</v>
      </c>
      <c r="B649" t="s">
        <v>16</v>
      </c>
      <c r="C649">
        <v>2</v>
      </c>
    </row>
    <row r="650" spans="1:3">
      <c r="A650" t="s">
        <v>1353</v>
      </c>
      <c r="B650" t="s">
        <v>61</v>
      </c>
      <c r="C650">
        <v>2</v>
      </c>
    </row>
    <row r="651" spans="1:3">
      <c r="A651" t="s">
        <v>949</v>
      </c>
      <c r="B651" t="s">
        <v>34</v>
      </c>
      <c r="C651">
        <v>2</v>
      </c>
    </row>
    <row r="652" spans="1:3">
      <c r="A652" t="s">
        <v>1354</v>
      </c>
      <c r="B652" t="s">
        <v>407</v>
      </c>
      <c r="C652">
        <v>2</v>
      </c>
    </row>
    <row r="653" spans="1:3">
      <c r="A653" t="s">
        <v>1355</v>
      </c>
      <c r="B653" t="s">
        <v>4</v>
      </c>
      <c r="C653">
        <v>6</v>
      </c>
    </row>
    <row r="654" spans="1:3">
      <c r="A654" t="s">
        <v>1356</v>
      </c>
      <c r="B654" t="s">
        <v>16</v>
      </c>
      <c r="C654">
        <v>1</v>
      </c>
    </row>
    <row r="655" spans="1:3">
      <c r="A655" t="s">
        <v>985</v>
      </c>
      <c r="B655" t="s">
        <v>4</v>
      </c>
      <c r="C655">
        <v>1</v>
      </c>
    </row>
    <row r="656" spans="1:3">
      <c r="A656" t="s">
        <v>432</v>
      </c>
      <c r="B656" t="s">
        <v>16</v>
      </c>
      <c r="C656">
        <v>3</v>
      </c>
    </row>
    <row r="657" spans="1:3">
      <c r="A657" t="s">
        <v>1357</v>
      </c>
      <c r="B657" t="s">
        <v>138</v>
      </c>
      <c r="C657">
        <v>1</v>
      </c>
    </row>
    <row r="658" spans="1:3">
      <c r="A658" t="s">
        <v>664</v>
      </c>
      <c r="B658" t="s">
        <v>32</v>
      </c>
      <c r="C658">
        <v>2</v>
      </c>
    </row>
    <row r="659" spans="1:3">
      <c r="A659" t="s">
        <v>1358</v>
      </c>
      <c r="B659" t="s">
        <v>22</v>
      </c>
      <c r="C659">
        <v>1</v>
      </c>
    </row>
    <row r="660" spans="1:3">
      <c r="A660" t="s">
        <v>1359</v>
      </c>
      <c r="B660" t="s">
        <v>319</v>
      </c>
      <c r="C660">
        <v>1</v>
      </c>
    </row>
    <row r="661" spans="1:3">
      <c r="A661" t="s">
        <v>1360</v>
      </c>
      <c r="B661" t="s">
        <v>64</v>
      </c>
      <c r="C661">
        <v>1</v>
      </c>
    </row>
    <row r="662" spans="1:3">
      <c r="A662" t="s">
        <v>1361</v>
      </c>
      <c r="B662" t="s">
        <v>64</v>
      </c>
      <c r="C662">
        <v>1</v>
      </c>
    </row>
    <row r="663" spans="1:3">
      <c r="A663" t="s">
        <v>1362</v>
      </c>
      <c r="B663" t="s">
        <v>30</v>
      </c>
      <c r="C663">
        <v>2</v>
      </c>
    </row>
    <row r="664" spans="1:3">
      <c r="A664" t="s">
        <v>1363</v>
      </c>
      <c r="B664" t="s">
        <v>61</v>
      </c>
      <c r="C664">
        <v>2</v>
      </c>
    </row>
    <row r="665" spans="1:3">
      <c r="A665" t="s">
        <v>1364</v>
      </c>
      <c r="B665" t="s">
        <v>24</v>
      </c>
      <c r="C665">
        <v>2</v>
      </c>
    </row>
    <row r="666" spans="1:3">
      <c r="A666" t="s">
        <v>69</v>
      </c>
      <c r="B666" t="s">
        <v>30</v>
      </c>
      <c r="C666">
        <v>3</v>
      </c>
    </row>
    <row r="667" spans="1:3">
      <c r="A667" t="s">
        <v>1365</v>
      </c>
      <c r="B667" t="s">
        <v>30</v>
      </c>
      <c r="C667">
        <v>4</v>
      </c>
    </row>
    <row r="668" spans="1:3">
      <c r="A668" t="s">
        <v>85</v>
      </c>
      <c r="B668" t="s">
        <v>1073</v>
      </c>
      <c r="C668">
        <v>2</v>
      </c>
    </row>
    <row r="669" spans="1:3">
      <c r="A669" t="s">
        <v>1366</v>
      </c>
      <c r="B669" t="s">
        <v>142</v>
      </c>
      <c r="C669">
        <v>4</v>
      </c>
    </row>
    <row r="670" spans="1:3">
      <c r="A670" t="s">
        <v>1367</v>
      </c>
      <c r="B670" t="s">
        <v>61</v>
      </c>
      <c r="C670">
        <v>3</v>
      </c>
    </row>
    <row r="671" spans="1:3">
      <c r="A671" t="s">
        <v>1291</v>
      </c>
      <c r="B671" t="s">
        <v>30</v>
      </c>
      <c r="C671">
        <v>2</v>
      </c>
    </row>
    <row r="672" spans="1:3">
      <c r="A672" t="s">
        <v>928</v>
      </c>
      <c r="B672" t="s">
        <v>113</v>
      </c>
      <c r="C672">
        <v>12</v>
      </c>
    </row>
    <row r="673" spans="1:3">
      <c r="A673" t="s">
        <v>1292</v>
      </c>
      <c r="B673" t="s">
        <v>22</v>
      </c>
      <c r="C673">
        <v>1</v>
      </c>
    </row>
    <row r="674" spans="1:3">
      <c r="A674" t="s">
        <v>1293</v>
      </c>
      <c r="B674" t="s">
        <v>34</v>
      </c>
      <c r="C674">
        <v>1</v>
      </c>
    </row>
    <row r="675" spans="1:3">
      <c r="A675" t="s">
        <v>1294</v>
      </c>
      <c r="B675" t="s">
        <v>64</v>
      </c>
      <c r="C675">
        <v>1</v>
      </c>
    </row>
    <row r="676" spans="1:3">
      <c r="A676" t="s">
        <v>1295</v>
      </c>
      <c r="B676" t="s">
        <v>16</v>
      </c>
      <c r="C676">
        <v>1</v>
      </c>
    </row>
    <row r="677" spans="1:3">
      <c r="A677" t="s">
        <v>1296</v>
      </c>
      <c r="B677" t="s">
        <v>19</v>
      </c>
      <c r="C677">
        <v>1</v>
      </c>
    </row>
    <row r="678" spans="1:3">
      <c r="A678" t="s">
        <v>739</v>
      </c>
      <c r="B678" t="s">
        <v>22</v>
      </c>
      <c r="C678">
        <v>7</v>
      </c>
    </row>
    <row r="679" spans="1:3">
      <c r="A679" t="s">
        <v>1297</v>
      </c>
      <c r="B679" t="s">
        <v>4</v>
      </c>
      <c r="C679">
        <v>2</v>
      </c>
    </row>
    <row r="680" spans="1:3">
      <c r="A680" t="s">
        <v>1298</v>
      </c>
      <c r="B680" t="s">
        <v>4</v>
      </c>
      <c r="C680">
        <v>1</v>
      </c>
    </row>
    <row r="681" spans="1:3">
      <c r="A681" t="s">
        <v>413</v>
      </c>
      <c r="B681" t="s">
        <v>26</v>
      </c>
      <c r="C681">
        <v>20</v>
      </c>
    </row>
    <row r="682" spans="1:3">
      <c r="A682" t="s">
        <v>785</v>
      </c>
      <c r="B682" t="s">
        <v>61</v>
      </c>
      <c r="C682">
        <v>1</v>
      </c>
    </row>
    <row r="683" spans="1:3">
      <c r="A683" t="s">
        <v>1299</v>
      </c>
      <c r="B683" t="s">
        <v>16</v>
      </c>
      <c r="C683">
        <v>3</v>
      </c>
    </row>
    <row r="684" spans="1:3">
      <c r="A684" t="s">
        <v>23</v>
      </c>
      <c r="B684" t="s">
        <v>22</v>
      </c>
      <c r="C684">
        <v>3</v>
      </c>
    </row>
    <row r="685" spans="1:3">
      <c r="A685" t="s">
        <v>588</v>
      </c>
      <c r="B685" t="s">
        <v>19</v>
      </c>
      <c r="C685">
        <v>1</v>
      </c>
    </row>
    <row r="686" spans="1:3">
      <c r="A686" t="s">
        <v>1300</v>
      </c>
      <c r="B686" t="s">
        <v>61</v>
      </c>
      <c r="C686">
        <v>2</v>
      </c>
    </row>
    <row r="687" spans="1:3">
      <c r="A687" t="s">
        <v>1301</v>
      </c>
      <c r="B687" t="s">
        <v>19</v>
      </c>
      <c r="C687">
        <v>1</v>
      </c>
    </row>
    <row r="688" spans="1:3">
      <c r="A688" t="s">
        <v>586</v>
      </c>
      <c r="B688" t="s">
        <v>19</v>
      </c>
      <c r="C688">
        <v>1</v>
      </c>
    </row>
    <row r="689" spans="1:3">
      <c r="A689" t="s">
        <v>1302</v>
      </c>
      <c r="B689" t="s">
        <v>24</v>
      </c>
      <c r="C689">
        <v>1</v>
      </c>
    </row>
    <row r="690" spans="1:3">
      <c r="A690" t="s">
        <v>43</v>
      </c>
      <c r="B690" t="s">
        <v>19</v>
      </c>
      <c r="C690">
        <v>1</v>
      </c>
    </row>
    <row r="691" spans="1:3">
      <c r="A691" t="s">
        <v>939</v>
      </c>
      <c r="B691" t="s">
        <v>19</v>
      </c>
      <c r="C691">
        <v>1</v>
      </c>
    </row>
    <row r="692" spans="1:3">
      <c r="A692" t="s">
        <v>1303</v>
      </c>
      <c r="B692" t="s">
        <v>19</v>
      </c>
      <c r="C692">
        <v>1</v>
      </c>
    </row>
    <row r="693" spans="1:3">
      <c r="A693" t="s">
        <v>1304</v>
      </c>
      <c r="B693" t="s">
        <v>32</v>
      </c>
      <c r="C693">
        <v>1</v>
      </c>
    </row>
    <row r="694" spans="1:3">
      <c r="A694" t="s">
        <v>589</v>
      </c>
      <c r="B694" t="s">
        <v>19</v>
      </c>
      <c r="C694">
        <v>1</v>
      </c>
    </row>
    <row r="695" spans="1:3">
      <c r="A695" t="s">
        <v>582</v>
      </c>
      <c r="B695" t="s">
        <v>19</v>
      </c>
      <c r="C695">
        <v>2</v>
      </c>
    </row>
    <row r="696" spans="1:3">
      <c r="A696" t="s">
        <v>174</v>
      </c>
      <c r="B696" t="s">
        <v>64</v>
      </c>
      <c r="C696">
        <v>2</v>
      </c>
    </row>
    <row r="697" spans="1:3">
      <c r="A697" t="s">
        <v>1305</v>
      </c>
      <c r="B697" t="s">
        <v>115</v>
      </c>
      <c r="C697">
        <v>2</v>
      </c>
    </row>
    <row r="698" spans="1:3">
      <c r="A698" t="s">
        <v>116</v>
      </c>
      <c r="B698" t="s">
        <v>26</v>
      </c>
      <c r="C698">
        <v>3</v>
      </c>
    </row>
    <row r="699" spans="1:3">
      <c r="A699" t="s">
        <v>1306</v>
      </c>
      <c r="B699" t="s">
        <v>138</v>
      </c>
      <c r="C699">
        <v>1</v>
      </c>
    </row>
    <row r="700" spans="1:3">
      <c r="A700" t="s">
        <v>932</v>
      </c>
      <c r="B700" t="s">
        <v>410</v>
      </c>
      <c r="C700">
        <v>2</v>
      </c>
    </row>
    <row r="701" spans="1:3">
      <c r="A701" t="s">
        <v>169</v>
      </c>
      <c r="B701" t="s">
        <v>30</v>
      </c>
      <c r="C701">
        <v>8</v>
      </c>
    </row>
    <row r="702" spans="1:3">
      <c r="A702" t="s">
        <v>1307</v>
      </c>
      <c r="B702" t="s">
        <v>115</v>
      </c>
      <c r="C702">
        <v>2</v>
      </c>
    </row>
    <row r="703" spans="1:3">
      <c r="A703" t="s">
        <v>352</v>
      </c>
      <c r="B703" t="s">
        <v>26</v>
      </c>
      <c r="C703">
        <v>6</v>
      </c>
    </row>
    <row r="704" spans="1:3">
      <c r="A704" t="s">
        <v>293</v>
      </c>
      <c r="B704" t="s">
        <v>22</v>
      </c>
      <c r="C704">
        <v>3</v>
      </c>
    </row>
    <row r="705" spans="1:3">
      <c r="A705" t="s">
        <v>426</v>
      </c>
      <c r="B705" t="s">
        <v>4</v>
      </c>
      <c r="C705">
        <v>6</v>
      </c>
    </row>
    <row r="706" spans="1:3">
      <c r="A706" t="s">
        <v>433</v>
      </c>
      <c r="B706" t="s">
        <v>26</v>
      </c>
      <c r="C706">
        <v>14</v>
      </c>
    </row>
    <row r="707" spans="1:3">
      <c r="A707" t="s">
        <v>459</v>
      </c>
      <c r="B707" t="s">
        <v>113</v>
      </c>
      <c r="C707">
        <v>3</v>
      </c>
    </row>
    <row r="708" spans="1:3">
      <c r="A708" t="s">
        <v>150</v>
      </c>
      <c r="B708" t="s">
        <v>16</v>
      </c>
      <c r="C708">
        <v>2</v>
      </c>
    </row>
    <row r="709" spans="1:3">
      <c r="A709" t="s">
        <v>1308</v>
      </c>
      <c r="B709" t="s">
        <v>113</v>
      </c>
      <c r="C709">
        <v>1</v>
      </c>
    </row>
    <row r="710" spans="1:3">
      <c r="A710" t="s">
        <v>1309</v>
      </c>
      <c r="B710" t="s">
        <v>4</v>
      </c>
      <c r="C710">
        <v>1</v>
      </c>
    </row>
    <row r="711" spans="1:3">
      <c r="A711" t="s">
        <v>1310</v>
      </c>
      <c r="B711" t="s">
        <v>6</v>
      </c>
      <c r="C711">
        <v>1</v>
      </c>
    </row>
    <row r="712" spans="1:3">
      <c r="A712" t="s">
        <v>362</v>
      </c>
      <c r="B712" t="s">
        <v>125</v>
      </c>
      <c r="C712">
        <v>9</v>
      </c>
    </row>
    <row r="713" spans="1:3">
      <c r="A713" t="s">
        <v>559</v>
      </c>
      <c r="B713" t="s">
        <v>125</v>
      </c>
      <c r="C713">
        <v>3</v>
      </c>
    </row>
    <row r="714" spans="1:3">
      <c r="A714" t="s">
        <v>1311</v>
      </c>
      <c r="B714" t="s">
        <v>125</v>
      </c>
      <c r="C714">
        <v>1</v>
      </c>
    </row>
    <row r="715" spans="1:3">
      <c r="A715" t="s">
        <v>1312</v>
      </c>
      <c r="B715" t="s">
        <v>4</v>
      </c>
      <c r="C715">
        <v>1</v>
      </c>
    </row>
    <row r="716" spans="1:3">
      <c r="A716" t="s">
        <v>81</v>
      </c>
      <c r="B716" t="s">
        <v>64</v>
      </c>
      <c r="C716">
        <v>10</v>
      </c>
    </row>
    <row r="717" spans="1:3">
      <c r="A717" t="s">
        <v>1313</v>
      </c>
      <c r="B717" t="s">
        <v>128</v>
      </c>
      <c r="C717">
        <v>1</v>
      </c>
    </row>
    <row r="718" spans="1:3">
      <c r="A718" t="s">
        <v>21</v>
      </c>
      <c r="B718" t="s">
        <v>19</v>
      </c>
      <c r="C718">
        <v>1</v>
      </c>
    </row>
    <row r="719" spans="1:3">
      <c r="A719" t="s">
        <v>906</v>
      </c>
      <c r="B719" t="s">
        <v>19</v>
      </c>
      <c r="C719">
        <v>1</v>
      </c>
    </row>
    <row r="720" spans="1:3">
      <c r="A720" t="s">
        <v>1314</v>
      </c>
      <c r="B720" t="s">
        <v>128</v>
      </c>
      <c r="C720">
        <v>1</v>
      </c>
    </row>
    <row r="721" spans="1:3">
      <c r="A721" t="s">
        <v>1315</v>
      </c>
      <c r="B721" t="s">
        <v>16</v>
      </c>
      <c r="C721">
        <v>9</v>
      </c>
    </row>
    <row r="722" spans="1:3">
      <c r="A722" t="s">
        <v>492</v>
      </c>
      <c r="B722" t="s">
        <v>26</v>
      </c>
      <c r="C722">
        <v>10</v>
      </c>
    </row>
    <row r="723" spans="1:3">
      <c r="A723" t="s">
        <v>594</v>
      </c>
      <c r="B723" t="s">
        <v>19</v>
      </c>
      <c r="C723">
        <v>11</v>
      </c>
    </row>
    <row r="724" spans="1:3">
      <c r="A724" t="s">
        <v>1316</v>
      </c>
      <c r="B724" t="s">
        <v>16</v>
      </c>
      <c r="C724">
        <v>2</v>
      </c>
    </row>
    <row r="725" spans="1:3">
      <c r="A725" t="s">
        <v>477</v>
      </c>
      <c r="B725" t="s">
        <v>16</v>
      </c>
      <c r="C725">
        <v>4</v>
      </c>
    </row>
    <row r="726" spans="1:3">
      <c r="A726" t="s">
        <v>1317</v>
      </c>
      <c r="B726" t="s">
        <v>128</v>
      </c>
      <c r="C726">
        <v>1</v>
      </c>
    </row>
    <row r="727" spans="1:3">
      <c r="A727" t="s">
        <v>400</v>
      </c>
      <c r="B727" t="s">
        <v>26</v>
      </c>
      <c r="C727">
        <v>2</v>
      </c>
    </row>
    <row r="728" spans="1:3">
      <c r="A728" t="s">
        <v>1318</v>
      </c>
      <c r="B728" t="s">
        <v>26</v>
      </c>
      <c r="C728">
        <v>2</v>
      </c>
    </row>
    <row r="729" spans="1:3">
      <c r="A729" t="s">
        <v>501</v>
      </c>
      <c r="B729" t="s">
        <v>16</v>
      </c>
      <c r="C729">
        <v>12</v>
      </c>
    </row>
    <row r="730" spans="1:3">
      <c r="A730" t="s">
        <v>1319</v>
      </c>
      <c r="B730" t="s">
        <v>16</v>
      </c>
      <c r="C730">
        <v>1</v>
      </c>
    </row>
    <row r="731" spans="1:3">
      <c r="A731" t="s">
        <v>1320</v>
      </c>
      <c r="B731" t="s">
        <v>142</v>
      </c>
      <c r="C731">
        <v>1</v>
      </c>
    </row>
    <row r="732" spans="1:3">
      <c r="A732" t="s">
        <v>1321</v>
      </c>
      <c r="B732" t="s">
        <v>410</v>
      </c>
      <c r="C732">
        <v>1</v>
      </c>
    </row>
    <row r="733" spans="1:3">
      <c r="A733" t="s">
        <v>1322</v>
      </c>
      <c r="B733" t="s">
        <v>22</v>
      </c>
      <c r="C733">
        <v>2</v>
      </c>
    </row>
    <row r="734" spans="1:3">
      <c r="A734" t="s">
        <v>489</v>
      </c>
      <c r="B734" t="s">
        <v>26</v>
      </c>
      <c r="C734">
        <v>2</v>
      </c>
    </row>
    <row r="735" spans="1:3">
      <c r="A735" t="s">
        <v>1323</v>
      </c>
      <c r="B735" t="s">
        <v>24</v>
      </c>
      <c r="C735">
        <v>2</v>
      </c>
    </row>
    <row r="736" spans="1:3">
      <c r="A736" t="s">
        <v>816</v>
      </c>
      <c r="B736" t="s">
        <v>34</v>
      </c>
      <c r="C736">
        <v>3</v>
      </c>
    </row>
    <row r="737" spans="1:3">
      <c r="A737" t="s">
        <v>444</v>
      </c>
      <c r="B737" t="s">
        <v>64</v>
      </c>
      <c r="C737">
        <v>3</v>
      </c>
    </row>
    <row r="738" spans="1:3">
      <c r="A738" t="s">
        <v>626</v>
      </c>
      <c r="B738" t="s">
        <v>34</v>
      </c>
      <c r="C738">
        <v>2</v>
      </c>
    </row>
    <row r="739" spans="1:3">
      <c r="A739" t="s">
        <v>730</v>
      </c>
      <c r="B739" t="s">
        <v>34</v>
      </c>
      <c r="C739">
        <v>3</v>
      </c>
    </row>
    <row r="740" spans="1:3">
      <c r="A740" t="s">
        <v>1324</v>
      </c>
      <c r="B740" t="s">
        <v>138</v>
      </c>
      <c r="C740">
        <v>2</v>
      </c>
    </row>
    <row r="741" spans="1:3">
      <c r="A741" t="s">
        <v>195</v>
      </c>
      <c r="B741" t="s">
        <v>142</v>
      </c>
      <c r="C741">
        <v>7</v>
      </c>
    </row>
    <row r="742" spans="1:3">
      <c r="A742" t="s">
        <v>1325</v>
      </c>
      <c r="B742" t="s">
        <v>30</v>
      </c>
      <c r="C742">
        <v>1</v>
      </c>
    </row>
    <row r="743" spans="1:3">
      <c r="A743" t="s">
        <v>394</v>
      </c>
      <c r="B743" t="s">
        <v>16</v>
      </c>
      <c r="C743">
        <v>11</v>
      </c>
    </row>
    <row r="744" spans="1:3">
      <c r="A744" t="s">
        <v>1326</v>
      </c>
      <c r="B744" t="s">
        <v>125</v>
      </c>
      <c r="C744">
        <v>6</v>
      </c>
    </row>
    <row r="745" spans="1:3">
      <c r="A745" t="s">
        <v>180</v>
      </c>
      <c r="B745" t="s">
        <v>115</v>
      </c>
      <c r="C745">
        <v>9</v>
      </c>
    </row>
    <row r="746" spans="1:3">
      <c r="A746" t="s">
        <v>1327</v>
      </c>
      <c r="B746" t="s">
        <v>115</v>
      </c>
      <c r="C746">
        <v>1</v>
      </c>
    </row>
    <row r="747" spans="1:3">
      <c r="A747" t="s">
        <v>1328</v>
      </c>
      <c r="B747" t="s">
        <v>16</v>
      </c>
      <c r="C747">
        <v>1</v>
      </c>
    </row>
    <row r="748" spans="1:3">
      <c r="A748" t="s">
        <v>568</v>
      </c>
      <c r="B748" t="s">
        <v>22</v>
      </c>
      <c r="C748">
        <v>2</v>
      </c>
    </row>
    <row r="749" spans="1:3">
      <c r="A749" t="s">
        <v>1329</v>
      </c>
      <c r="B749" t="s">
        <v>16</v>
      </c>
      <c r="C749">
        <v>3</v>
      </c>
    </row>
    <row r="750" spans="1:3">
      <c r="A750" t="s">
        <v>455</v>
      </c>
      <c r="B750" t="s">
        <v>16</v>
      </c>
      <c r="C750">
        <v>26</v>
      </c>
    </row>
    <row r="751" spans="1:3">
      <c r="A751" t="s">
        <v>1330</v>
      </c>
      <c r="B751" t="s">
        <v>26</v>
      </c>
      <c r="C751">
        <v>2</v>
      </c>
    </row>
    <row r="752" spans="1:3">
      <c r="A752" t="s">
        <v>1331</v>
      </c>
      <c r="B752" t="s">
        <v>26</v>
      </c>
      <c r="C752">
        <v>2</v>
      </c>
    </row>
    <row r="753" spans="1:3">
      <c r="A753" t="s">
        <v>839</v>
      </c>
      <c r="B753" t="s">
        <v>26</v>
      </c>
      <c r="C753">
        <v>1</v>
      </c>
    </row>
    <row r="754" spans="1:3">
      <c r="A754" t="s">
        <v>1332</v>
      </c>
      <c r="B754" t="s">
        <v>26</v>
      </c>
      <c r="C754">
        <v>1</v>
      </c>
    </row>
    <row r="755" spans="1:3">
      <c r="A755" t="s">
        <v>699</v>
      </c>
      <c r="B755" t="s">
        <v>24</v>
      </c>
      <c r="C755">
        <v>11</v>
      </c>
    </row>
    <row r="756" spans="1:3">
      <c r="A756" t="s">
        <v>645</v>
      </c>
      <c r="B756" t="s">
        <v>407</v>
      </c>
      <c r="C756">
        <v>3</v>
      </c>
    </row>
    <row r="757" spans="1:3">
      <c r="A757" t="s">
        <v>1016</v>
      </c>
      <c r="B757" t="s">
        <v>30</v>
      </c>
      <c r="C757">
        <v>6</v>
      </c>
    </row>
    <row r="758" spans="1:3">
      <c r="A758" t="s">
        <v>584</v>
      </c>
      <c r="B758" t="s">
        <v>585</v>
      </c>
      <c r="C758">
        <v>3</v>
      </c>
    </row>
    <row r="759" spans="1:3">
      <c r="A759" t="s">
        <v>1333</v>
      </c>
      <c r="B759" t="s">
        <v>19</v>
      </c>
      <c r="C759">
        <v>3</v>
      </c>
    </row>
    <row r="760" spans="1:3">
      <c r="A760" t="s">
        <v>1334</v>
      </c>
      <c r="B760" t="s">
        <v>16</v>
      </c>
      <c r="C760">
        <v>1</v>
      </c>
    </row>
    <row r="761" spans="1:3">
      <c r="A761" t="s">
        <v>1335</v>
      </c>
      <c r="B761" t="s">
        <v>125</v>
      </c>
      <c r="C761">
        <v>1</v>
      </c>
    </row>
    <row r="762" spans="1:3">
      <c r="A762" t="s">
        <v>1336</v>
      </c>
      <c r="B762" t="s">
        <v>125</v>
      </c>
      <c r="C762">
        <v>3</v>
      </c>
    </row>
    <row r="763" spans="1:3">
      <c r="A763" t="s">
        <v>1337</v>
      </c>
      <c r="B763" t="s">
        <v>34</v>
      </c>
      <c r="C763">
        <v>1</v>
      </c>
    </row>
    <row r="764" spans="1:3">
      <c r="A764" t="s">
        <v>1338</v>
      </c>
      <c r="B764" t="s">
        <v>125</v>
      </c>
      <c r="C764">
        <v>1</v>
      </c>
    </row>
    <row r="765" spans="1:3">
      <c r="A765" t="s">
        <v>593</v>
      </c>
      <c r="B765" t="s">
        <v>19</v>
      </c>
      <c r="C765">
        <v>25</v>
      </c>
    </row>
    <row r="766" spans="1:3">
      <c r="A766" t="s">
        <v>504</v>
      </c>
      <c r="B766" t="s">
        <v>32</v>
      </c>
      <c r="C766">
        <v>3</v>
      </c>
    </row>
    <row r="767" spans="1:3">
      <c r="A767" t="s">
        <v>1339</v>
      </c>
      <c r="B767" t="s">
        <v>138</v>
      </c>
      <c r="C767">
        <v>1</v>
      </c>
    </row>
    <row r="768" spans="1:3">
      <c r="A768" t="s">
        <v>1340</v>
      </c>
      <c r="B768" t="s">
        <v>26</v>
      </c>
      <c r="C768">
        <v>2</v>
      </c>
    </row>
    <row r="769" spans="1:3">
      <c r="A769" t="s">
        <v>238</v>
      </c>
      <c r="B769" t="s">
        <v>61</v>
      </c>
      <c r="C769">
        <v>16</v>
      </c>
    </row>
    <row r="770" spans="1:3">
      <c r="A770" t="s">
        <v>1341</v>
      </c>
      <c r="B770" t="s">
        <v>115</v>
      </c>
      <c r="C770">
        <v>5</v>
      </c>
    </row>
    <row r="771" spans="1:3">
      <c r="A771" t="s">
        <v>147</v>
      </c>
      <c r="B771" t="s">
        <v>131</v>
      </c>
      <c r="C771">
        <v>10</v>
      </c>
    </row>
    <row r="772" spans="1:3">
      <c r="A772" t="s">
        <v>122</v>
      </c>
      <c r="B772" t="s">
        <v>113</v>
      </c>
      <c r="C772">
        <v>13</v>
      </c>
    </row>
    <row r="773" spans="1:3">
      <c r="A773" t="s">
        <v>1342</v>
      </c>
      <c r="B773" t="s">
        <v>16</v>
      </c>
      <c r="C773">
        <v>3</v>
      </c>
    </row>
    <row r="774" spans="1:3">
      <c r="A774" t="s">
        <v>618</v>
      </c>
      <c r="B774" t="s">
        <v>30</v>
      </c>
      <c r="C774">
        <v>12</v>
      </c>
    </row>
    <row r="775" spans="1:3">
      <c r="A775" t="s">
        <v>572</v>
      </c>
      <c r="B775" t="s">
        <v>19</v>
      </c>
      <c r="C775">
        <v>3</v>
      </c>
    </row>
    <row r="776" spans="1:3">
      <c r="A776" t="s">
        <v>793</v>
      </c>
      <c r="B776" t="s">
        <v>131</v>
      </c>
      <c r="C776">
        <v>1</v>
      </c>
    </row>
    <row r="777" spans="1:3">
      <c r="A777" t="s">
        <v>470</v>
      </c>
      <c r="B777" t="s">
        <v>131</v>
      </c>
      <c r="C777">
        <v>1</v>
      </c>
    </row>
    <row r="778" spans="1:3">
      <c r="A778" t="s">
        <v>1343</v>
      </c>
      <c r="B778" t="s">
        <v>22</v>
      </c>
      <c r="C778">
        <v>2</v>
      </c>
    </row>
    <row r="779" spans="1:3">
      <c r="A779" t="s">
        <v>1344</v>
      </c>
      <c r="B779" t="s">
        <v>19</v>
      </c>
      <c r="C779">
        <v>4</v>
      </c>
    </row>
    <row r="780" spans="1:3">
      <c r="A780" t="s">
        <v>1345</v>
      </c>
      <c r="B780" t="s">
        <v>19</v>
      </c>
      <c r="C780">
        <v>1</v>
      </c>
    </row>
    <row r="781" spans="1:3">
      <c r="A781" t="s">
        <v>774</v>
      </c>
      <c r="B781" t="s">
        <v>19</v>
      </c>
      <c r="C781">
        <v>3</v>
      </c>
    </row>
    <row r="782" spans="1:3">
      <c r="A782" t="s">
        <v>1346</v>
      </c>
      <c r="B782" t="s">
        <v>113</v>
      </c>
      <c r="C782">
        <v>7</v>
      </c>
    </row>
    <row r="783" spans="1:3">
      <c r="A783" t="s">
        <v>139</v>
      </c>
      <c r="B783" t="s">
        <v>131</v>
      </c>
      <c r="C783">
        <v>6</v>
      </c>
    </row>
    <row r="784" spans="1:3">
      <c r="A784" t="s">
        <v>728</v>
      </c>
      <c r="B784" t="s">
        <v>16</v>
      </c>
      <c r="C784">
        <v>2</v>
      </c>
    </row>
    <row r="785" spans="1:3">
      <c r="A785" t="s">
        <v>753</v>
      </c>
      <c r="B785" t="s">
        <v>16</v>
      </c>
      <c r="C785">
        <v>2</v>
      </c>
    </row>
    <row r="786" spans="1:3">
      <c r="A786" t="s">
        <v>1347</v>
      </c>
      <c r="B786" t="s">
        <v>16</v>
      </c>
      <c r="C786">
        <v>2</v>
      </c>
    </row>
    <row r="787" spans="1:3">
      <c r="A787" t="s">
        <v>1348</v>
      </c>
      <c r="B787" t="s">
        <v>22</v>
      </c>
      <c r="C787">
        <v>1</v>
      </c>
    </row>
    <row r="788" spans="1:3">
      <c r="A788" t="s">
        <v>1349</v>
      </c>
      <c r="B788" t="s">
        <v>22</v>
      </c>
      <c r="C788">
        <v>1</v>
      </c>
    </row>
    <row r="789" spans="1:3">
      <c r="A789" t="s">
        <v>263</v>
      </c>
      <c r="B789" t="s">
        <v>16</v>
      </c>
      <c r="C789">
        <v>1</v>
      </c>
    </row>
    <row r="790" spans="1:3">
      <c r="A790" t="s">
        <v>204</v>
      </c>
      <c r="B790" t="s">
        <v>16</v>
      </c>
      <c r="C790">
        <v>6</v>
      </c>
    </row>
    <row r="791" spans="1:3">
      <c r="A791" t="s">
        <v>844</v>
      </c>
      <c r="B791" t="s">
        <v>16</v>
      </c>
      <c r="C791">
        <v>1</v>
      </c>
    </row>
    <row r="792" spans="1:3">
      <c r="A792" t="s">
        <v>1350</v>
      </c>
      <c r="B792" t="s">
        <v>24</v>
      </c>
      <c r="C792">
        <v>1</v>
      </c>
    </row>
    <row r="793" spans="1:3">
      <c r="A793" t="s">
        <v>862</v>
      </c>
      <c r="B793" t="s">
        <v>694</v>
      </c>
      <c r="C793">
        <v>2</v>
      </c>
    </row>
    <row r="794" spans="1:3">
      <c r="A794" t="s">
        <v>1351</v>
      </c>
      <c r="B794" t="s">
        <v>34</v>
      </c>
      <c r="C794">
        <v>4</v>
      </c>
    </row>
    <row r="795" spans="1:3">
      <c r="A795" t="s">
        <v>1352</v>
      </c>
      <c r="B795" t="s">
        <v>61</v>
      </c>
      <c r="C795">
        <v>3</v>
      </c>
    </row>
    <row r="796" spans="1:3">
      <c r="A796" t="s">
        <v>264</v>
      </c>
      <c r="B796" t="s">
        <v>16</v>
      </c>
      <c r="C796">
        <v>2</v>
      </c>
    </row>
    <row r="797" spans="1:3">
      <c r="A797" t="s">
        <v>1353</v>
      </c>
      <c r="B797" t="s">
        <v>61</v>
      </c>
      <c r="C797">
        <v>2</v>
      </c>
    </row>
    <row r="798" spans="1:3">
      <c r="A798" t="s">
        <v>949</v>
      </c>
      <c r="B798" t="s">
        <v>34</v>
      </c>
      <c r="C798">
        <v>2</v>
      </c>
    </row>
    <row r="799" spans="1:3">
      <c r="A799" t="s">
        <v>1354</v>
      </c>
      <c r="B799" t="s">
        <v>407</v>
      </c>
      <c r="C799">
        <v>2</v>
      </c>
    </row>
    <row r="800" spans="1:3">
      <c r="A800" t="s">
        <v>1355</v>
      </c>
      <c r="B800" t="s">
        <v>4</v>
      </c>
      <c r="C800">
        <v>6</v>
      </c>
    </row>
    <row r="801" spans="1:3">
      <c r="A801" t="s">
        <v>1356</v>
      </c>
      <c r="B801" t="s">
        <v>16</v>
      </c>
      <c r="C801">
        <v>1</v>
      </c>
    </row>
    <row r="802" spans="1:3">
      <c r="A802" t="s">
        <v>985</v>
      </c>
      <c r="B802" t="s">
        <v>4</v>
      </c>
      <c r="C802">
        <v>1</v>
      </c>
    </row>
    <row r="803" spans="1:3">
      <c r="A803" t="s">
        <v>432</v>
      </c>
      <c r="B803" t="s">
        <v>16</v>
      </c>
      <c r="C803">
        <v>3</v>
      </c>
    </row>
    <row r="804" spans="1:3">
      <c r="A804" t="s">
        <v>1357</v>
      </c>
      <c r="B804" t="s">
        <v>138</v>
      </c>
      <c r="C804">
        <v>1</v>
      </c>
    </row>
    <row r="805" spans="1:3">
      <c r="A805" t="s">
        <v>664</v>
      </c>
      <c r="B805" t="s">
        <v>32</v>
      </c>
      <c r="C805">
        <v>2</v>
      </c>
    </row>
    <row r="806" spans="1:3">
      <c r="A806" t="s">
        <v>1358</v>
      </c>
      <c r="B806" t="s">
        <v>22</v>
      </c>
      <c r="C806">
        <v>1</v>
      </c>
    </row>
    <row r="807" spans="1:3">
      <c r="A807" t="s">
        <v>1359</v>
      </c>
      <c r="B807" t="s">
        <v>319</v>
      </c>
      <c r="C807">
        <v>1</v>
      </c>
    </row>
    <row r="808" spans="1:3">
      <c r="A808" t="s">
        <v>1360</v>
      </c>
      <c r="B808" t="s">
        <v>64</v>
      </c>
      <c r="C808">
        <v>1</v>
      </c>
    </row>
    <row r="809" spans="1:3">
      <c r="A809" t="s">
        <v>1361</v>
      </c>
      <c r="B809" t="s">
        <v>64</v>
      </c>
      <c r="C809">
        <v>1</v>
      </c>
    </row>
    <row r="810" spans="1:3">
      <c r="A810" t="s">
        <v>1362</v>
      </c>
      <c r="B810" t="s">
        <v>30</v>
      </c>
      <c r="C810">
        <v>2</v>
      </c>
    </row>
    <row r="811" spans="1:3">
      <c r="A811" t="s">
        <v>1363</v>
      </c>
      <c r="B811" t="s">
        <v>61</v>
      </c>
      <c r="C811">
        <v>2</v>
      </c>
    </row>
    <row r="812" spans="1:3">
      <c r="A812" t="s">
        <v>1364</v>
      </c>
      <c r="B812" t="s">
        <v>24</v>
      </c>
      <c r="C812">
        <v>2</v>
      </c>
    </row>
    <row r="813" spans="1:3">
      <c r="A813" t="s">
        <v>69</v>
      </c>
      <c r="B813" t="s">
        <v>30</v>
      </c>
      <c r="C813">
        <v>3</v>
      </c>
    </row>
    <row r="814" spans="1:3">
      <c r="A814" t="s">
        <v>1365</v>
      </c>
      <c r="B814" t="s">
        <v>30</v>
      </c>
      <c r="C814">
        <v>4</v>
      </c>
    </row>
    <row r="815" spans="1:3">
      <c r="A815" t="s">
        <v>85</v>
      </c>
      <c r="B815" t="s">
        <v>1073</v>
      </c>
      <c r="C815">
        <v>2</v>
      </c>
    </row>
    <row r="816" spans="1:3">
      <c r="A816" t="s">
        <v>1366</v>
      </c>
      <c r="B816" t="s">
        <v>142</v>
      </c>
      <c r="C816">
        <v>4</v>
      </c>
    </row>
    <row r="817" spans="1:3">
      <c r="A817" t="s">
        <v>1367</v>
      </c>
      <c r="B817" t="s">
        <v>61</v>
      </c>
      <c r="C817">
        <v>3</v>
      </c>
    </row>
    <row r="818" spans="1:3">
      <c r="A818" t="s">
        <v>575</v>
      </c>
      <c r="B818" t="s">
        <v>118</v>
      </c>
      <c r="C818">
        <v>2</v>
      </c>
    </row>
    <row r="819" spans="1:3">
      <c r="A819" t="s">
        <v>1368</v>
      </c>
      <c r="B819" t="s">
        <v>1073</v>
      </c>
      <c r="C819">
        <v>1</v>
      </c>
    </row>
    <row r="820" spans="1:3">
      <c r="A820" t="s">
        <v>1369</v>
      </c>
      <c r="B820" t="s">
        <v>26</v>
      </c>
      <c r="C820">
        <v>1</v>
      </c>
    </row>
    <row r="821" spans="1:3">
      <c r="A821" t="s">
        <v>580</v>
      </c>
      <c r="B821" t="s">
        <v>128</v>
      </c>
      <c r="C821">
        <v>3</v>
      </c>
    </row>
    <row r="822" spans="1:3">
      <c r="A822" t="s">
        <v>173</v>
      </c>
      <c r="B822" t="s">
        <v>138</v>
      </c>
      <c r="C822">
        <v>2</v>
      </c>
    </row>
    <row r="823" spans="1:3">
      <c r="A823" t="s">
        <v>1370</v>
      </c>
      <c r="B823" t="s">
        <v>125</v>
      </c>
      <c r="C823">
        <v>1</v>
      </c>
    </row>
    <row r="824" spans="1:3">
      <c r="A824" t="s">
        <v>1371</v>
      </c>
      <c r="B824" t="s">
        <v>407</v>
      </c>
      <c r="C824">
        <v>1</v>
      </c>
    </row>
    <row r="825" spans="1:3">
      <c r="A825" t="s">
        <v>1372</v>
      </c>
      <c r="B825" t="s">
        <v>61</v>
      </c>
      <c r="C825">
        <v>1</v>
      </c>
    </row>
    <row r="826" spans="1:3">
      <c r="A826" t="s">
        <v>1373</v>
      </c>
      <c r="B826" t="s">
        <v>61</v>
      </c>
      <c r="C826">
        <v>1</v>
      </c>
    </row>
    <row r="827" spans="1:3">
      <c r="A827" t="s">
        <v>1374</v>
      </c>
      <c r="B827" t="s">
        <v>61</v>
      </c>
      <c r="C827">
        <v>1</v>
      </c>
    </row>
    <row r="828" spans="1:3">
      <c r="A828" t="s">
        <v>1375</v>
      </c>
      <c r="B828" t="s">
        <v>24</v>
      </c>
      <c r="C828">
        <v>1</v>
      </c>
    </row>
    <row r="829" spans="1:3">
      <c r="A829" t="s">
        <v>187</v>
      </c>
      <c r="B829" t="s">
        <v>16</v>
      </c>
      <c r="C829">
        <v>3</v>
      </c>
    </row>
    <row r="830" spans="1:3">
      <c r="A830" t="s">
        <v>1376</v>
      </c>
      <c r="B830" t="s">
        <v>407</v>
      </c>
      <c r="C830">
        <v>1</v>
      </c>
    </row>
    <row r="831" spans="1:3">
      <c r="A831" t="s">
        <v>1377</v>
      </c>
      <c r="B831" t="s">
        <v>34</v>
      </c>
      <c r="C831">
        <v>3</v>
      </c>
    </row>
    <row r="832" spans="1:3">
      <c r="A832" t="s">
        <v>1378</v>
      </c>
      <c r="B832" t="s">
        <v>24</v>
      </c>
      <c r="C832">
        <v>8</v>
      </c>
    </row>
    <row r="833" spans="1:3">
      <c r="A833" t="s">
        <v>680</v>
      </c>
      <c r="B833" t="s">
        <v>26</v>
      </c>
      <c r="C833">
        <v>3</v>
      </c>
    </row>
    <row r="834" spans="1:3">
      <c r="A834" t="s">
        <v>1379</v>
      </c>
      <c r="B834" t="s">
        <v>26</v>
      </c>
      <c r="C834">
        <v>1</v>
      </c>
    </row>
    <row r="835" spans="1:3">
      <c r="A835" t="s">
        <v>366</v>
      </c>
      <c r="B835" t="s">
        <v>64</v>
      </c>
      <c r="C835">
        <v>5</v>
      </c>
    </row>
    <row r="836" spans="1:3">
      <c r="A836" t="s">
        <v>1380</v>
      </c>
      <c r="B836" t="s">
        <v>16</v>
      </c>
      <c r="C836">
        <v>6</v>
      </c>
    </row>
    <row r="837" spans="1:3">
      <c r="A837" t="s">
        <v>1381</v>
      </c>
      <c r="B837" t="s">
        <v>64</v>
      </c>
      <c r="C837">
        <v>3</v>
      </c>
    </row>
    <row r="838" spans="1:3">
      <c r="A838" t="s">
        <v>312</v>
      </c>
      <c r="B838" t="s">
        <v>16</v>
      </c>
      <c r="C838">
        <v>2</v>
      </c>
    </row>
    <row r="839" spans="1:3">
      <c r="A839" t="s">
        <v>1382</v>
      </c>
      <c r="B839" t="s">
        <v>128</v>
      </c>
      <c r="C839">
        <v>7</v>
      </c>
    </row>
    <row r="840" spans="1:3">
      <c r="A840" t="s">
        <v>1383</v>
      </c>
      <c r="B840" t="s">
        <v>64</v>
      </c>
      <c r="C840">
        <v>8</v>
      </c>
    </row>
    <row r="841" spans="1:3">
      <c r="A841" t="s">
        <v>380</v>
      </c>
      <c r="B841" t="s">
        <v>30</v>
      </c>
      <c r="C841">
        <v>4</v>
      </c>
    </row>
    <row r="842" spans="1:3">
      <c r="A842" t="s">
        <v>1384</v>
      </c>
      <c r="B842" t="s">
        <v>131</v>
      </c>
      <c r="C842">
        <v>1</v>
      </c>
    </row>
    <row r="843" spans="1:3">
      <c r="A843" t="s">
        <v>1385</v>
      </c>
      <c r="B843" t="s">
        <v>16</v>
      </c>
      <c r="C843">
        <v>1</v>
      </c>
    </row>
    <row r="844" spans="1:3">
      <c r="A844" t="s">
        <v>343</v>
      </c>
      <c r="B844" t="s">
        <v>16</v>
      </c>
      <c r="C844">
        <v>3</v>
      </c>
    </row>
    <row r="845" spans="1:3">
      <c r="A845" t="s">
        <v>1386</v>
      </c>
      <c r="B845" t="s">
        <v>64</v>
      </c>
      <c r="C845">
        <v>7</v>
      </c>
    </row>
    <row r="846" spans="1:3">
      <c r="A846" t="s">
        <v>1387</v>
      </c>
      <c r="B846" t="s">
        <v>34</v>
      </c>
      <c r="C846">
        <v>6</v>
      </c>
    </row>
    <row r="847" spans="1:3">
      <c r="A847" t="s">
        <v>1388</v>
      </c>
      <c r="B847" t="s">
        <v>61</v>
      </c>
      <c r="C847">
        <v>1</v>
      </c>
    </row>
    <row r="848" spans="1:3">
      <c r="A848" t="s">
        <v>324</v>
      </c>
      <c r="B848" t="s">
        <v>34</v>
      </c>
      <c r="C848">
        <v>8</v>
      </c>
    </row>
    <row r="849" spans="1:3">
      <c r="A849" t="s">
        <v>1035</v>
      </c>
      <c r="B849" t="s">
        <v>19</v>
      </c>
      <c r="C849">
        <v>1</v>
      </c>
    </row>
    <row r="850" spans="1:3">
      <c r="A850" t="s">
        <v>1389</v>
      </c>
      <c r="B850" t="s">
        <v>4</v>
      </c>
      <c r="C850">
        <v>2</v>
      </c>
    </row>
    <row r="851" spans="1:3">
      <c r="A851" t="s">
        <v>838</v>
      </c>
      <c r="B851" t="s">
        <v>138</v>
      </c>
      <c r="C851">
        <v>2</v>
      </c>
    </row>
    <row r="852" spans="1:3">
      <c r="A852" t="s">
        <v>1390</v>
      </c>
      <c r="B852" t="s">
        <v>16</v>
      </c>
      <c r="C852">
        <v>2</v>
      </c>
    </row>
    <row r="853" spans="1:3">
      <c r="A853" t="s">
        <v>639</v>
      </c>
      <c r="B853" t="s">
        <v>138</v>
      </c>
      <c r="C853">
        <v>3</v>
      </c>
    </row>
    <row r="854" spans="1:3">
      <c r="A854" t="s">
        <v>891</v>
      </c>
      <c r="B854" t="s">
        <v>30</v>
      </c>
      <c r="C854">
        <v>2</v>
      </c>
    </row>
    <row r="855" spans="1:3">
      <c r="A855" t="s">
        <v>1391</v>
      </c>
      <c r="B855" t="s">
        <v>30</v>
      </c>
      <c r="C855">
        <v>3</v>
      </c>
    </row>
    <row r="856" spans="1:3">
      <c r="A856" t="s">
        <v>1392</v>
      </c>
      <c r="B856" t="s">
        <v>113</v>
      </c>
      <c r="C856">
        <v>2</v>
      </c>
    </row>
    <row r="857" spans="1:3">
      <c r="A857" t="s">
        <v>673</v>
      </c>
      <c r="B857" t="s">
        <v>113</v>
      </c>
      <c r="C857">
        <v>2</v>
      </c>
    </row>
    <row r="858" spans="1:3">
      <c r="A858" t="s">
        <v>706</v>
      </c>
      <c r="B858" t="s">
        <v>113</v>
      </c>
      <c r="C858">
        <v>1</v>
      </c>
    </row>
    <row r="859" spans="1:3">
      <c r="A859" t="s">
        <v>771</v>
      </c>
      <c r="B859" t="s">
        <v>113</v>
      </c>
      <c r="C859">
        <v>2</v>
      </c>
    </row>
    <row r="860" spans="1:3">
      <c r="A860" t="s">
        <v>78</v>
      </c>
      <c r="B860" t="s">
        <v>16</v>
      </c>
      <c r="C860">
        <v>1</v>
      </c>
    </row>
    <row r="861" spans="1:3">
      <c r="A861" t="s">
        <v>716</v>
      </c>
      <c r="B861" t="s">
        <v>26</v>
      </c>
      <c r="C861">
        <v>1</v>
      </c>
    </row>
    <row r="862" spans="1:3">
      <c r="A862" t="s">
        <v>452</v>
      </c>
      <c r="B862" t="s">
        <v>125</v>
      </c>
      <c r="C862">
        <v>2</v>
      </c>
    </row>
    <row r="863" spans="1:3">
      <c r="A863" t="s">
        <v>1393</v>
      </c>
      <c r="B863" t="s">
        <v>125</v>
      </c>
      <c r="C863">
        <v>1</v>
      </c>
    </row>
    <row r="864" spans="1:3">
      <c r="A864" t="s">
        <v>690</v>
      </c>
      <c r="B864" t="s">
        <v>561</v>
      </c>
      <c r="C864">
        <v>1</v>
      </c>
    </row>
    <row r="865" spans="1:3">
      <c r="A865" t="s">
        <v>259</v>
      </c>
      <c r="B865" t="s">
        <v>19</v>
      </c>
      <c r="C865">
        <v>3</v>
      </c>
    </row>
    <row r="866" spans="1:3">
      <c r="A866" t="s">
        <v>1394</v>
      </c>
      <c r="B866" t="s">
        <v>125</v>
      </c>
      <c r="C866">
        <v>1</v>
      </c>
    </row>
    <row r="867" spans="1:3">
      <c r="A867" t="s">
        <v>1395</v>
      </c>
      <c r="B867" t="s">
        <v>561</v>
      </c>
      <c r="C867">
        <v>1</v>
      </c>
    </row>
    <row r="868" spans="1:3">
      <c r="A868" t="s">
        <v>883</v>
      </c>
      <c r="B868" t="s">
        <v>64</v>
      </c>
      <c r="C868">
        <v>1</v>
      </c>
    </row>
    <row r="869" spans="1:3">
      <c r="A869" t="s">
        <v>701</v>
      </c>
      <c r="B869" t="s">
        <v>128</v>
      </c>
      <c r="C869">
        <v>1</v>
      </c>
    </row>
    <row r="870" spans="1:3">
      <c r="A870" t="s">
        <v>119</v>
      </c>
      <c r="B870" t="s">
        <v>16</v>
      </c>
      <c r="C870">
        <v>16</v>
      </c>
    </row>
    <row r="871" spans="1:3">
      <c r="A871" t="s">
        <v>925</v>
      </c>
      <c r="B871" t="s">
        <v>125</v>
      </c>
      <c r="C871">
        <v>2</v>
      </c>
    </row>
    <row r="872" spans="1:3">
      <c r="A872" t="s">
        <v>286</v>
      </c>
      <c r="B872" t="s">
        <v>567</v>
      </c>
      <c r="C872">
        <v>6</v>
      </c>
    </row>
    <row r="873" spans="1:3">
      <c r="A873" t="s">
        <v>1396</v>
      </c>
      <c r="B873" t="s">
        <v>30</v>
      </c>
      <c r="C873">
        <v>1</v>
      </c>
    </row>
    <row r="874" spans="1:3">
      <c r="A874" t="s">
        <v>186</v>
      </c>
      <c r="B874" t="s">
        <v>34</v>
      </c>
      <c r="C874">
        <v>3</v>
      </c>
    </row>
    <row r="875" spans="1:3">
      <c r="A875" t="s">
        <v>1397</v>
      </c>
      <c r="B875" t="s">
        <v>34</v>
      </c>
      <c r="C875">
        <v>1</v>
      </c>
    </row>
    <row r="876" spans="1:3">
      <c r="A876" t="s">
        <v>1398</v>
      </c>
      <c r="B876" t="s">
        <v>19</v>
      </c>
      <c r="C876">
        <v>11</v>
      </c>
    </row>
    <row r="877" spans="1:3">
      <c r="A877" t="s">
        <v>493</v>
      </c>
      <c r="B877" t="s">
        <v>410</v>
      </c>
      <c r="C877">
        <v>4</v>
      </c>
    </row>
    <row r="878" spans="1:3">
      <c r="A878" t="s">
        <v>1399</v>
      </c>
      <c r="B878" t="s">
        <v>16</v>
      </c>
      <c r="C878">
        <v>2</v>
      </c>
    </row>
    <row r="879" spans="1:3">
      <c r="A879" t="s">
        <v>1400</v>
      </c>
      <c r="B879" t="s">
        <v>30</v>
      </c>
      <c r="C879">
        <v>1</v>
      </c>
    </row>
    <row r="880" spans="1:3">
      <c r="A880" t="s">
        <v>1401</v>
      </c>
      <c r="B880" t="s">
        <v>16</v>
      </c>
      <c r="C880">
        <v>1</v>
      </c>
    </row>
    <row r="881" spans="1:3">
      <c r="A881" t="s">
        <v>1402</v>
      </c>
      <c r="B881" t="s">
        <v>142</v>
      </c>
      <c r="C881">
        <v>1</v>
      </c>
    </row>
    <row r="882" spans="1:3">
      <c r="A882" t="s">
        <v>1403</v>
      </c>
      <c r="B882" t="s">
        <v>272</v>
      </c>
      <c r="C882">
        <v>1</v>
      </c>
    </row>
    <row r="883" spans="1:3">
      <c r="A883" t="s">
        <v>714</v>
      </c>
      <c r="B883" t="s">
        <v>32</v>
      </c>
      <c r="C883">
        <v>2</v>
      </c>
    </row>
    <row r="884" spans="1:3">
      <c r="A884" t="s">
        <v>1404</v>
      </c>
      <c r="B884" t="s">
        <v>16</v>
      </c>
      <c r="C884">
        <v>1</v>
      </c>
    </row>
    <row r="885" spans="1:3">
      <c r="A885" t="s">
        <v>1405</v>
      </c>
      <c r="B885" t="s">
        <v>125</v>
      </c>
      <c r="C885">
        <v>1</v>
      </c>
    </row>
    <row r="886" spans="1:3">
      <c r="A886" t="s">
        <v>1406</v>
      </c>
      <c r="B886" t="s">
        <v>30</v>
      </c>
      <c r="C886">
        <v>1</v>
      </c>
    </row>
    <row r="887" spans="1:3">
      <c r="A887" t="s">
        <v>1407</v>
      </c>
      <c r="B887" t="s">
        <v>19</v>
      </c>
      <c r="C887">
        <v>2</v>
      </c>
    </row>
    <row r="888" spans="1:3">
      <c r="A888" t="s">
        <v>1408</v>
      </c>
      <c r="B888" t="s">
        <v>19</v>
      </c>
      <c r="C888">
        <v>1</v>
      </c>
    </row>
    <row r="889" spans="1:3">
      <c r="A889" t="s">
        <v>1409</v>
      </c>
      <c r="B889" t="s">
        <v>61</v>
      </c>
      <c r="C889">
        <v>3</v>
      </c>
    </row>
    <row r="890" spans="1:3">
      <c r="A890" t="s">
        <v>806</v>
      </c>
      <c r="B890" t="s">
        <v>64</v>
      </c>
      <c r="C890">
        <v>1</v>
      </c>
    </row>
    <row r="891" spans="1:3">
      <c r="A891" t="s">
        <v>283</v>
      </c>
      <c r="B891" t="s">
        <v>19</v>
      </c>
      <c r="C891">
        <v>1</v>
      </c>
    </row>
    <row r="892" spans="1:3">
      <c r="A892" t="s">
        <v>1410</v>
      </c>
      <c r="B892" t="s">
        <v>319</v>
      </c>
      <c r="C892">
        <v>1</v>
      </c>
    </row>
    <row r="893" spans="1:3">
      <c r="A893" t="s">
        <v>1411</v>
      </c>
      <c r="B893" t="s">
        <v>319</v>
      </c>
      <c r="C893">
        <v>1</v>
      </c>
    </row>
    <row r="894" spans="1:3">
      <c r="A894" t="s">
        <v>1412</v>
      </c>
      <c r="B894" t="s">
        <v>64</v>
      </c>
      <c r="C894">
        <v>1</v>
      </c>
    </row>
    <row r="895" spans="1:3">
      <c r="A895" t="s">
        <v>1413</v>
      </c>
      <c r="B895" t="s">
        <v>16</v>
      </c>
      <c r="C895">
        <v>3</v>
      </c>
    </row>
    <row r="896" spans="1:3">
      <c r="A896" t="s">
        <v>1414</v>
      </c>
      <c r="B896" t="s">
        <v>16</v>
      </c>
      <c r="C896">
        <v>2</v>
      </c>
    </row>
    <row r="897" spans="1:3">
      <c r="A897" t="s">
        <v>1415</v>
      </c>
      <c r="B897" t="s">
        <v>64</v>
      </c>
      <c r="C897">
        <v>2</v>
      </c>
    </row>
    <row r="898" spans="1:3">
      <c r="A898" t="s">
        <v>1416</v>
      </c>
      <c r="B898" t="s">
        <v>6</v>
      </c>
      <c r="C898">
        <v>2</v>
      </c>
    </row>
    <row r="899" spans="1:3">
      <c r="A899" t="s">
        <v>1417</v>
      </c>
      <c r="B899" t="s">
        <v>64</v>
      </c>
      <c r="C899">
        <v>2</v>
      </c>
    </row>
    <row r="900" spans="1:3">
      <c r="A900" t="s">
        <v>1418</v>
      </c>
      <c r="B900" t="s">
        <v>34</v>
      </c>
      <c r="C900">
        <v>4</v>
      </c>
    </row>
    <row r="901" spans="1:3">
      <c r="A901" t="s">
        <v>1419</v>
      </c>
      <c r="B901" t="s">
        <v>115</v>
      </c>
      <c r="C901">
        <v>1</v>
      </c>
    </row>
    <row r="902" spans="1:3">
      <c r="A902" t="s">
        <v>1420</v>
      </c>
      <c r="B902" t="s">
        <v>4</v>
      </c>
      <c r="C902">
        <v>1</v>
      </c>
    </row>
    <row r="903" spans="1:3">
      <c r="A903" t="s">
        <v>650</v>
      </c>
      <c r="B903" t="s">
        <v>16</v>
      </c>
      <c r="C903">
        <v>1</v>
      </c>
    </row>
    <row r="904" spans="1:3">
      <c r="A904" t="s">
        <v>15</v>
      </c>
      <c r="B904" t="s">
        <v>16</v>
      </c>
      <c r="C904">
        <v>1</v>
      </c>
    </row>
    <row r="905" spans="1:3">
      <c r="A905" t="s">
        <v>1421</v>
      </c>
      <c r="B905" t="s">
        <v>64</v>
      </c>
      <c r="C905">
        <v>1</v>
      </c>
    </row>
    <row r="906" spans="1:3">
      <c r="A906" t="s">
        <v>746</v>
      </c>
      <c r="B906" t="s">
        <v>64</v>
      </c>
      <c r="C906">
        <v>1</v>
      </c>
    </row>
    <row r="907" spans="1:3">
      <c r="A907" t="s">
        <v>184</v>
      </c>
      <c r="B907" t="s">
        <v>113</v>
      </c>
      <c r="C907">
        <v>2</v>
      </c>
    </row>
    <row r="908" spans="1:3">
      <c r="A908" t="s">
        <v>1422</v>
      </c>
      <c r="B908" t="s">
        <v>16</v>
      </c>
      <c r="C908">
        <v>1</v>
      </c>
    </row>
    <row r="909" spans="1:3">
      <c r="A909" t="s">
        <v>1423</v>
      </c>
      <c r="B909" t="s">
        <v>4</v>
      </c>
      <c r="C909">
        <v>2</v>
      </c>
    </row>
    <row r="910" spans="1:3">
      <c r="A910" t="s">
        <v>736</v>
      </c>
      <c r="B910" t="s">
        <v>4</v>
      </c>
      <c r="C910">
        <v>7</v>
      </c>
    </row>
    <row r="911" spans="1:3">
      <c r="A911" t="s">
        <v>188</v>
      </c>
      <c r="B911" t="s">
        <v>113</v>
      </c>
      <c r="C911">
        <v>1</v>
      </c>
    </row>
    <row r="912" spans="1:3">
      <c r="A912" t="s">
        <v>912</v>
      </c>
      <c r="B912" t="s">
        <v>16</v>
      </c>
      <c r="C912">
        <v>2</v>
      </c>
    </row>
    <row r="913" spans="1:3">
      <c r="A913" t="s">
        <v>1424</v>
      </c>
      <c r="B913" t="s">
        <v>34</v>
      </c>
      <c r="C913">
        <v>2</v>
      </c>
    </row>
    <row r="914" spans="1:3">
      <c r="A914" t="s">
        <v>1425</v>
      </c>
      <c r="B914" t="s">
        <v>30</v>
      </c>
      <c r="C914">
        <v>1</v>
      </c>
    </row>
    <row r="915" spans="1:3">
      <c r="A915" t="s">
        <v>1426</v>
      </c>
      <c r="B915" t="s">
        <v>16</v>
      </c>
      <c r="C915">
        <v>1</v>
      </c>
    </row>
    <row r="916" spans="1:3">
      <c r="A916" t="s">
        <v>1427</v>
      </c>
      <c r="B916" t="s">
        <v>131</v>
      </c>
      <c r="C916">
        <v>1</v>
      </c>
    </row>
    <row r="917" spans="1:3">
      <c r="A917" t="s">
        <v>1428</v>
      </c>
      <c r="B917" t="s">
        <v>34</v>
      </c>
      <c r="C917">
        <v>2</v>
      </c>
    </row>
    <row r="918" spans="1:3">
      <c r="A918" t="s">
        <v>548</v>
      </c>
      <c r="B918" t="s">
        <v>61</v>
      </c>
      <c r="C918">
        <v>7</v>
      </c>
    </row>
    <row r="919" spans="1:3">
      <c r="A919" t="s">
        <v>1429</v>
      </c>
      <c r="B919" t="s">
        <v>32</v>
      </c>
      <c r="C919">
        <v>2</v>
      </c>
    </row>
    <row r="920" spans="1:3">
      <c r="A920" t="s">
        <v>203</v>
      </c>
      <c r="B920" t="s">
        <v>30</v>
      </c>
      <c r="C920">
        <v>6</v>
      </c>
    </row>
    <row r="921" spans="1:3">
      <c r="A921" t="s">
        <v>1430</v>
      </c>
      <c r="B921" t="s">
        <v>61</v>
      </c>
      <c r="C921">
        <v>2</v>
      </c>
    </row>
    <row r="922" spans="1:3">
      <c r="A922" t="s">
        <v>1431</v>
      </c>
      <c r="B922" t="s">
        <v>61</v>
      </c>
      <c r="C922">
        <v>3</v>
      </c>
    </row>
    <row r="923" spans="1:3">
      <c r="A923" t="s">
        <v>247</v>
      </c>
      <c r="B923" t="s">
        <v>61</v>
      </c>
      <c r="C923">
        <v>3</v>
      </c>
    </row>
    <row r="924" spans="1:3">
      <c r="A924" t="s">
        <v>382</v>
      </c>
      <c r="B924" t="s">
        <v>61</v>
      </c>
      <c r="C924">
        <v>4</v>
      </c>
    </row>
    <row r="925" spans="1:3">
      <c r="A925" t="s">
        <v>1432</v>
      </c>
      <c r="B925" t="s">
        <v>61</v>
      </c>
      <c r="C925">
        <v>2</v>
      </c>
    </row>
    <row r="926" spans="1:3">
      <c r="A926" t="s">
        <v>1433</v>
      </c>
      <c r="B926" t="s">
        <v>61</v>
      </c>
      <c r="C926">
        <v>2</v>
      </c>
    </row>
    <row r="927" spans="1:3">
      <c r="A927" t="s">
        <v>1434</v>
      </c>
      <c r="B927" t="s">
        <v>61</v>
      </c>
      <c r="C927">
        <v>2</v>
      </c>
    </row>
    <row r="928" spans="1:3">
      <c r="A928" t="s">
        <v>1435</v>
      </c>
      <c r="B928" t="s">
        <v>32</v>
      </c>
      <c r="C928">
        <v>2</v>
      </c>
    </row>
    <row r="929" spans="1:3">
      <c r="A929" t="s">
        <v>1436</v>
      </c>
      <c r="B929" t="s">
        <v>61</v>
      </c>
      <c r="C929">
        <v>2</v>
      </c>
    </row>
    <row r="930" spans="1:3">
      <c r="A930" t="s">
        <v>621</v>
      </c>
      <c r="B930" t="s">
        <v>64</v>
      </c>
      <c r="C930">
        <v>2</v>
      </c>
    </row>
    <row r="931" spans="1:3">
      <c r="A931" t="s">
        <v>160</v>
      </c>
      <c r="B931" t="s">
        <v>142</v>
      </c>
      <c r="C931">
        <v>1</v>
      </c>
    </row>
    <row r="932" spans="1:3">
      <c r="A932" t="s">
        <v>1437</v>
      </c>
      <c r="B932" t="s">
        <v>131</v>
      </c>
      <c r="C932">
        <v>1</v>
      </c>
    </row>
    <row r="933" spans="1:3">
      <c r="A933" t="s">
        <v>1438</v>
      </c>
      <c r="B933" t="s">
        <v>26</v>
      </c>
      <c r="C933">
        <v>3</v>
      </c>
    </row>
    <row r="934" spans="1:3">
      <c r="A934" t="s">
        <v>399</v>
      </c>
      <c r="B934" t="s">
        <v>4</v>
      </c>
      <c r="C934">
        <v>2</v>
      </c>
    </row>
    <row r="935" spans="1:3">
      <c r="A935" t="s">
        <v>990</v>
      </c>
      <c r="B935" t="s">
        <v>16</v>
      </c>
      <c r="C935">
        <v>2</v>
      </c>
    </row>
    <row r="936" spans="1:3">
      <c r="A936" t="s">
        <v>1439</v>
      </c>
      <c r="B936" t="s">
        <v>22</v>
      </c>
      <c r="C936">
        <v>1</v>
      </c>
    </row>
    <row r="937" spans="1:3">
      <c r="A937" t="s">
        <v>1440</v>
      </c>
      <c r="B937" t="s">
        <v>64</v>
      </c>
      <c r="C937">
        <v>1</v>
      </c>
    </row>
    <row r="938" spans="1:3">
      <c r="A938" t="s">
        <v>308</v>
      </c>
      <c r="B938" t="s">
        <v>128</v>
      </c>
      <c r="C938">
        <v>1</v>
      </c>
    </row>
    <row r="939" spans="1:3">
      <c r="A939" t="s">
        <v>1441</v>
      </c>
      <c r="B939" t="s">
        <v>16</v>
      </c>
      <c r="C939">
        <v>2</v>
      </c>
    </row>
    <row r="940" spans="1:3">
      <c r="A940" t="s">
        <v>1442</v>
      </c>
      <c r="B940" t="s">
        <v>407</v>
      </c>
      <c r="C940">
        <v>1</v>
      </c>
    </row>
    <row r="941" spans="1:3">
      <c r="A941" t="s">
        <v>1443</v>
      </c>
      <c r="B941" t="s">
        <v>410</v>
      </c>
      <c r="C941">
        <v>1</v>
      </c>
    </row>
    <row r="942" spans="1:3">
      <c r="A942" t="s">
        <v>1444</v>
      </c>
      <c r="B942" t="s">
        <v>125</v>
      </c>
      <c r="C942">
        <v>1</v>
      </c>
    </row>
    <row r="943" spans="1:3">
      <c r="A943" t="s">
        <v>609</v>
      </c>
      <c r="B943" t="s">
        <v>19</v>
      </c>
      <c r="C943">
        <v>2</v>
      </c>
    </row>
    <row r="944" spans="1:3">
      <c r="A944" t="s">
        <v>936</v>
      </c>
      <c r="B944" t="s">
        <v>16</v>
      </c>
      <c r="C944">
        <v>4</v>
      </c>
    </row>
    <row r="945" spans="1:3">
      <c r="A945" t="s">
        <v>955</v>
      </c>
      <c r="B945" t="s">
        <v>16</v>
      </c>
      <c r="C945">
        <v>1</v>
      </c>
    </row>
    <row r="946" spans="1:3">
      <c r="A946" t="s">
        <v>709</v>
      </c>
      <c r="B946" t="s">
        <v>16</v>
      </c>
      <c r="C946">
        <v>2</v>
      </c>
    </row>
    <row r="947" spans="1:3">
      <c r="A947" t="s">
        <v>1445</v>
      </c>
      <c r="B947" t="s">
        <v>19</v>
      </c>
      <c r="C947">
        <v>4</v>
      </c>
    </row>
    <row r="948" spans="1:3">
      <c r="A948" t="s">
        <v>1446</v>
      </c>
      <c r="B948" t="s">
        <v>34</v>
      </c>
      <c r="C948">
        <v>1</v>
      </c>
    </row>
    <row r="949" spans="1:3">
      <c r="A949" t="s">
        <v>497</v>
      </c>
      <c r="B949" t="s">
        <v>4</v>
      </c>
      <c r="C949">
        <v>7</v>
      </c>
    </row>
    <row r="950" spans="1:3">
      <c r="A950" t="s">
        <v>1447</v>
      </c>
      <c r="B950" t="s">
        <v>19</v>
      </c>
      <c r="C950">
        <v>2</v>
      </c>
    </row>
    <row r="951" spans="1:3">
      <c r="A951" t="s">
        <v>1448</v>
      </c>
      <c r="B951" t="s">
        <v>34</v>
      </c>
      <c r="C951">
        <v>1</v>
      </c>
    </row>
    <row r="952" spans="1:3">
      <c r="A952" t="s">
        <v>1449</v>
      </c>
      <c r="B952" t="s">
        <v>125</v>
      </c>
      <c r="C952">
        <v>1</v>
      </c>
    </row>
    <row r="953" spans="1:3">
      <c r="A953" t="s">
        <v>202</v>
      </c>
      <c r="B953" t="s">
        <v>16</v>
      </c>
      <c r="C953">
        <v>7</v>
      </c>
    </row>
    <row r="954" spans="1:3">
      <c r="A954" t="s">
        <v>764</v>
      </c>
      <c r="B954" t="s">
        <v>138</v>
      </c>
      <c r="C954">
        <v>1</v>
      </c>
    </row>
    <row r="955" spans="1:3">
      <c r="A955" t="s">
        <v>334</v>
      </c>
      <c r="B955" t="s">
        <v>138</v>
      </c>
      <c r="C955">
        <v>3</v>
      </c>
    </row>
    <row r="956" spans="1:3">
      <c r="A956" t="s">
        <v>1450</v>
      </c>
      <c r="B956" t="s">
        <v>22</v>
      </c>
      <c r="C956">
        <v>2</v>
      </c>
    </row>
    <row r="957" spans="1:3">
      <c r="A957" t="s">
        <v>395</v>
      </c>
      <c r="B957" t="s">
        <v>16</v>
      </c>
      <c r="C957">
        <v>4</v>
      </c>
    </row>
    <row r="958" spans="1:3">
      <c r="A958" t="s">
        <v>1451</v>
      </c>
      <c r="B958" t="s">
        <v>30</v>
      </c>
      <c r="C958">
        <v>1</v>
      </c>
    </row>
    <row r="959" spans="1:3">
      <c r="A959" t="s">
        <v>1452</v>
      </c>
      <c r="B959" t="s">
        <v>30</v>
      </c>
      <c r="C959">
        <v>1</v>
      </c>
    </row>
    <row r="960" spans="1:3">
      <c r="A960" t="s">
        <v>969</v>
      </c>
      <c r="B960" t="s">
        <v>34</v>
      </c>
      <c r="C960">
        <v>4</v>
      </c>
    </row>
    <row r="961" spans="1:3">
      <c r="A961" t="s">
        <v>384</v>
      </c>
      <c r="B961" t="s">
        <v>61</v>
      </c>
      <c r="C961">
        <v>5</v>
      </c>
    </row>
    <row r="962" spans="1:3">
      <c r="A962" t="s">
        <v>1453</v>
      </c>
      <c r="B962" t="s">
        <v>26</v>
      </c>
      <c r="C962">
        <v>1</v>
      </c>
    </row>
    <row r="963" spans="1:3">
      <c r="A963" t="s">
        <v>397</v>
      </c>
      <c r="B963" t="s">
        <v>34</v>
      </c>
      <c r="C963">
        <v>2</v>
      </c>
    </row>
    <row r="964" spans="1:3">
      <c r="A964" t="s">
        <v>1454</v>
      </c>
      <c r="B964" t="s">
        <v>64</v>
      </c>
      <c r="C964">
        <v>1</v>
      </c>
    </row>
    <row r="965" spans="1:3">
      <c r="A965" t="s">
        <v>1455</v>
      </c>
      <c r="B965" t="s">
        <v>30</v>
      </c>
      <c r="C965">
        <v>1</v>
      </c>
    </row>
    <row r="966" spans="1:3">
      <c r="A966" t="s">
        <v>525</v>
      </c>
      <c r="B966" t="s">
        <v>30</v>
      </c>
      <c r="C966">
        <v>1</v>
      </c>
    </row>
    <row r="967" spans="1:3">
      <c r="A967" t="s">
        <v>153</v>
      </c>
      <c r="B967" t="s">
        <v>30</v>
      </c>
      <c r="C967">
        <v>21</v>
      </c>
    </row>
    <row r="968" spans="1:3">
      <c r="A968" t="s">
        <v>311</v>
      </c>
      <c r="B968" t="s">
        <v>64</v>
      </c>
      <c r="C968">
        <v>2</v>
      </c>
    </row>
    <row r="969" spans="1:3">
      <c r="A969" t="s">
        <v>1456</v>
      </c>
      <c r="B969" t="s">
        <v>16</v>
      </c>
      <c r="C969">
        <v>1</v>
      </c>
    </row>
    <row r="970" spans="1:3">
      <c r="A970" t="s">
        <v>377</v>
      </c>
      <c r="B970" t="s">
        <v>61</v>
      </c>
      <c r="C970">
        <v>1</v>
      </c>
    </row>
    <row r="971" spans="1:3">
      <c r="A971" t="s">
        <v>1457</v>
      </c>
      <c r="B971" t="s">
        <v>61</v>
      </c>
      <c r="C971">
        <v>1</v>
      </c>
    </row>
    <row r="972" spans="1:3">
      <c r="A972" t="s">
        <v>36</v>
      </c>
      <c r="B972" t="s">
        <v>32</v>
      </c>
      <c r="C972">
        <v>3</v>
      </c>
    </row>
    <row r="973" spans="1:3">
      <c r="A973" t="s">
        <v>867</v>
      </c>
      <c r="B973" t="s">
        <v>32</v>
      </c>
      <c r="C973">
        <v>1</v>
      </c>
    </row>
    <row r="974" spans="1:3">
      <c r="A974" t="s">
        <v>1458</v>
      </c>
      <c r="B974" t="s">
        <v>24</v>
      </c>
      <c r="C974">
        <v>1</v>
      </c>
    </row>
    <row r="975" spans="1:3">
      <c r="A975" t="s">
        <v>1459</v>
      </c>
      <c r="B975" t="s">
        <v>61</v>
      </c>
      <c r="C975">
        <v>1</v>
      </c>
    </row>
    <row r="976" spans="1:3">
      <c r="A976" t="s">
        <v>323</v>
      </c>
      <c r="B976" t="s">
        <v>64</v>
      </c>
      <c r="C976">
        <v>1</v>
      </c>
    </row>
    <row r="977" spans="1:3">
      <c r="A977" t="s">
        <v>1460</v>
      </c>
      <c r="B977" t="s">
        <v>115</v>
      </c>
      <c r="C977">
        <v>2</v>
      </c>
    </row>
    <row r="978" spans="1:3">
      <c r="A978" t="s">
        <v>223</v>
      </c>
      <c r="B978" t="s">
        <v>34</v>
      </c>
      <c r="C978">
        <v>2</v>
      </c>
    </row>
    <row r="979" spans="1:3">
      <c r="A979" t="s">
        <v>1461</v>
      </c>
      <c r="B979" t="s">
        <v>16</v>
      </c>
      <c r="C979">
        <v>1</v>
      </c>
    </row>
    <row r="980" spans="1:3">
      <c r="A980" t="s">
        <v>1462</v>
      </c>
      <c r="B980" t="s">
        <v>26</v>
      </c>
      <c r="C980">
        <v>1</v>
      </c>
    </row>
    <row r="981" spans="1:3">
      <c r="A981" t="s">
        <v>723</v>
      </c>
      <c r="B981" t="s">
        <v>142</v>
      </c>
      <c r="C981">
        <v>1</v>
      </c>
    </row>
    <row r="982" spans="1:3">
      <c r="A982" t="s">
        <v>1463</v>
      </c>
      <c r="B982" t="s">
        <v>26</v>
      </c>
      <c r="C982">
        <v>1</v>
      </c>
    </row>
    <row r="983" spans="1:3">
      <c r="A983" t="s">
        <v>1464</v>
      </c>
      <c r="B983" t="s">
        <v>115</v>
      </c>
      <c r="C983">
        <v>1</v>
      </c>
    </row>
    <row r="984" spans="1:3">
      <c r="A984" t="s">
        <v>1465</v>
      </c>
      <c r="B984" t="s">
        <v>64</v>
      </c>
      <c r="C984">
        <v>2</v>
      </c>
    </row>
    <row r="985" spans="1:3">
      <c r="A985" t="s">
        <v>1466</v>
      </c>
      <c r="B985" t="s">
        <v>34</v>
      </c>
      <c r="C985">
        <v>1</v>
      </c>
    </row>
    <row r="986" spans="1:3">
      <c r="A986" t="s">
        <v>935</v>
      </c>
      <c r="B986" t="s">
        <v>32</v>
      </c>
      <c r="C986">
        <v>2</v>
      </c>
    </row>
    <row r="987" spans="1:3">
      <c r="A987" t="s">
        <v>1467</v>
      </c>
      <c r="B987" t="s">
        <v>125</v>
      </c>
      <c r="C987">
        <v>3</v>
      </c>
    </row>
    <row r="988" spans="1:3">
      <c r="A988" t="s">
        <v>1468</v>
      </c>
      <c r="B988" t="s">
        <v>125</v>
      </c>
      <c r="C988">
        <v>2</v>
      </c>
    </row>
    <row r="989" spans="1:3">
      <c r="A989" t="s">
        <v>509</v>
      </c>
      <c r="B989" t="s">
        <v>125</v>
      </c>
      <c r="C989">
        <v>3</v>
      </c>
    </row>
    <row r="990" spans="1:3">
      <c r="A990" t="s">
        <v>1469</v>
      </c>
      <c r="B990" t="s">
        <v>128</v>
      </c>
      <c r="C990">
        <v>2</v>
      </c>
    </row>
    <row r="991" spans="1:3">
      <c r="A991" t="s">
        <v>166</v>
      </c>
      <c r="B991" t="s">
        <v>131</v>
      </c>
      <c r="C991">
        <v>9</v>
      </c>
    </row>
    <row r="992" spans="1:3">
      <c r="A992" t="s">
        <v>748</v>
      </c>
      <c r="B992" t="s">
        <v>131</v>
      </c>
      <c r="C992">
        <v>6</v>
      </c>
    </row>
    <row r="993" spans="1:3">
      <c r="A993" t="s">
        <v>185</v>
      </c>
      <c r="B993" t="s">
        <v>113</v>
      </c>
      <c r="C993">
        <v>5</v>
      </c>
    </row>
    <row r="994" spans="1:3">
      <c r="A994" t="s">
        <v>1470</v>
      </c>
      <c r="B994" t="s">
        <v>131</v>
      </c>
      <c r="C994">
        <v>6</v>
      </c>
    </row>
    <row r="995" spans="1:3">
      <c r="A995" t="s">
        <v>749</v>
      </c>
      <c r="B995" t="s">
        <v>4</v>
      </c>
      <c r="C995">
        <v>2</v>
      </c>
    </row>
    <row r="996" spans="1:3">
      <c r="A996" t="s">
        <v>1471</v>
      </c>
      <c r="B996" t="s">
        <v>24</v>
      </c>
      <c r="C996">
        <v>1</v>
      </c>
    </row>
    <row r="997" spans="1:3">
      <c r="A997" t="s">
        <v>899</v>
      </c>
      <c r="B997" t="s">
        <v>134</v>
      </c>
      <c r="C997">
        <v>2</v>
      </c>
    </row>
    <row r="998" spans="1:3">
      <c r="A998" t="s">
        <v>304</v>
      </c>
      <c r="B998" t="s">
        <v>125</v>
      </c>
      <c r="C998">
        <v>1</v>
      </c>
    </row>
    <row r="999" spans="1:3">
      <c r="A999" t="s">
        <v>1472</v>
      </c>
      <c r="B999" t="s">
        <v>125</v>
      </c>
      <c r="C999">
        <v>1</v>
      </c>
    </row>
    <row r="1000" spans="1:3">
      <c r="A1000" t="s">
        <v>1473</v>
      </c>
      <c r="B1000" t="s">
        <v>34</v>
      </c>
      <c r="C1000">
        <v>2</v>
      </c>
    </row>
    <row r="1001" spans="1:3">
      <c r="A1001" t="s">
        <v>1474</v>
      </c>
      <c r="B1001" t="s">
        <v>34</v>
      </c>
      <c r="C1001">
        <v>4</v>
      </c>
    </row>
    <row r="1002" spans="1:3">
      <c r="A1002" t="s">
        <v>1475</v>
      </c>
      <c r="B1002" t="s">
        <v>131</v>
      </c>
      <c r="C1002">
        <v>1</v>
      </c>
    </row>
    <row r="1003" spans="1:3">
      <c r="A1003" t="s">
        <v>957</v>
      </c>
      <c r="B1003" t="s">
        <v>24</v>
      </c>
      <c r="C1003">
        <v>1</v>
      </c>
    </row>
    <row r="1004" spans="1:3">
      <c r="A1004" t="s">
        <v>1476</v>
      </c>
      <c r="B1004" t="s">
        <v>61</v>
      </c>
      <c r="C1004">
        <v>1</v>
      </c>
    </row>
    <row r="1005" spans="1:3">
      <c r="A1005" t="s">
        <v>1477</v>
      </c>
      <c r="B1005" t="s">
        <v>26</v>
      </c>
      <c r="C1005">
        <v>1</v>
      </c>
    </row>
    <row r="1006" spans="1:3">
      <c r="A1006" t="s">
        <v>875</v>
      </c>
      <c r="B1006" t="s">
        <v>22</v>
      </c>
      <c r="C1006">
        <v>1</v>
      </c>
    </row>
    <row r="1007" spans="1:3">
      <c r="A1007" t="s">
        <v>383</v>
      </c>
      <c r="B1007" t="s">
        <v>34</v>
      </c>
      <c r="C1007">
        <v>2</v>
      </c>
    </row>
    <row r="1008" spans="1:3">
      <c r="A1008" t="s">
        <v>1478</v>
      </c>
      <c r="B1008" t="s">
        <v>34</v>
      </c>
      <c r="C1008">
        <v>1</v>
      </c>
    </row>
    <row r="1009" spans="1:3">
      <c r="A1009" t="s">
        <v>1479</v>
      </c>
      <c r="B1009" t="s">
        <v>125</v>
      </c>
      <c r="C1009">
        <v>1</v>
      </c>
    </row>
    <row r="1010" spans="1:3">
      <c r="A1010" t="s">
        <v>967</v>
      </c>
      <c r="B1010" t="s">
        <v>22</v>
      </c>
      <c r="C1010">
        <v>1</v>
      </c>
    </row>
    <row r="1011" spans="1:3">
      <c r="A1011" t="s">
        <v>1480</v>
      </c>
      <c r="B1011" t="s">
        <v>22</v>
      </c>
      <c r="C1011">
        <v>1</v>
      </c>
    </row>
    <row r="1012" spans="1:3">
      <c r="A1012" t="s">
        <v>1481</v>
      </c>
      <c r="B1012" t="s">
        <v>16</v>
      </c>
      <c r="C1012">
        <v>2</v>
      </c>
    </row>
    <row r="1013" spans="1:3">
      <c r="A1013" t="s">
        <v>1482</v>
      </c>
      <c r="B1013" t="s">
        <v>16</v>
      </c>
      <c r="C1013">
        <v>1</v>
      </c>
    </row>
    <row r="1014" spans="1:3">
      <c r="A1014" t="s">
        <v>1483</v>
      </c>
      <c r="B1014" t="s">
        <v>125</v>
      </c>
      <c r="C1014">
        <v>1</v>
      </c>
    </row>
    <row r="1015" spans="1:3">
      <c r="A1015" t="s">
        <v>1484</v>
      </c>
      <c r="B1015" t="s">
        <v>26</v>
      </c>
      <c r="C1015">
        <v>1</v>
      </c>
    </row>
    <row r="1016" spans="1:3">
      <c r="A1016" t="s">
        <v>779</v>
      </c>
      <c r="B1016" t="s">
        <v>115</v>
      </c>
      <c r="C1016">
        <v>4</v>
      </c>
    </row>
    <row r="1017" spans="1:3">
      <c r="A1017" t="s">
        <v>1485</v>
      </c>
      <c r="B1017" t="s">
        <v>115</v>
      </c>
      <c r="C1017">
        <v>1</v>
      </c>
    </row>
    <row r="1018" spans="1:3">
      <c r="A1018" t="s">
        <v>1486</v>
      </c>
      <c r="B1018" t="s">
        <v>115</v>
      </c>
      <c r="C1018">
        <v>1</v>
      </c>
    </row>
    <row r="1019" spans="1:3">
      <c r="A1019" t="s">
        <v>1487</v>
      </c>
      <c r="B1019" t="s">
        <v>24</v>
      </c>
      <c r="C1019">
        <v>1</v>
      </c>
    </row>
    <row r="1020" spans="1:3">
      <c r="A1020" t="s">
        <v>1488</v>
      </c>
      <c r="B1020" t="s">
        <v>16</v>
      </c>
      <c r="C1020">
        <v>1</v>
      </c>
    </row>
    <row r="1021" spans="1:3">
      <c r="A1021" t="s">
        <v>1489</v>
      </c>
      <c r="B1021" t="s">
        <v>19</v>
      </c>
      <c r="C1021">
        <v>1</v>
      </c>
    </row>
    <row r="1022" spans="1:3">
      <c r="A1022" t="s">
        <v>754</v>
      </c>
      <c r="B1022" t="s">
        <v>24</v>
      </c>
      <c r="C1022">
        <v>2</v>
      </c>
    </row>
    <row r="1023" spans="1:3">
      <c r="A1023" t="s">
        <v>1490</v>
      </c>
      <c r="B1023" t="s">
        <v>115</v>
      </c>
      <c r="C1023">
        <v>1</v>
      </c>
    </row>
    <row r="1024" spans="1:3">
      <c r="A1024" t="s">
        <v>1491</v>
      </c>
      <c r="B1024" t="s">
        <v>410</v>
      </c>
      <c r="C1024">
        <v>1</v>
      </c>
    </row>
    <row r="1025" spans="1:3">
      <c r="A1025" t="s">
        <v>1492</v>
      </c>
      <c r="B1025" t="s">
        <v>410</v>
      </c>
      <c r="C1025">
        <v>1</v>
      </c>
    </row>
    <row r="1026" spans="1:3">
      <c r="A1026" t="s">
        <v>751</v>
      </c>
      <c r="B1026" t="s">
        <v>30</v>
      </c>
      <c r="C1026">
        <v>3</v>
      </c>
    </row>
    <row r="1027" spans="1:3">
      <c r="A1027" t="s">
        <v>258</v>
      </c>
      <c r="B1027" t="s">
        <v>24</v>
      </c>
      <c r="C1027">
        <v>1</v>
      </c>
    </row>
    <row r="1028" spans="1:3">
      <c r="A1028" t="s">
        <v>1493</v>
      </c>
      <c r="B1028" t="s">
        <v>115</v>
      </c>
      <c r="C1028">
        <v>1</v>
      </c>
    </row>
    <row r="1029" spans="1:3">
      <c r="A1029" t="s">
        <v>1494</v>
      </c>
      <c r="B1029" t="s">
        <v>22</v>
      </c>
      <c r="C1029">
        <v>2</v>
      </c>
    </row>
    <row r="1030" spans="1:3">
      <c r="A1030" t="s">
        <v>1495</v>
      </c>
      <c r="B1030" t="s">
        <v>115</v>
      </c>
      <c r="C1030">
        <v>1</v>
      </c>
    </row>
    <row r="1031" spans="1:3">
      <c r="A1031" t="s">
        <v>1044</v>
      </c>
      <c r="B1031" t="s">
        <v>26</v>
      </c>
      <c r="C1031">
        <v>4</v>
      </c>
    </row>
    <row r="1032" spans="1:3">
      <c r="A1032" t="s">
        <v>1496</v>
      </c>
      <c r="B1032" t="s">
        <v>19</v>
      </c>
      <c r="C1032">
        <v>1</v>
      </c>
    </row>
    <row r="1033" spans="1:3">
      <c r="A1033" t="s">
        <v>947</v>
      </c>
      <c r="B1033" t="s">
        <v>24</v>
      </c>
      <c r="C1033">
        <v>2</v>
      </c>
    </row>
    <row r="1034" spans="1:3">
      <c r="A1034" t="s">
        <v>1497</v>
      </c>
      <c r="B1034" t="s">
        <v>24</v>
      </c>
      <c r="C1034">
        <v>1</v>
      </c>
    </row>
    <row r="1035" spans="1:3">
      <c r="A1035" t="s">
        <v>1498</v>
      </c>
      <c r="B1035" t="s">
        <v>16</v>
      </c>
      <c r="C1035">
        <v>1</v>
      </c>
    </row>
    <row r="1036" spans="1:3">
      <c r="A1036" t="s">
        <v>1499</v>
      </c>
      <c r="B1036" t="s">
        <v>19</v>
      </c>
      <c r="C1036">
        <v>1</v>
      </c>
    </row>
    <row r="1037" spans="1:3">
      <c r="A1037" t="s">
        <v>1500</v>
      </c>
      <c r="B1037" t="s">
        <v>34</v>
      </c>
      <c r="C1037">
        <v>1</v>
      </c>
    </row>
    <row r="1038" spans="1:3">
      <c r="A1038" t="s">
        <v>1501</v>
      </c>
      <c r="B1038" t="s">
        <v>34</v>
      </c>
      <c r="C1038">
        <v>1</v>
      </c>
    </row>
    <row r="1039" spans="1:3">
      <c r="A1039" t="s">
        <v>1502</v>
      </c>
      <c r="B1039" t="s">
        <v>30</v>
      </c>
      <c r="C1039">
        <v>1</v>
      </c>
    </row>
    <row r="1040" spans="1:3">
      <c r="A1040" t="s">
        <v>1503</v>
      </c>
      <c r="B1040" t="s">
        <v>19</v>
      </c>
      <c r="C1040">
        <v>1</v>
      </c>
    </row>
    <row r="1041" spans="1:3">
      <c r="A1041" t="s">
        <v>205</v>
      </c>
      <c r="B1041" t="s">
        <v>30</v>
      </c>
      <c r="C1041">
        <v>1</v>
      </c>
    </row>
    <row r="1042" spans="1:3">
      <c r="A1042" t="s">
        <v>1504</v>
      </c>
      <c r="B1042" t="s">
        <v>34</v>
      </c>
      <c r="C1042">
        <v>1</v>
      </c>
    </row>
    <row r="1043" spans="1:3">
      <c r="A1043" t="s">
        <v>1505</v>
      </c>
      <c r="B1043" t="s">
        <v>24</v>
      </c>
      <c r="C1043">
        <v>1</v>
      </c>
    </row>
    <row r="1044" spans="1:3">
      <c r="A1044" t="s">
        <v>1506</v>
      </c>
      <c r="B1044" t="s">
        <v>22</v>
      </c>
      <c r="C1044">
        <v>2</v>
      </c>
    </row>
    <row r="1045" spans="1:3">
      <c r="A1045" t="s">
        <v>1507</v>
      </c>
      <c r="B1045" t="s">
        <v>16</v>
      </c>
      <c r="C1045">
        <v>1</v>
      </c>
    </row>
    <row r="1046" spans="1:3">
      <c r="A1046" t="s">
        <v>1508</v>
      </c>
      <c r="B1046" t="s">
        <v>24</v>
      </c>
      <c r="C1046">
        <v>1</v>
      </c>
    </row>
    <row r="1047" spans="1:3">
      <c r="A1047" t="s">
        <v>1509</v>
      </c>
      <c r="B1047" t="s">
        <v>128</v>
      </c>
      <c r="C1047">
        <v>1</v>
      </c>
    </row>
    <row r="1048" spans="1:3">
      <c r="A1048" t="s">
        <v>1510</v>
      </c>
      <c r="B1048" t="s">
        <v>19</v>
      </c>
      <c r="C1048">
        <v>1</v>
      </c>
    </row>
    <row r="1049" spans="1:3">
      <c r="A1049" t="s">
        <v>29</v>
      </c>
      <c r="B1049" t="s">
        <v>24</v>
      </c>
      <c r="C1049">
        <v>1</v>
      </c>
    </row>
    <row r="1050" spans="1:3">
      <c r="A1050" t="s">
        <v>1511</v>
      </c>
      <c r="B1050" t="s">
        <v>24</v>
      </c>
      <c r="C1050">
        <v>1</v>
      </c>
    </row>
    <row r="1051" spans="1:3">
      <c r="A1051" t="s">
        <v>1512</v>
      </c>
      <c r="B1051" t="s">
        <v>34</v>
      </c>
      <c r="C1051">
        <v>1</v>
      </c>
    </row>
    <row r="1052" spans="1:3">
      <c r="A1052" t="s">
        <v>239</v>
      </c>
      <c r="B1052" t="s">
        <v>131</v>
      </c>
      <c r="C1052">
        <v>2</v>
      </c>
    </row>
    <row r="1053" spans="1:3">
      <c r="A1053" t="s">
        <v>1513</v>
      </c>
      <c r="B1053" t="s">
        <v>131</v>
      </c>
      <c r="C1053">
        <v>2</v>
      </c>
    </row>
    <row r="1054" spans="1:3">
      <c r="A1054" t="s">
        <v>1514</v>
      </c>
      <c r="B1054" t="s">
        <v>131</v>
      </c>
      <c r="C1054">
        <v>1</v>
      </c>
    </row>
    <row r="1055" spans="1:3">
      <c r="A1055" t="s">
        <v>1515</v>
      </c>
      <c r="B1055" t="s">
        <v>64</v>
      </c>
      <c r="C1055">
        <v>3</v>
      </c>
    </row>
    <row r="1056" spans="1:3">
      <c r="A1056" t="s">
        <v>702</v>
      </c>
      <c r="B1056" t="s">
        <v>125</v>
      </c>
      <c r="C1056">
        <v>1</v>
      </c>
    </row>
    <row r="1057" spans="1:3">
      <c r="A1057" t="s">
        <v>1516</v>
      </c>
      <c r="B1057" t="s">
        <v>319</v>
      </c>
      <c r="C1057">
        <v>1</v>
      </c>
    </row>
    <row r="1058" spans="1:3">
      <c r="A1058" t="s">
        <v>1517</v>
      </c>
      <c r="B1058" t="s">
        <v>24</v>
      </c>
      <c r="C1058">
        <v>3</v>
      </c>
    </row>
    <row r="1059" spans="1:3">
      <c r="A1059" t="s">
        <v>1518</v>
      </c>
      <c r="B1059" t="s">
        <v>22</v>
      </c>
      <c r="C1059">
        <v>1</v>
      </c>
    </row>
    <row r="1060" spans="1:3">
      <c r="A1060" t="s">
        <v>961</v>
      </c>
      <c r="B1060" t="s">
        <v>16</v>
      </c>
      <c r="C1060">
        <v>1</v>
      </c>
    </row>
    <row r="1061" spans="1:3">
      <c r="A1061" t="s">
        <v>1519</v>
      </c>
      <c r="B1061" t="s">
        <v>113</v>
      </c>
      <c r="C1061">
        <v>1</v>
      </c>
    </row>
    <row r="1062" spans="1:3">
      <c r="A1062" t="s">
        <v>864</v>
      </c>
      <c r="B1062" t="s">
        <v>407</v>
      </c>
      <c r="C1062">
        <v>1</v>
      </c>
    </row>
    <row r="1063" spans="1:3">
      <c r="A1063" t="s">
        <v>1520</v>
      </c>
      <c r="B1063" t="s">
        <v>407</v>
      </c>
      <c r="C1063">
        <v>2</v>
      </c>
    </row>
    <row r="1064" spans="1:3">
      <c r="A1064" t="s">
        <v>1521</v>
      </c>
      <c r="B1064" t="s">
        <v>115</v>
      </c>
      <c r="C1064">
        <v>1</v>
      </c>
    </row>
    <row r="1065" spans="1:3">
      <c r="A1065" t="s">
        <v>893</v>
      </c>
      <c r="B1065" t="s">
        <v>24</v>
      </c>
      <c r="C1065">
        <v>2</v>
      </c>
    </row>
    <row r="1066" spans="1:3">
      <c r="A1066" t="s">
        <v>1522</v>
      </c>
      <c r="B1066" t="s">
        <v>4</v>
      </c>
      <c r="C1066">
        <v>1</v>
      </c>
    </row>
    <row r="1067" spans="1:3">
      <c r="A1067" t="s">
        <v>1523</v>
      </c>
      <c r="B1067" t="s">
        <v>16</v>
      </c>
      <c r="C1067">
        <v>1</v>
      </c>
    </row>
    <row r="1068" spans="1:3">
      <c r="A1068" t="s">
        <v>634</v>
      </c>
      <c r="B1068" t="s">
        <v>4</v>
      </c>
      <c r="C1068">
        <v>2</v>
      </c>
    </row>
    <row r="1069" spans="1:3">
      <c r="A1069" t="s">
        <v>1524</v>
      </c>
      <c r="B1069" t="s">
        <v>4</v>
      </c>
      <c r="C1069">
        <v>1</v>
      </c>
    </row>
    <row r="1070" spans="1:3">
      <c r="A1070" t="s">
        <v>363</v>
      </c>
      <c r="B1070" t="s">
        <v>64</v>
      </c>
      <c r="C1070">
        <v>1</v>
      </c>
    </row>
    <row r="1071" spans="1:3">
      <c r="A1071" t="s">
        <v>1525</v>
      </c>
      <c r="B1071" t="s">
        <v>16</v>
      </c>
      <c r="C1071">
        <v>1</v>
      </c>
    </row>
    <row r="1072" spans="1:3">
      <c r="A1072" t="s">
        <v>1526</v>
      </c>
      <c r="B1072" t="s">
        <v>4</v>
      </c>
      <c r="C1072">
        <v>1</v>
      </c>
    </row>
    <row r="1073" spans="1:3">
      <c r="A1073" t="s">
        <v>1527</v>
      </c>
      <c r="B1073" t="s">
        <v>138</v>
      </c>
      <c r="C1073">
        <v>2</v>
      </c>
    </row>
    <row r="1074" spans="1:3">
      <c r="A1074" t="s">
        <v>1528</v>
      </c>
      <c r="B1074" t="s">
        <v>30</v>
      </c>
      <c r="C1074">
        <v>1</v>
      </c>
    </row>
    <row r="1075" spans="1:3">
      <c r="A1075" t="s">
        <v>1529</v>
      </c>
      <c r="B1075" t="s">
        <v>30</v>
      </c>
      <c r="C1075">
        <v>1</v>
      </c>
    </row>
    <row r="1076" spans="1:3">
      <c r="A1076" t="s">
        <v>770</v>
      </c>
      <c r="B1076" t="s">
        <v>131</v>
      </c>
      <c r="C1076">
        <v>1</v>
      </c>
    </row>
    <row r="1077" spans="1:3">
      <c r="A1077" t="s">
        <v>1530</v>
      </c>
      <c r="B1077" t="s">
        <v>34</v>
      </c>
      <c r="C1077">
        <v>2</v>
      </c>
    </row>
    <row r="1078" spans="1:3">
      <c r="A1078" t="s">
        <v>1531</v>
      </c>
      <c r="B1078" t="s">
        <v>30</v>
      </c>
      <c r="C1078">
        <v>1</v>
      </c>
    </row>
    <row r="1079" spans="1:3">
      <c r="A1079" t="s">
        <v>1532</v>
      </c>
      <c r="B1079" t="s">
        <v>30</v>
      </c>
      <c r="C1079">
        <v>1</v>
      </c>
    </row>
    <row r="1080" spans="1:3">
      <c r="A1080" t="s">
        <v>457</v>
      </c>
      <c r="B1080" t="s">
        <v>30</v>
      </c>
      <c r="C1080">
        <v>2</v>
      </c>
    </row>
    <row r="1081" spans="1:3">
      <c r="A1081" t="s">
        <v>1533</v>
      </c>
      <c r="B1081" t="s">
        <v>125</v>
      </c>
      <c r="C1081">
        <v>1</v>
      </c>
    </row>
    <row r="1082" spans="1:3">
      <c r="A1082" t="s">
        <v>1534</v>
      </c>
      <c r="B1082" t="s">
        <v>125</v>
      </c>
      <c r="C1082">
        <v>1</v>
      </c>
    </row>
    <row r="1083" spans="1:3">
      <c r="A1083" t="s">
        <v>1535</v>
      </c>
      <c r="B1083" t="s">
        <v>113</v>
      </c>
      <c r="C1083">
        <v>1</v>
      </c>
    </row>
    <row r="1084" spans="1:3">
      <c r="A1084" t="s">
        <v>1536</v>
      </c>
      <c r="B1084" t="s">
        <v>61</v>
      </c>
      <c r="C1084">
        <v>1</v>
      </c>
    </row>
    <row r="1085" spans="1:3">
      <c r="A1085" t="s">
        <v>1537</v>
      </c>
      <c r="B1085" t="s">
        <v>61</v>
      </c>
      <c r="C1085">
        <v>1</v>
      </c>
    </row>
    <row r="1086" spans="1:3">
      <c r="A1086" t="s">
        <v>1538</v>
      </c>
      <c r="B1086" t="s">
        <v>16</v>
      </c>
      <c r="C1086">
        <v>2</v>
      </c>
    </row>
    <row r="1087" spans="1:3">
      <c r="A1087" t="s">
        <v>826</v>
      </c>
      <c r="B1087" t="s">
        <v>319</v>
      </c>
      <c r="C1087">
        <v>1</v>
      </c>
    </row>
    <row r="1088" spans="1:3">
      <c r="A1088" t="s">
        <v>1539</v>
      </c>
      <c r="B1088" t="s">
        <v>138</v>
      </c>
      <c r="C1088">
        <v>1</v>
      </c>
    </row>
    <row r="1089" spans="1:3">
      <c r="A1089" t="s">
        <v>482</v>
      </c>
      <c r="B1089" t="s">
        <v>118</v>
      </c>
      <c r="C1089">
        <v>1</v>
      </c>
    </row>
    <row r="1090" spans="1:3">
      <c r="A1090" t="s">
        <v>1540</v>
      </c>
      <c r="B1090" t="s">
        <v>125</v>
      </c>
      <c r="C1090">
        <v>1</v>
      </c>
    </row>
    <row r="1091" spans="1:3">
      <c r="A1091" t="s">
        <v>1541</v>
      </c>
      <c r="B1091" t="s">
        <v>407</v>
      </c>
      <c r="C1091">
        <v>2</v>
      </c>
    </row>
    <row r="1092" spans="1:3">
      <c r="A1092" t="s">
        <v>313</v>
      </c>
      <c r="B1092" t="s">
        <v>115</v>
      </c>
      <c r="C1092">
        <v>2</v>
      </c>
    </row>
    <row r="1093" spans="1:3">
      <c r="A1093" t="s">
        <v>1542</v>
      </c>
      <c r="B1093" t="s">
        <v>113</v>
      </c>
      <c r="C1093">
        <v>1</v>
      </c>
    </row>
    <row r="1094" spans="1:3">
      <c r="A1094" t="s">
        <v>1543</v>
      </c>
      <c r="B1094" t="s">
        <v>30</v>
      </c>
      <c r="C1094">
        <v>3</v>
      </c>
    </row>
    <row r="1095" spans="1:3">
      <c r="A1095" t="s">
        <v>1544</v>
      </c>
      <c r="B1095" t="s">
        <v>64</v>
      </c>
      <c r="C1095">
        <v>1</v>
      </c>
    </row>
    <row r="1096" spans="1:3">
      <c r="A1096" t="s">
        <v>1545</v>
      </c>
      <c r="B1096" t="s">
        <v>26</v>
      </c>
      <c r="C1096">
        <v>1</v>
      </c>
    </row>
    <row r="1097" spans="1:3">
      <c r="A1097" t="s">
        <v>1546</v>
      </c>
      <c r="B1097" t="s">
        <v>26</v>
      </c>
      <c r="C1097">
        <v>1</v>
      </c>
    </row>
    <row r="1098" spans="1:3">
      <c r="A1098" t="s">
        <v>1547</v>
      </c>
      <c r="B1098" t="s">
        <v>30</v>
      </c>
      <c r="C1098">
        <v>1</v>
      </c>
    </row>
    <row r="1099" spans="1:3">
      <c r="A1099" t="s">
        <v>1548</v>
      </c>
      <c r="B1099" t="s">
        <v>142</v>
      </c>
      <c r="C1099">
        <v>1</v>
      </c>
    </row>
    <row r="1100" spans="1:3">
      <c r="A1100" t="s">
        <v>1549</v>
      </c>
      <c r="B1100" t="s">
        <v>16</v>
      </c>
      <c r="C1100">
        <v>1</v>
      </c>
    </row>
    <row r="1101" spans="1:3">
      <c r="A1101" t="s">
        <v>795</v>
      </c>
      <c r="B1101" t="s">
        <v>16</v>
      </c>
      <c r="C1101">
        <v>2</v>
      </c>
    </row>
    <row r="1102" spans="1:3">
      <c r="A1102" t="s">
        <v>1550</v>
      </c>
      <c r="B1102" t="s">
        <v>407</v>
      </c>
      <c r="C1102">
        <v>2</v>
      </c>
    </row>
    <row r="1103" spans="1:3">
      <c r="A1103" t="s">
        <v>1551</v>
      </c>
      <c r="B1103" t="s">
        <v>125</v>
      </c>
      <c r="C1103">
        <v>1</v>
      </c>
    </row>
    <row r="1104" spans="1:3">
      <c r="A1104" t="s">
        <v>1552</v>
      </c>
      <c r="B1104" t="s">
        <v>115</v>
      </c>
      <c r="C1104">
        <v>3</v>
      </c>
    </row>
    <row r="1105" spans="1:3">
      <c r="A1105" t="s">
        <v>1553</v>
      </c>
      <c r="B1105" t="s">
        <v>115</v>
      </c>
      <c r="C1105">
        <v>1</v>
      </c>
    </row>
    <row r="1106" spans="1:3">
      <c r="A1106" t="s">
        <v>1554</v>
      </c>
      <c r="B1106" t="s">
        <v>16</v>
      </c>
      <c r="C1106">
        <v>1</v>
      </c>
    </row>
    <row r="1107" spans="1:3">
      <c r="A1107" t="s">
        <v>58</v>
      </c>
      <c r="B1107" t="s">
        <v>16</v>
      </c>
      <c r="C1107">
        <v>3</v>
      </c>
    </row>
    <row r="1108" spans="1:3">
      <c r="A1108" t="s">
        <v>1555</v>
      </c>
      <c r="B1108" t="s">
        <v>34</v>
      </c>
      <c r="C1108">
        <v>4</v>
      </c>
    </row>
    <row r="1109" spans="1:3">
      <c r="A1109" t="s">
        <v>1556</v>
      </c>
      <c r="B1109" t="s">
        <v>16</v>
      </c>
      <c r="C1109">
        <v>1</v>
      </c>
    </row>
    <row r="1110" spans="1:3">
      <c r="A1110" t="s">
        <v>199</v>
      </c>
      <c r="B1110" t="s">
        <v>131</v>
      </c>
      <c r="C1110">
        <v>1</v>
      </c>
    </row>
    <row r="1111" spans="1:3">
      <c r="A1111" t="s">
        <v>1557</v>
      </c>
      <c r="B1111" t="s">
        <v>16</v>
      </c>
      <c r="C1111">
        <v>1</v>
      </c>
    </row>
    <row r="1112" spans="1:3">
      <c r="A1112" t="s">
        <v>445</v>
      </c>
      <c r="B1112" t="s">
        <v>26</v>
      </c>
      <c r="C1112">
        <v>2</v>
      </c>
    </row>
    <row r="1113" spans="1:3">
      <c r="A1113" t="s">
        <v>1558</v>
      </c>
      <c r="B1113" t="s">
        <v>125</v>
      </c>
      <c r="C1113">
        <v>2</v>
      </c>
    </row>
    <row r="1114" spans="1:3">
      <c r="A1114" t="s">
        <v>357</v>
      </c>
      <c r="B1114" t="s">
        <v>125</v>
      </c>
      <c r="C1114">
        <v>1</v>
      </c>
    </row>
    <row r="1115" spans="1:3">
      <c r="A1115" t="s">
        <v>1559</v>
      </c>
      <c r="B1115" t="s">
        <v>34</v>
      </c>
      <c r="C1115">
        <v>1</v>
      </c>
    </row>
    <row r="1116" spans="1:3">
      <c r="A1116" t="s">
        <v>1560</v>
      </c>
      <c r="B1116" t="s">
        <v>34</v>
      </c>
      <c r="C1116">
        <v>1</v>
      </c>
    </row>
    <row r="1117" spans="1:3">
      <c r="A1117" t="s">
        <v>1561</v>
      </c>
      <c r="B1117" t="s">
        <v>64</v>
      </c>
      <c r="C1117">
        <v>1</v>
      </c>
    </row>
    <row r="1118" spans="1:3">
      <c r="A1118" t="s">
        <v>1562</v>
      </c>
      <c r="B1118" t="s">
        <v>26</v>
      </c>
      <c r="C1118">
        <v>1</v>
      </c>
    </row>
    <row r="1119" spans="1:3">
      <c r="A1119" t="s">
        <v>1563</v>
      </c>
      <c r="B1119" t="s">
        <v>26</v>
      </c>
      <c r="C1119">
        <v>1</v>
      </c>
    </row>
    <row r="1120" spans="1:3">
      <c r="A1120" t="s">
        <v>1564</v>
      </c>
      <c r="B1120" t="s">
        <v>34</v>
      </c>
      <c r="C1120">
        <v>1</v>
      </c>
    </row>
    <row r="1121" spans="1:3">
      <c r="A1121" t="s">
        <v>1565</v>
      </c>
      <c r="B1121" t="s">
        <v>64</v>
      </c>
      <c r="C1121">
        <v>1</v>
      </c>
    </row>
    <row r="1122" spans="1:3">
      <c r="A1122" t="s">
        <v>1566</v>
      </c>
      <c r="B1122" t="s">
        <v>34</v>
      </c>
      <c r="C1122">
        <v>1</v>
      </c>
    </row>
    <row r="1123" spans="1:3">
      <c r="A1123" t="s">
        <v>1567</v>
      </c>
      <c r="B1123" t="s">
        <v>115</v>
      </c>
      <c r="C1123">
        <v>8</v>
      </c>
    </row>
    <row r="1124" spans="1:3">
      <c r="A1124" t="s">
        <v>1568</v>
      </c>
      <c r="B1124" t="s">
        <v>30</v>
      </c>
      <c r="C1124">
        <v>1</v>
      </c>
    </row>
    <row r="1125" spans="1:3">
      <c r="A1125" t="s">
        <v>1569</v>
      </c>
      <c r="B1125" t="s">
        <v>125</v>
      </c>
      <c r="C1125">
        <v>1</v>
      </c>
    </row>
    <row r="1126" spans="1:3">
      <c r="A1126" t="s">
        <v>1570</v>
      </c>
      <c r="B1126" t="s">
        <v>26</v>
      </c>
      <c r="C1126">
        <v>1</v>
      </c>
    </row>
    <row r="1127" spans="1:3">
      <c r="A1127" t="s">
        <v>1571</v>
      </c>
      <c r="B1127" t="s">
        <v>26</v>
      </c>
      <c r="C1127">
        <v>3</v>
      </c>
    </row>
    <row r="1128" spans="1:3">
      <c r="A1128" t="s">
        <v>476</v>
      </c>
      <c r="B1128" t="s">
        <v>26</v>
      </c>
      <c r="C1128">
        <v>2</v>
      </c>
    </row>
    <row r="1129" spans="1:3">
      <c r="A1129" t="s">
        <v>667</v>
      </c>
      <c r="B1129" t="s">
        <v>30</v>
      </c>
      <c r="C1129">
        <v>2</v>
      </c>
    </row>
    <row r="1130" spans="1:3">
      <c r="A1130" t="s">
        <v>987</v>
      </c>
      <c r="B1130" t="s">
        <v>26</v>
      </c>
      <c r="C1130">
        <v>3</v>
      </c>
    </row>
    <row r="1131" spans="1:3">
      <c r="A1131" t="s">
        <v>1572</v>
      </c>
      <c r="B1131" t="s">
        <v>319</v>
      </c>
      <c r="C1131">
        <v>1</v>
      </c>
    </row>
    <row r="1132" spans="1:3">
      <c r="A1132" t="s">
        <v>1573</v>
      </c>
      <c r="B1132" t="s">
        <v>26</v>
      </c>
      <c r="C1132">
        <v>1</v>
      </c>
    </row>
    <row r="1133" spans="1:3">
      <c r="A1133" t="s">
        <v>1574</v>
      </c>
      <c r="B1133" t="s">
        <v>26</v>
      </c>
      <c r="C1133">
        <v>1</v>
      </c>
    </row>
    <row r="1134" spans="1:3">
      <c r="A1134" t="s">
        <v>503</v>
      </c>
      <c r="B1134" t="s">
        <v>16</v>
      </c>
      <c r="C1134">
        <v>1</v>
      </c>
    </row>
    <row r="1135" spans="1:3">
      <c r="A1135" t="s">
        <v>1575</v>
      </c>
      <c r="B1135" t="s">
        <v>26</v>
      </c>
      <c r="C1135">
        <v>1</v>
      </c>
    </row>
    <row r="1136" spans="1:3">
      <c r="A1136" t="s">
        <v>1576</v>
      </c>
      <c r="B1136" t="s">
        <v>26</v>
      </c>
      <c r="C1136">
        <v>1</v>
      </c>
    </row>
    <row r="1137" spans="1:3">
      <c r="A1137" t="s">
        <v>1577</v>
      </c>
      <c r="B1137" t="s">
        <v>19</v>
      </c>
      <c r="C1137">
        <v>1</v>
      </c>
    </row>
    <row r="1138" spans="1:3">
      <c r="A1138" t="s">
        <v>824</v>
      </c>
      <c r="B1138" t="s">
        <v>64</v>
      </c>
      <c r="C1138">
        <v>1</v>
      </c>
    </row>
    <row r="1139" spans="1:3">
      <c r="A1139" t="s">
        <v>885</v>
      </c>
      <c r="B1139" t="s">
        <v>64</v>
      </c>
      <c r="C1139">
        <v>2</v>
      </c>
    </row>
    <row r="1140" spans="1:3">
      <c r="A1140" t="s">
        <v>1578</v>
      </c>
      <c r="B1140" t="s">
        <v>64</v>
      </c>
      <c r="C1140">
        <v>1</v>
      </c>
    </row>
    <row r="1141" spans="1:3">
      <c r="A1141" t="s">
        <v>1579</v>
      </c>
      <c r="B1141" t="s">
        <v>30</v>
      </c>
      <c r="C1141">
        <v>1</v>
      </c>
    </row>
    <row r="1142" spans="1:3">
      <c r="A1142" t="s">
        <v>1580</v>
      </c>
      <c r="B1142" t="s">
        <v>113</v>
      </c>
      <c r="C1142">
        <v>1</v>
      </c>
    </row>
    <row r="1143" spans="1:3">
      <c r="A1143" t="s">
        <v>526</v>
      </c>
      <c r="B1143" t="s">
        <v>30</v>
      </c>
      <c r="C1143">
        <v>1</v>
      </c>
    </row>
    <row r="1144" spans="1:3">
      <c r="A1144" t="s">
        <v>1581</v>
      </c>
      <c r="B1144" t="s">
        <v>30</v>
      </c>
      <c r="C1144">
        <v>1</v>
      </c>
    </row>
    <row r="1145" spans="1:3">
      <c r="A1145" t="s">
        <v>1582</v>
      </c>
      <c r="B1145" t="s">
        <v>30</v>
      </c>
      <c r="C1145">
        <v>1</v>
      </c>
    </row>
    <row r="1146" spans="1:3">
      <c r="A1146" t="s">
        <v>1583</v>
      </c>
      <c r="B1146" t="s">
        <v>30</v>
      </c>
      <c r="C1146">
        <v>1</v>
      </c>
    </row>
    <row r="1147" spans="1:3">
      <c r="A1147" t="s">
        <v>696</v>
      </c>
      <c r="B1147" t="s">
        <v>16</v>
      </c>
      <c r="C1147">
        <v>1</v>
      </c>
    </row>
    <row r="1148" spans="1:3">
      <c r="A1148" t="s">
        <v>1584</v>
      </c>
      <c r="B1148" t="s">
        <v>407</v>
      </c>
      <c r="C1148">
        <v>1</v>
      </c>
    </row>
    <row r="1149" spans="1:3">
      <c r="A1149" t="s">
        <v>1585</v>
      </c>
      <c r="B1149" t="s">
        <v>113</v>
      </c>
      <c r="C1149">
        <v>1</v>
      </c>
    </row>
    <row r="1150" spans="1:3">
      <c r="A1150" t="s">
        <v>847</v>
      </c>
      <c r="B1150" t="s">
        <v>319</v>
      </c>
      <c r="C1150">
        <v>2</v>
      </c>
    </row>
    <row r="1151" spans="1:3">
      <c r="A1151" t="s">
        <v>1586</v>
      </c>
      <c r="B1151" t="s">
        <v>26</v>
      </c>
      <c r="C1151">
        <v>1</v>
      </c>
    </row>
    <row r="1152" spans="1:3">
      <c r="A1152" t="s">
        <v>1587</v>
      </c>
      <c r="B1152" t="s">
        <v>113</v>
      </c>
      <c r="C1152">
        <v>1</v>
      </c>
    </row>
    <row r="1153" spans="1:3">
      <c r="A1153" t="s">
        <v>1588</v>
      </c>
      <c r="B1153" t="s">
        <v>64</v>
      </c>
      <c r="C1153">
        <v>1</v>
      </c>
    </row>
    <row r="1154" spans="1:3">
      <c r="A1154" t="s">
        <v>1589</v>
      </c>
      <c r="B1154" t="s">
        <v>4</v>
      </c>
      <c r="C1154">
        <v>1</v>
      </c>
    </row>
    <row r="1155" spans="1:3">
      <c r="A1155" t="s">
        <v>1590</v>
      </c>
      <c r="B1155" t="s">
        <v>407</v>
      </c>
      <c r="C1155">
        <v>1</v>
      </c>
    </row>
    <row r="1156" spans="1:3">
      <c r="A1156" t="s">
        <v>1591</v>
      </c>
      <c r="B1156" t="s">
        <v>407</v>
      </c>
      <c r="C1156">
        <v>1</v>
      </c>
    </row>
    <row r="1157" spans="1:3">
      <c r="A1157" t="s">
        <v>710</v>
      </c>
      <c r="B1157" t="s">
        <v>131</v>
      </c>
      <c r="C1157">
        <v>2</v>
      </c>
    </row>
    <row r="1158" spans="1:3">
      <c r="A1158" t="s">
        <v>1592</v>
      </c>
      <c r="B1158" t="s">
        <v>30</v>
      </c>
      <c r="C1158">
        <v>1</v>
      </c>
    </row>
    <row r="1159" spans="1:3">
      <c r="A1159" t="s">
        <v>1593</v>
      </c>
      <c r="B1159" t="s">
        <v>125</v>
      </c>
      <c r="C1159">
        <v>1</v>
      </c>
    </row>
    <row r="1160" spans="1:3">
      <c r="A1160" t="s">
        <v>1594</v>
      </c>
      <c r="B1160" t="s">
        <v>64</v>
      </c>
      <c r="C1160">
        <v>1</v>
      </c>
    </row>
    <row r="1161" spans="1:3">
      <c r="A1161" t="s">
        <v>1595</v>
      </c>
      <c r="B1161" t="s">
        <v>407</v>
      </c>
      <c r="C1161">
        <v>1</v>
      </c>
    </row>
    <row r="1162" spans="1:3">
      <c r="A1162" t="s">
        <v>1596</v>
      </c>
      <c r="B1162" t="s">
        <v>64</v>
      </c>
      <c r="C1162">
        <v>1</v>
      </c>
    </row>
    <row r="1163" spans="1:3">
      <c r="A1163" t="s">
        <v>206</v>
      </c>
      <c r="B1163" t="s">
        <v>113</v>
      </c>
      <c r="C1163">
        <v>1</v>
      </c>
    </row>
    <row r="1164" spans="1:3">
      <c r="A1164" t="s">
        <v>649</v>
      </c>
      <c r="B1164" t="s">
        <v>4</v>
      </c>
      <c r="C1164">
        <v>1</v>
      </c>
    </row>
    <row r="1165" spans="1:3">
      <c r="A1165" t="s">
        <v>956</v>
      </c>
      <c r="B1165" t="s">
        <v>26</v>
      </c>
      <c r="C1165">
        <v>3</v>
      </c>
    </row>
    <row r="1166" spans="1:3">
      <c r="A1166" t="s">
        <v>1597</v>
      </c>
      <c r="B1166" t="s">
        <v>19</v>
      </c>
      <c r="C1166">
        <v>1</v>
      </c>
    </row>
    <row r="1167" spans="1:3">
      <c r="A1167" t="s">
        <v>1598</v>
      </c>
      <c r="B1167" t="s">
        <v>125</v>
      </c>
      <c r="C1167">
        <v>1</v>
      </c>
    </row>
    <row r="1168" spans="1:3">
      <c r="A1168" t="s">
        <v>713</v>
      </c>
      <c r="B1168" t="s">
        <v>134</v>
      </c>
      <c r="C1168">
        <v>1</v>
      </c>
    </row>
    <row r="1169" spans="1:3">
      <c r="A1169" t="s">
        <v>1599</v>
      </c>
      <c r="B1169" t="s">
        <v>131</v>
      </c>
      <c r="C1169">
        <v>1</v>
      </c>
    </row>
    <row r="1170" spans="1:3">
      <c r="A1170" t="s">
        <v>1600</v>
      </c>
      <c r="B1170" t="s">
        <v>34</v>
      </c>
      <c r="C1170">
        <v>1</v>
      </c>
    </row>
    <row r="1171" spans="1:3">
      <c r="A1171" t="s">
        <v>1601</v>
      </c>
      <c r="B1171" t="s">
        <v>16</v>
      </c>
      <c r="C1171">
        <v>1</v>
      </c>
    </row>
    <row r="1172" spans="1:3">
      <c r="A1172" t="s">
        <v>919</v>
      </c>
      <c r="B1172" t="s">
        <v>128</v>
      </c>
      <c r="C1172">
        <v>1</v>
      </c>
    </row>
    <row r="1173" spans="1:3">
      <c r="A1173" t="s">
        <v>1602</v>
      </c>
      <c r="B1173" t="s">
        <v>115</v>
      </c>
      <c r="C1173">
        <v>1</v>
      </c>
    </row>
    <row r="1174" spans="1:3">
      <c r="A1174" t="s">
        <v>1603</v>
      </c>
      <c r="B1174" t="s">
        <v>64</v>
      </c>
      <c r="C1174">
        <v>1</v>
      </c>
    </row>
    <row r="1175" spans="1:3">
      <c r="A1175" t="s">
        <v>266</v>
      </c>
      <c r="B1175" t="s">
        <v>16</v>
      </c>
      <c r="C1175">
        <v>1</v>
      </c>
    </row>
    <row r="1176" spans="1:3">
      <c r="A1176" t="s">
        <v>1604</v>
      </c>
      <c r="B1176" t="s">
        <v>115</v>
      </c>
      <c r="C1176">
        <v>2</v>
      </c>
    </row>
    <row r="1177" spans="1:3">
      <c r="A1177" t="s">
        <v>1605</v>
      </c>
      <c r="B1177" t="s">
        <v>115</v>
      </c>
      <c r="C1177">
        <v>1</v>
      </c>
    </row>
    <row r="1178" spans="1:3">
      <c r="A1178" t="s">
        <v>82</v>
      </c>
      <c r="B1178" t="s">
        <v>61</v>
      </c>
      <c r="C1178">
        <v>1</v>
      </c>
    </row>
    <row r="1179" spans="1:3">
      <c r="A1179" t="s">
        <v>1606</v>
      </c>
      <c r="B1179" t="s">
        <v>115</v>
      </c>
      <c r="C1179">
        <v>1</v>
      </c>
    </row>
    <row r="1180" spans="1:3">
      <c r="A1180" t="s">
        <v>1607</v>
      </c>
      <c r="B1180" t="s">
        <v>34</v>
      </c>
      <c r="C1180">
        <v>1</v>
      </c>
    </row>
    <row r="1181" spans="1:3">
      <c r="A1181" t="s">
        <v>1608</v>
      </c>
      <c r="B1181" t="s">
        <v>19</v>
      </c>
      <c r="C1181">
        <v>1</v>
      </c>
    </row>
    <row r="1182" spans="1:3">
      <c r="A1182" t="s">
        <v>1609</v>
      </c>
      <c r="B1182" t="s">
        <v>115</v>
      </c>
      <c r="C1182">
        <v>1</v>
      </c>
    </row>
    <row r="1183" spans="1:3">
      <c r="A1183" t="s">
        <v>1610</v>
      </c>
      <c r="B1183" t="s">
        <v>24</v>
      </c>
      <c r="C1183">
        <v>1</v>
      </c>
    </row>
    <row r="1184" spans="1:3">
      <c r="A1184" t="s">
        <v>1611</v>
      </c>
      <c r="B1184" t="s">
        <v>16</v>
      </c>
      <c r="C1184">
        <v>1</v>
      </c>
    </row>
    <row r="1185" spans="1:3">
      <c r="A1185" t="s">
        <v>1612</v>
      </c>
      <c r="B1185" t="s">
        <v>115</v>
      </c>
      <c r="C1185">
        <v>1</v>
      </c>
    </row>
    <row r="1186" spans="1:3">
      <c r="A1186" t="s">
        <v>1613</v>
      </c>
      <c r="B1186" t="s">
        <v>26</v>
      </c>
      <c r="C1186">
        <v>1</v>
      </c>
    </row>
    <row r="1187" spans="1:3">
      <c r="A1187" t="s">
        <v>1614</v>
      </c>
      <c r="B1187" t="s">
        <v>115</v>
      </c>
      <c r="C1187">
        <v>1</v>
      </c>
    </row>
    <row r="1188" spans="1:3">
      <c r="A1188" t="s">
        <v>1615</v>
      </c>
      <c r="B1188" t="s">
        <v>26</v>
      </c>
      <c r="C1188">
        <v>1</v>
      </c>
    </row>
    <row r="1189" spans="1:3">
      <c r="A1189" t="s">
        <v>1616</v>
      </c>
      <c r="B1189" t="s">
        <v>34</v>
      </c>
      <c r="C1189">
        <v>1</v>
      </c>
    </row>
    <row r="1190" spans="1:3">
      <c r="A1190" t="s">
        <v>606</v>
      </c>
      <c r="B1190" t="s">
        <v>34</v>
      </c>
      <c r="C1190">
        <v>1</v>
      </c>
    </row>
    <row r="1191" spans="1:3">
      <c r="A1191" t="s">
        <v>1617</v>
      </c>
      <c r="B1191" t="s">
        <v>26</v>
      </c>
      <c r="C1191">
        <v>1</v>
      </c>
    </row>
    <row r="1192" spans="1:3">
      <c r="A1192" t="s">
        <v>1618</v>
      </c>
      <c r="B1192" t="s">
        <v>319</v>
      </c>
      <c r="C1192">
        <v>1</v>
      </c>
    </row>
    <row r="1193" spans="1:3">
      <c r="A1193" t="s">
        <v>1619</v>
      </c>
      <c r="B1193" t="s">
        <v>113</v>
      </c>
      <c r="C1193">
        <v>1</v>
      </c>
    </row>
    <row r="1194" spans="1:3">
      <c r="A1194" t="s">
        <v>1620</v>
      </c>
      <c r="B1194" t="s">
        <v>26</v>
      </c>
      <c r="C1194">
        <v>1</v>
      </c>
    </row>
    <row r="1195" spans="1:3">
      <c r="A1195" t="s">
        <v>1621</v>
      </c>
      <c r="B1195" t="s">
        <v>26</v>
      </c>
      <c r="C1195">
        <v>1</v>
      </c>
    </row>
    <row r="1196" spans="1:3">
      <c r="A1196" t="s">
        <v>1622</v>
      </c>
      <c r="B1196" t="s">
        <v>16</v>
      </c>
      <c r="C1196">
        <v>1</v>
      </c>
    </row>
    <row r="1197" spans="1:3">
      <c r="A1197" t="s">
        <v>1623</v>
      </c>
      <c r="B1197" t="s">
        <v>16</v>
      </c>
      <c r="C1197">
        <v>1</v>
      </c>
    </row>
    <row r="1198" spans="1:3">
      <c r="A1198" t="s">
        <v>471</v>
      </c>
      <c r="B1198" t="s">
        <v>115</v>
      </c>
      <c r="C1198">
        <v>4</v>
      </c>
    </row>
    <row r="1199" spans="1:3">
      <c r="A1199" t="s">
        <v>1624</v>
      </c>
      <c r="B1199" t="s">
        <v>16</v>
      </c>
      <c r="C1199">
        <v>1</v>
      </c>
    </row>
    <row r="1200" spans="1:3">
      <c r="A1200" t="s">
        <v>1625</v>
      </c>
      <c r="B1200" t="s">
        <v>30</v>
      </c>
      <c r="C1200">
        <v>1</v>
      </c>
    </row>
    <row r="1201" spans="1:3">
      <c r="A1201" t="s">
        <v>1626</v>
      </c>
      <c r="B1201" t="s">
        <v>34</v>
      </c>
      <c r="C1201">
        <v>2</v>
      </c>
    </row>
    <row r="1202" spans="1:3">
      <c r="A1202" t="s">
        <v>1627</v>
      </c>
      <c r="B1202" t="s">
        <v>113</v>
      </c>
      <c r="C1202">
        <v>1</v>
      </c>
    </row>
    <row r="1203" spans="1:3">
      <c r="A1203" t="s">
        <v>1628</v>
      </c>
      <c r="B1203" t="s">
        <v>113</v>
      </c>
      <c r="C1203">
        <v>1</v>
      </c>
    </row>
    <row r="1204" spans="1:3">
      <c r="A1204" t="s">
        <v>1629</v>
      </c>
      <c r="B1204" t="s">
        <v>16</v>
      </c>
      <c r="C1204">
        <v>1</v>
      </c>
    </row>
    <row r="1205" spans="1:3">
      <c r="A1205" t="s">
        <v>610</v>
      </c>
      <c r="B1205" t="s">
        <v>34</v>
      </c>
      <c r="C1205">
        <v>1</v>
      </c>
    </row>
    <row r="1206" spans="1:3">
      <c r="A1206" t="s">
        <v>1630</v>
      </c>
      <c r="B1206" t="s">
        <v>16</v>
      </c>
      <c r="C1206">
        <v>1</v>
      </c>
    </row>
    <row r="1207" spans="1:3">
      <c r="A1207" t="s">
        <v>1631</v>
      </c>
      <c r="B1207" t="s">
        <v>319</v>
      </c>
      <c r="C1207">
        <v>1</v>
      </c>
    </row>
    <row r="1208" spans="1:3">
      <c r="A1208" t="s">
        <v>1043</v>
      </c>
      <c r="B1208" t="s">
        <v>16</v>
      </c>
      <c r="C1208">
        <v>2</v>
      </c>
    </row>
    <row r="1209" spans="1:3">
      <c r="A1209" t="s">
        <v>882</v>
      </c>
      <c r="B1209" t="s">
        <v>34</v>
      </c>
      <c r="C1209">
        <v>1</v>
      </c>
    </row>
    <row r="1210" spans="1:3">
      <c r="A1210" t="s">
        <v>1632</v>
      </c>
      <c r="B1210" t="s">
        <v>1633</v>
      </c>
      <c r="C1210">
        <v>1</v>
      </c>
    </row>
    <row r="1211" spans="1:3">
      <c r="A1211" t="s">
        <v>479</v>
      </c>
      <c r="B1211" t="s">
        <v>16</v>
      </c>
      <c r="C1211">
        <v>1</v>
      </c>
    </row>
    <row r="1212" spans="1:3">
      <c r="A1212" t="s">
        <v>1634</v>
      </c>
      <c r="B1212" t="s">
        <v>407</v>
      </c>
      <c r="C1212">
        <v>1</v>
      </c>
    </row>
    <row r="1213" spans="1:3">
      <c r="A1213" t="s">
        <v>926</v>
      </c>
      <c r="B1213" t="s">
        <v>26</v>
      </c>
      <c r="C1213">
        <v>4</v>
      </c>
    </row>
    <row r="1214" spans="1:3">
      <c r="A1214" t="s">
        <v>825</v>
      </c>
      <c r="B1214" t="s">
        <v>64</v>
      </c>
      <c r="C1214">
        <v>2</v>
      </c>
    </row>
    <row r="1215" spans="1:3">
      <c r="A1215" t="s">
        <v>1012</v>
      </c>
      <c r="B1215" t="s">
        <v>4</v>
      </c>
      <c r="C1215">
        <v>3</v>
      </c>
    </row>
    <row r="1216" spans="1:3">
      <c r="A1216" t="s">
        <v>514</v>
      </c>
      <c r="B1216" t="s">
        <v>4</v>
      </c>
      <c r="C1216">
        <v>3</v>
      </c>
    </row>
    <row r="1217" spans="1:3">
      <c r="A1217" t="s">
        <v>1635</v>
      </c>
      <c r="B1217" t="s">
        <v>4</v>
      </c>
      <c r="C1217">
        <v>1</v>
      </c>
    </row>
    <row r="1218" spans="1:3">
      <c r="A1218" t="s">
        <v>700</v>
      </c>
      <c r="B1218" t="s">
        <v>61</v>
      </c>
      <c r="C1218">
        <v>1</v>
      </c>
    </row>
    <row r="1219" spans="1:3">
      <c r="A1219" t="s">
        <v>1636</v>
      </c>
      <c r="B1219" t="s">
        <v>61</v>
      </c>
      <c r="C1219">
        <v>2</v>
      </c>
    </row>
    <row r="1220" spans="1:3">
      <c r="A1220" t="s">
        <v>1637</v>
      </c>
      <c r="B1220" t="s">
        <v>61</v>
      </c>
      <c r="C1220">
        <v>1</v>
      </c>
    </row>
    <row r="1221" spans="1:3">
      <c r="A1221" t="s">
        <v>1638</v>
      </c>
      <c r="B1221" t="s">
        <v>64</v>
      </c>
      <c r="C1221">
        <v>1</v>
      </c>
    </row>
    <row r="1222" spans="1:3">
      <c r="A1222" t="s">
        <v>1639</v>
      </c>
      <c r="B1222" t="s">
        <v>19</v>
      </c>
      <c r="C1222">
        <v>1</v>
      </c>
    </row>
    <row r="1223" spans="1:3">
      <c r="A1223" t="s">
        <v>1640</v>
      </c>
      <c r="B1223" t="s">
        <v>407</v>
      </c>
      <c r="C1223">
        <v>1</v>
      </c>
    </row>
    <row r="1224" spans="1:3">
      <c r="A1224" t="s">
        <v>1641</v>
      </c>
      <c r="B1224" t="s">
        <v>131</v>
      </c>
      <c r="C1224">
        <v>1</v>
      </c>
    </row>
    <row r="1225" spans="1:3">
      <c r="A1225" t="s">
        <v>1642</v>
      </c>
      <c r="B1225" t="s">
        <v>26</v>
      </c>
      <c r="C1225">
        <v>2</v>
      </c>
    </row>
    <row r="1226" spans="1:3">
      <c r="A1226" t="s">
        <v>1643</v>
      </c>
      <c r="B1226" t="s">
        <v>4</v>
      </c>
      <c r="C1226">
        <v>1</v>
      </c>
    </row>
    <row r="1227" spans="1:3">
      <c r="A1227" t="s">
        <v>1644</v>
      </c>
      <c r="B1227" t="s">
        <v>4</v>
      </c>
      <c r="C1227">
        <v>1</v>
      </c>
    </row>
    <row r="1228" spans="1:3">
      <c r="A1228" t="s">
        <v>243</v>
      </c>
      <c r="B1228" t="s">
        <v>4</v>
      </c>
      <c r="C1228">
        <v>2</v>
      </c>
    </row>
    <row r="1229" spans="1:3">
      <c r="A1229" t="s">
        <v>1645</v>
      </c>
      <c r="B1229" t="s">
        <v>125</v>
      </c>
      <c r="C1229">
        <v>1</v>
      </c>
    </row>
    <row r="1230" spans="1:3">
      <c r="A1230" t="s">
        <v>1646</v>
      </c>
      <c r="B1230" t="s">
        <v>125</v>
      </c>
      <c r="C1230">
        <v>1</v>
      </c>
    </row>
    <row r="1231" spans="1:3">
      <c r="A1231" t="s">
        <v>1647</v>
      </c>
      <c r="B1231" t="s">
        <v>61</v>
      </c>
      <c r="C1231">
        <v>1</v>
      </c>
    </row>
    <row r="1232" spans="1:3">
      <c r="A1232" t="s">
        <v>1648</v>
      </c>
      <c r="B1232" t="s">
        <v>30</v>
      </c>
      <c r="C1232">
        <v>1</v>
      </c>
    </row>
    <row r="1233" spans="1:3">
      <c r="A1233" t="s">
        <v>172</v>
      </c>
      <c r="B1233" t="s">
        <v>30</v>
      </c>
      <c r="C1233">
        <v>3</v>
      </c>
    </row>
    <row r="1234" spans="1:3">
      <c r="A1234" t="s">
        <v>1649</v>
      </c>
      <c r="B1234" t="s">
        <v>16</v>
      </c>
      <c r="C1234">
        <v>2</v>
      </c>
    </row>
    <row r="1235" spans="1:3">
      <c r="A1235" t="s">
        <v>1650</v>
      </c>
      <c r="B1235" t="s">
        <v>113</v>
      </c>
      <c r="C1235">
        <v>1</v>
      </c>
    </row>
    <row r="1236" spans="1:3">
      <c r="A1236" t="s">
        <v>1651</v>
      </c>
      <c r="B1236" t="s">
        <v>26</v>
      </c>
      <c r="C1236">
        <v>1</v>
      </c>
    </row>
    <row r="1237" spans="1:3">
      <c r="A1237" t="s">
        <v>1652</v>
      </c>
      <c r="B1237" t="s">
        <v>30</v>
      </c>
      <c r="C1237">
        <v>1</v>
      </c>
    </row>
    <row r="1238" spans="1:3">
      <c r="A1238" t="s">
        <v>1653</v>
      </c>
      <c r="B1238" t="s">
        <v>30</v>
      </c>
      <c r="C1238">
        <v>1</v>
      </c>
    </row>
    <row r="1239" spans="1:3">
      <c r="A1239" t="s">
        <v>469</v>
      </c>
      <c r="B1239" t="s">
        <v>16</v>
      </c>
      <c r="C1239">
        <v>1</v>
      </c>
    </row>
    <row r="1240" spans="1:3">
      <c r="A1240" t="s">
        <v>1654</v>
      </c>
      <c r="B1240" t="s">
        <v>61</v>
      </c>
      <c r="C1240">
        <v>1</v>
      </c>
    </row>
    <row r="1241" spans="1:3">
      <c r="A1241" t="s">
        <v>1052</v>
      </c>
      <c r="B1241" t="s">
        <v>61</v>
      </c>
      <c r="C1241">
        <v>1</v>
      </c>
    </row>
    <row r="1242" spans="1:3">
      <c r="A1242" t="s">
        <v>1655</v>
      </c>
      <c r="B1242" t="s">
        <v>61</v>
      </c>
      <c r="C1242">
        <v>1</v>
      </c>
    </row>
    <row r="1243" spans="1:3">
      <c r="A1243" t="s">
        <v>1013</v>
      </c>
      <c r="B1243" t="s">
        <v>4</v>
      </c>
      <c r="C1243">
        <v>5</v>
      </c>
    </row>
    <row r="1244" spans="1:3">
      <c r="A1244" t="s">
        <v>1656</v>
      </c>
      <c r="B1244" t="s">
        <v>4</v>
      </c>
      <c r="C1244">
        <v>1</v>
      </c>
    </row>
    <row r="1245" spans="1:3">
      <c r="A1245" t="s">
        <v>1657</v>
      </c>
      <c r="B1245" t="s">
        <v>4</v>
      </c>
      <c r="C1245">
        <v>1</v>
      </c>
    </row>
    <row r="1246" spans="1:3">
      <c r="A1246" t="s">
        <v>1658</v>
      </c>
      <c r="B1246" t="s">
        <v>4</v>
      </c>
      <c r="C1246">
        <v>3</v>
      </c>
    </row>
    <row r="1247" spans="1:3">
      <c r="A1247" t="s">
        <v>1659</v>
      </c>
      <c r="B1247" t="s">
        <v>61</v>
      </c>
      <c r="C1247">
        <v>2</v>
      </c>
    </row>
    <row r="1248" spans="1:3">
      <c r="A1248" t="s">
        <v>1660</v>
      </c>
      <c r="B1248" t="s">
        <v>30</v>
      </c>
      <c r="C1248">
        <v>1</v>
      </c>
    </row>
    <row r="1249" spans="1:3">
      <c r="A1249" t="s">
        <v>1661</v>
      </c>
      <c r="B1249" t="s">
        <v>4</v>
      </c>
      <c r="C1249">
        <v>2</v>
      </c>
    </row>
    <row r="1250" spans="1:3">
      <c r="A1250" t="s">
        <v>1011</v>
      </c>
      <c r="B1250" t="s">
        <v>4</v>
      </c>
      <c r="C1250">
        <v>5</v>
      </c>
    </row>
    <row r="1251" spans="1:3">
      <c r="A1251" t="s">
        <v>1662</v>
      </c>
      <c r="B1251" t="s">
        <v>4</v>
      </c>
      <c r="C1251">
        <v>2</v>
      </c>
    </row>
    <row r="1252" spans="1:3">
      <c r="A1252" t="s">
        <v>1663</v>
      </c>
      <c r="B1252" t="s">
        <v>16</v>
      </c>
      <c r="C1252">
        <v>2</v>
      </c>
    </row>
    <row r="1253" spans="1:3">
      <c r="A1253" t="s">
        <v>686</v>
      </c>
      <c r="B1253" t="s">
        <v>4</v>
      </c>
      <c r="C1253">
        <v>5</v>
      </c>
    </row>
    <row r="1254" spans="1:3">
      <c r="A1254" t="s">
        <v>1664</v>
      </c>
      <c r="B1254" t="s">
        <v>4</v>
      </c>
      <c r="C1254">
        <v>4</v>
      </c>
    </row>
    <row r="1255" spans="1:3">
      <c r="A1255" t="s">
        <v>1665</v>
      </c>
      <c r="B1255" t="s">
        <v>4</v>
      </c>
      <c r="C1255">
        <v>2</v>
      </c>
    </row>
    <row r="1256" spans="1:3">
      <c r="A1256" t="s">
        <v>1666</v>
      </c>
      <c r="B1256" t="s">
        <v>34</v>
      </c>
      <c r="C1256">
        <v>1</v>
      </c>
    </row>
    <row r="1257" spans="1:3">
      <c r="A1257" t="s">
        <v>1667</v>
      </c>
      <c r="B1257" t="s">
        <v>61</v>
      </c>
      <c r="C1257">
        <v>1</v>
      </c>
    </row>
    <row r="1258" spans="1:3">
      <c r="A1258" t="s">
        <v>1668</v>
      </c>
      <c r="B1258" t="s">
        <v>61</v>
      </c>
      <c r="C1258">
        <v>2</v>
      </c>
    </row>
    <row r="1259" spans="1:3">
      <c r="A1259" t="s">
        <v>1669</v>
      </c>
      <c r="B1259" t="s">
        <v>34</v>
      </c>
      <c r="C1259">
        <v>1</v>
      </c>
    </row>
    <row r="1260" spans="1:3">
      <c r="A1260" t="s">
        <v>1670</v>
      </c>
      <c r="B1260" t="s">
        <v>61</v>
      </c>
      <c r="C1260">
        <v>1</v>
      </c>
    </row>
    <row r="1261" spans="1:3">
      <c r="A1261" t="s">
        <v>1671</v>
      </c>
      <c r="B1261" t="s">
        <v>61</v>
      </c>
      <c r="C1261">
        <v>1</v>
      </c>
    </row>
    <row r="1262" spans="1:3">
      <c r="A1262" t="s">
        <v>1672</v>
      </c>
      <c r="B1262" t="s">
        <v>61</v>
      </c>
      <c r="C1262">
        <v>1</v>
      </c>
    </row>
    <row r="1263" spans="1:3">
      <c r="A1263" t="s">
        <v>1673</v>
      </c>
      <c r="B1263" t="s">
        <v>61</v>
      </c>
      <c r="C1263">
        <v>1</v>
      </c>
    </row>
    <row r="1264" spans="1:3">
      <c r="A1264" t="s">
        <v>1674</v>
      </c>
      <c r="B1264" t="s">
        <v>61</v>
      </c>
      <c r="C1264">
        <v>1</v>
      </c>
    </row>
    <row r="1265" spans="1:3">
      <c r="A1265" t="s">
        <v>1675</v>
      </c>
      <c r="B1265" t="s">
        <v>61</v>
      </c>
      <c r="C1265">
        <v>1</v>
      </c>
    </row>
    <row r="1266" spans="1:3">
      <c r="A1266" t="s">
        <v>1676</v>
      </c>
      <c r="B1266" t="s">
        <v>4</v>
      </c>
      <c r="C1266">
        <v>1</v>
      </c>
    </row>
    <row r="1267" spans="1:3">
      <c r="A1267" t="s">
        <v>506</v>
      </c>
      <c r="B1267" t="s">
        <v>16</v>
      </c>
      <c r="C1267">
        <v>2</v>
      </c>
    </row>
    <row r="1268" spans="1:3">
      <c r="A1268" t="s">
        <v>1677</v>
      </c>
      <c r="B1268" t="s">
        <v>4</v>
      </c>
      <c r="C1268">
        <v>2</v>
      </c>
    </row>
    <row r="1269" spans="1:3">
      <c r="A1269" t="s">
        <v>1678</v>
      </c>
      <c r="B1269" t="s">
        <v>4</v>
      </c>
      <c r="C1269">
        <v>1</v>
      </c>
    </row>
    <row r="1270" spans="1:3">
      <c r="A1270" t="s">
        <v>1679</v>
      </c>
      <c r="B1270" t="s">
        <v>4</v>
      </c>
      <c r="C1270">
        <v>1</v>
      </c>
    </row>
    <row r="1271" spans="1:3">
      <c r="A1271" t="s">
        <v>1680</v>
      </c>
      <c r="B1271" t="s">
        <v>16</v>
      </c>
      <c r="C1271">
        <v>1</v>
      </c>
    </row>
    <row r="1272" spans="1:3">
      <c r="A1272" t="s">
        <v>1681</v>
      </c>
      <c r="B1272" t="s">
        <v>61</v>
      </c>
      <c r="C1272">
        <v>1</v>
      </c>
    </row>
    <row r="1273" spans="1:3">
      <c r="A1273" t="s">
        <v>1682</v>
      </c>
      <c r="B1273" t="s">
        <v>61</v>
      </c>
      <c r="C1273">
        <v>1</v>
      </c>
    </row>
    <row r="1274" spans="1:3">
      <c r="A1274" t="s">
        <v>1683</v>
      </c>
      <c r="B1274" t="s">
        <v>26</v>
      </c>
      <c r="C1274">
        <v>1</v>
      </c>
    </row>
    <row r="1275" spans="1:3">
      <c r="A1275" t="s">
        <v>1684</v>
      </c>
      <c r="B1275" t="s">
        <v>4</v>
      </c>
      <c r="C1275">
        <v>1</v>
      </c>
    </row>
    <row r="1276" spans="1:3">
      <c r="A1276" t="s">
        <v>260</v>
      </c>
      <c r="B1276" t="s">
        <v>113</v>
      </c>
      <c r="C1276">
        <v>2</v>
      </c>
    </row>
    <row r="1277" spans="1:3">
      <c r="A1277" t="s">
        <v>1685</v>
      </c>
      <c r="B1277" t="s">
        <v>113</v>
      </c>
      <c r="C1277">
        <v>1</v>
      </c>
    </row>
    <row r="1278" spans="1:3">
      <c r="A1278" t="s">
        <v>1686</v>
      </c>
      <c r="B1278" t="s">
        <v>138</v>
      </c>
      <c r="C1278">
        <v>1</v>
      </c>
    </row>
    <row r="1279" spans="1:3">
      <c r="A1279" t="s">
        <v>1687</v>
      </c>
      <c r="B1279" t="s">
        <v>16</v>
      </c>
      <c r="C1279">
        <v>1</v>
      </c>
    </row>
    <row r="1280" spans="1:3">
      <c r="A1280" t="s">
        <v>1688</v>
      </c>
      <c r="B1280" t="s">
        <v>138</v>
      </c>
      <c r="C1280">
        <v>1</v>
      </c>
    </row>
    <row r="1281" spans="1:3">
      <c r="A1281" t="s">
        <v>1689</v>
      </c>
      <c r="B1281" t="s">
        <v>26</v>
      </c>
      <c r="C1281">
        <v>1</v>
      </c>
    </row>
    <row r="1282" spans="1:3">
      <c r="A1282" t="s">
        <v>1690</v>
      </c>
      <c r="B1282" t="s">
        <v>16</v>
      </c>
      <c r="C1282">
        <v>1</v>
      </c>
    </row>
    <row r="1283" spans="1:3">
      <c r="A1283" t="s">
        <v>1691</v>
      </c>
      <c r="B1283" t="s">
        <v>138</v>
      </c>
      <c r="C1283">
        <v>1</v>
      </c>
    </row>
    <row r="1284" spans="1:3">
      <c r="A1284" t="s">
        <v>1692</v>
      </c>
      <c r="B1284" t="s">
        <v>26</v>
      </c>
      <c r="C1284">
        <v>1</v>
      </c>
    </row>
    <row r="1285" spans="1:3">
      <c r="A1285" t="s">
        <v>1693</v>
      </c>
      <c r="B1285" t="s">
        <v>30</v>
      </c>
      <c r="C1285">
        <v>1</v>
      </c>
    </row>
    <row r="1286" spans="1:3">
      <c r="A1286" t="s">
        <v>1694</v>
      </c>
      <c r="B1286" t="s">
        <v>134</v>
      </c>
      <c r="C1286">
        <v>1</v>
      </c>
    </row>
    <row r="1287" spans="1:3">
      <c r="A1287" t="s">
        <v>941</v>
      </c>
      <c r="B1287" t="s">
        <v>34</v>
      </c>
      <c r="C1287">
        <v>1</v>
      </c>
    </row>
    <row r="1288" spans="1:3">
      <c r="A1288" t="s">
        <v>1695</v>
      </c>
      <c r="B1288" t="s">
        <v>19</v>
      </c>
      <c r="C1288">
        <v>2</v>
      </c>
    </row>
    <row r="1289" spans="1:3">
      <c r="A1289" t="s">
        <v>1696</v>
      </c>
      <c r="B1289" t="s">
        <v>19</v>
      </c>
      <c r="C1289">
        <v>1</v>
      </c>
    </row>
    <row r="1290" spans="1:3">
      <c r="A1290" t="s">
        <v>1697</v>
      </c>
      <c r="B1290" t="s">
        <v>128</v>
      </c>
      <c r="C1290">
        <v>1</v>
      </c>
    </row>
    <row r="1291" spans="1:3">
      <c r="A1291" t="s">
        <v>1698</v>
      </c>
      <c r="B1291" t="s">
        <v>30</v>
      </c>
      <c r="C1291">
        <v>1</v>
      </c>
    </row>
    <row r="1292" spans="1:3">
      <c r="A1292" t="s">
        <v>430</v>
      </c>
      <c r="B1292" t="s">
        <v>30</v>
      </c>
      <c r="C1292">
        <v>2</v>
      </c>
    </row>
    <row r="1293" spans="1:3">
      <c r="A1293" t="s">
        <v>858</v>
      </c>
      <c r="B1293" t="s">
        <v>30</v>
      </c>
      <c r="C1293">
        <v>1</v>
      </c>
    </row>
    <row r="1294" spans="1:3">
      <c r="A1294" t="s">
        <v>1699</v>
      </c>
      <c r="B1294" t="s">
        <v>19</v>
      </c>
      <c r="C1294">
        <v>1</v>
      </c>
    </row>
    <row r="1295" spans="1:3">
      <c r="A1295" t="s">
        <v>291</v>
      </c>
      <c r="B1295" t="s">
        <v>134</v>
      </c>
      <c r="C1295">
        <v>1</v>
      </c>
    </row>
    <row r="1296" spans="1:3">
      <c r="A1296" t="s">
        <v>1700</v>
      </c>
      <c r="B1296" t="s">
        <v>134</v>
      </c>
      <c r="C1296">
        <v>1</v>
      </c>
    </row>
    <row r="1297" spans="1:3">
      <c r="A1297" t="s">
        <v>507</v>
      </c>
      <c r="B1297" t="s">
        <v>272</v>
      </c>
      <c r="C1297">
        <v>2</v>
      </c>
    </row>
    <row r="1298" spans="1:3">
      <c r="A1298" t="s">
        <v>1701</v>
      </c>
      <c r="B1298" t="s">
        <v>272</v>
      </c>
      <c r="C1298">
        <v>1</v>
      </c>
    </row>
    <row r="1299" spans="1:3">
      <c r="A1299" t="s">
        <v>1702</v>
      </c>
      <c r="B1299" t="s">
        <v>61</v>
      </c>
      <c r="C1299">
        <v>1</v>
      </c>
    </row>
    <row r="1300" spans="1:3">
      <c r="A1300" t="s">
        <v>1703</v>
      </c>
      <c r="B1300" t="s">
        <v>61</v>
      </c>
      <c r="C1300">
        <v>1</v>
      </c>
    </row>
    <row r="1301" spans="1:3">
      <c r="A1301" t="s">
        <v>158</v>
      </c>
      <c r="B1301" t="s">
        <v>113</v>
      </c>
      <c r="C1301">
        <v>2</v>
      </c>
    </row>
    <row r="1302" spans="1:3">
      <c r="A1302" t="s">
        <v>1704</v>
      </c>
      <c r="B1302" t="s">
        <v>113</v>
      </c>
      <c r="C1302">
        <v>2</v>
      </c>
    </row>
    <row r="1303" spans="1:3">
      <c r="A1303" t="s">
        <v>1705</v>
      </c>
      <c r="B1303" t="s">
        <v>4</v>
      </c>
      <c r="C1303">
        <v>1</v>
      </c>
    </row>
    <row r="1304" spans="1:3">
      <c r="A1304" t="s">
        <v>1706</v>
      </c>
      <c r="B1304" t="s">
        <v>16</v>
      </c>
      <c r="C1304">
        <v>1</v>
      </c>
    </row>
    <row r="1305" spans="1:3">
      <c r="A1305" t="s">
        <v>1707</v>
      </c>
      <c r="B1305" t="s">
        <v>115</v>
      </c>
      <c r="C1305">
        <v>1</v>
      </c>
    </row>
    <row r="1306" spans="1:3">
      <c r="A1306" t="s">
        <v>1708</v>
      </c>
      <c r="B1306" t="s">
        <v>26</v>
      </c>
      <c r="C1306">
        <v>5</v>
      </c>
    </row>
    <row r="1307" spans="1:3">
      <c r="A1307" t="s">
        <v>1709</v>
      </c>
      <c r="B1307" t="s">
        <v>115</v>
      </c>
      <c r="C1307">
        <v>1</v>
      </c>
    </row>
    <row r="1308" spans="1:3">
      <c r="A1308" t="s">
        <v>1710</v>
      </c>
      <c r="B1308" t="s">
        <v>407</v>
      </c>
      <c r="C1308">
        <v>1</v>
      </c>
    </row>
    <row r="1309" spans="1:3">
      <c r="A1309" t="s">
        <v>1711</v>
      </c>
      <c r="B1309" t="s">
        <v>142</v>
      </c>
      <c r="C1309">
        <v>1</v>
      </c>
    </row>
    <row r="1310" spans="1:3">
      <c r="A1310" t="s">
        <v>1712</v>
      </c>
      <c r="B1310" t="s">
        <v>61</v>
      </c>
      <c r="C1310">
        <v>1</v>
      </c>
    </row>
    <row r="1311" spans="1:3">
      <c r="A1311" t="s">
        <v>1713</v>
      </c>
      <c r="B1311" t="s">
        <v>34</v>
      </c>
      <c r="C1311">
        <v>1</v>
      </c>
    </row>
    <row r="1312" spans="1:3">
      <c r="A1312" t="s">
        <v>18</v>
      </c>
      <c r="B1312" t="s">
        <v>19</v>
      </c>
      <c r="C1312">
        <v>1</v>
      </c>
    </row>
    <row r="1313" spans="1:3">
      <c r="A1313" t="s">
        <v>1714</v>
      </c>
      <c r="B1313" t="s">
        <v>115</v>
      </c>
      <c r="C1313">
        <v>1</v>
      </c>
    </row>
    <row r="1314" spans="1:3">
      <c r="A1314" t="s">
        <v>1715</v>
      </c>
      <c r="B1314" t="s">
        <v>26</v>
      </c>
      <c r="C1314">
        <v>1</v>
      </c>
    </row>
    <row r="1315" spans="1:3">
      <c r="A1315" t="s">
        <v>1716</v>
      </c>
      <c r="B1315" t="s">
        <v>115</v>
      </c>
      <c r="C1315">
        <v>1</v>
      </c>
    </row>
    <row r="1316" spans="1:3">
      <c r="A1316" t="s">
        <v>431</v>
      </c>
      <c r="B1316" t="s">
        <v>16</v>
      </c>
      <c r="C1316">
        <v>1</v>
      </c>
    </row>
    <row r="1317" spans="1:3">
      <c r="A1317" t="s">
        <v>1717</v>
      </c>
      <c r="B1317" t="s">
        <v>115</v>
      </c>
      <c r="C1317">
        <v>1</v>
      </c>
    </row>
    <row r="1318" spans="1:3">
      <c r="A1318" t="s">
        <v>1718</v>
      </c>
      <c r="B1318" t="s">
        <v>30</v>
      </c>
      <c r="C1318">
        <v>1</v>
      </c>
    </row>
    <row r="1319" spans="1:3">
      <c r="A1319" t="s">
        <v>1719</v>
      </c>
      <c r="B1319" t="s">
        <v>407</v>
      </c>
      <c r="C1319">
        <v>1</v>
      </c>
    </row>
    <row r="1320" spans="1:3">
      <c r="A1320" t="s">
        <v>1720</v>
      </c>
      <c r="B1320" t="s">
        <v>61</v>
      </c>
      <c r="C1320">
        <v>1</v>
      </c>
    </row>
    <row r="1321" spans="1:3">
      <c r="A1321" t="s">
        <v>1721</v>
      </c>
      <c r="B1321" t="s">
        <v>30</v>
      </c>
      <c r="C1321">
        <v>1</v>
      </c>
    </row>
    <row r="1322" spans="1:3">
      <c r="A1322" t="s">
        <v>1722</v>
      </c>
      <c r="B1322" t="s">
        <v>30</v>
      </c>
      <c r="C1322">
        <v>1</v>
      </c>
    </row>
    <row r="1323" spans="1:3">
      <c r="A1323" t="s">
        <v>1723</v>
      </c>
      <c r="B1323" t="s">
        <v>30</v>
      </c>
      <c r="C1323">
        <v>1</v>
      </c>
    </row>
    <row r="1324" spans="1:3">
      <c r="A1324" t="s">
        <v>1724</v>
      </c>
      <c r="B1324" t="s">
        <v>26</v>
      </c>
      <c r="C1324">
        <v>2</v>
      </c>
    </row>
    <row r="1325" spans="1:3">
      <c r="A1325" t="s">
        <v>1725</v>
      </c>
      <c r="B1325" t="s">
        <v>64</v>
      </c>
      <c r="C1325">
        <v>1</v>
      </c>
    </row>
    <row r="1326" spans="1:3">
      <c r="A1326" t="s">
        <v>1726</v>
      </c>
      <c r="B1326" t="s">
        <v>4</v>
      </c>
      <c r="C1326">
        <v>1</v>
      </c>
    </row>
    <row r="1327" spans="1:3">
      <c r="A1327" t="s">
        <v>802</v>
      </c>
      <c r="B1327" t="s">
        <v>64</v>
      </c>
      <c r="C1327">
        <v>2</v>
      </c>
    </row>
    <row r="1328" spans="1:3">
      <c r="A1328" t="s">
        <v>1727</v>
      </c>
      <c r="B1328" t="s">
        <v>125</v>
      </c>
      <c r="C1328">
        <v>1</v>
      </c>
    </row>
    <row r="1329" spans="1:3">
      <c r="A1329" t="s">
        <v>1728</v>
      </c>
      <c r="B1329" t="s">
        <v>125</v>
      </c>
      <c r="C1329">
        <v>1</v>
      </c>
    </row>
    <row r="1330" spans="1:3">
      <c r="A1330" t="s">
        <v>1729</v>
      </c>
      <c r="B1330" t="s">
        <v>61</v>
      </c>
      <c r="C1330">
        <v>1</v>
      </c>
    </row>
    <row r="1331" spans="1:3">
      <c r="A1331" t="s">
        <v>333</v>
      </c>
      <c r="B1331" t="s">
        <v>24</v>
      </c>
      <c r="C1331">
        <v>1</v>
      </c>
    </row>
    <row r="1332" spans="1:3">
      <c r="A1332" t="s">
        <v>597</v>
      </c>
      <c r="B1332" t="s">
        <v>30</v>
      </c>
      <c r="C1332">
        <v>1</v>
      </c>
    </row>
    <row r="1333" spans="1:3">
      <c r="A1333" t="s">
        <v>1730</v>
      </c>
      <c r="B1333" t="s">
        <v>319</v>
      </c>
      <c r="C1333">
        <v>1</v>
      </c>
    </row>
    <row r="1334" spans="1:3">
      <c r="A1334" t="s">
        <v>1731</v>
      </c>
      <c r="B1334" t="s">
        <v>16</v>
      </c>
      <c r="C1334">
        <v>1</v>
      </c>
    </row>
    <row r="1335" spans="1:3">
      <c r="A1335" t="s">
        <v>1732</v>
      </c>
      <c r="B1335" t="s">
        <v>113</v>
      </c>
      <c r="C1335">
        <v>1</v>
      </c>
    </row>
    <row r="1336" spans="1:3">
      <c r="A1336" t="s">
        <v>1733</v>
      </c>
      <c r="B1336" t="s">
        <v>16</v>
      </c>
      <c r="C1336">
        <v>1</v>
      </c>
    </row>
    <row r="1337" spans="1:3">
      <c r="A1337" t="s">
        <v>676</v>
      </c>
      <c r="B1337" t="s">
        <v>125</v>
      </c>
      <c r="C1337">
        <v>1</v>
      </c>
    </row>
    <row r="1338" spans="1:3">
      <c r="A1338" t="s">
        <v>1734</v>
      </c>
      <c r="B1338" t="s">
        <v>410</v>
      </c>
      <c r="C1338">
        <v>1</v>
      </c>
    </row>
    <row r="1339" spans="1:3">
      <c r="A1339" t="s">
        <v>1735</v>
      </c>
      <c r="B1339" t="s">
        <v>16</v>
      </c>
      <c r="C1339">
        <v>1</v>
      </c>
    </row>
    <row r="1340" spans="1:3">
      <c r="A1340" t="s">
        <v>1736</v>
      </c>
      <c r="B1340" t="s">
        <v>26</v>
      </c>
      <c r="C1340">
        <v>1</v>
      </c>
    </row>
    <row r="1341" spans="1:3">
      <c r="A1341" t="s">
        <v>1737</v>
      </c>
      <c r="B1341" t="s">
        <v>142</v>
      </c>
      <c r="C1341">
        <v>1</v>
      </c>
    </row>
    <row r="1342" spans="1:3">
      <c r="A1342" t="s">
        <v>404</v>
      </c>
      <c r="B1342" t="s">
        <v>24</v>
      </c>
      <c r="C1342">
        <v>1</v>
      </c>
    </row>
    <row r="1343" spans="1:3">
      <c r="A1343" t="s">
        <v>1738</v>
      </c>
      <c r="B1343" t="s">
        <v>16</v>
      </c>
      <c r="C1343">
        <v>1</v>
      </c>
    </row>
    <row r="1344" spans="1:3">
      <c r="A1344" t="s">
        <v>1739</v>
      </c>
      <c r="B1344" t="s">
        <v>19</v>
      </c>
      <c r="C1344">
        <v>1</v>
      </c>
    </row>
    <row r="1345" spans="1:3">
      <c r="A1345" t="s">
        <v>1740</v>
      </c>
      <c r="B1345" t="s">
        <v>319</v>
      </c>
      <c r="C1345">
        <v>1</v>
      </c>
    </row>
    <row r="1346" spans="1:3">
      <c r="A1346" t="s">
        <v>1741</v>
      </c>
      <c r="B1346" t="s">
        <v>26</v>
      </c>
      <c r="C1346">
        <v>1</v>
      </c>
    </row>
    <row r="1347" spans="1:3">
      <c r="A1347" t="s">
        <v>1742</v>
      </c>
      <c r="B1347" t="s">
        <v>16</v>
      </c>
      <c r="C1347">
        <v>1</v>
      </c>
    </row>
    <row r="1348" spans="1:3">
      <c r="A1348" t="s">
        <v>1743</v>
      </c>
      <c r="B1348" t="s">
        <v>34</v>
      </c>
      <c r="C1348">
        <v>1</v>
      </c>
    </row>
    <row r="1349" spans="1:3">
      <c r="A1349" t="s">
        <v>693</v>
      </c>
      <c r="B1349" t="s">
        <v>694</v>
      </c>
      <c r="C1349">
        <v>1</v>
      </c>
    </row>
    <row r="1350" spans="1:3">
      <c r="A1350" t="s">
        <v>1744</v>
      </c>
      <c r="B1350" t="s">
        <v>26</v>
      </c>
      <c r="C1350">
        <v>1</v>
      </c>
    </row>
    <row r="1351" spans="1:3">
      <c r="A1351" t="s">
        <v>1745</v>
      </c>
      <c r="B1351" t="s">
        <v>30</v>
      </c>
      <c r="C1351">
        <v>1</v>
      </c>
    </row>
    <row r="1352" spans="1:3">
      <c r="A1352" t="s">
        <v>1746</v>
      </c>
      <c r="B1352" t="s">
        <v>30</v>
      </c>
      <c r="C1352">
        <v>1</v>
      </c>
    </row>
    <row r="1353" spans="1:3">
      <c r="A1353" t="s">
        <v>1018</v>
      </c>
      <c r="B1353" t="s">
        <v>16</v>
      </c>
      <c r="C1353">
        <v>1</v>
      </c>
    </row>
    <row r="1354" spans="1:3">
      <c r="A1354" t="s">
        <v>1747</v>
      </c>
      <c r="B1354" t="s">
        <v>30</v>
      </c>
      <c r="C1354">
        <v>1</v>
      </c>
    </row>
    <row r="1355" spans="1:3">
      <c r="A1355" t="s">
        <v>1748</v>
      </c>
      <c r="B1355" t="s">
        <v>64</v>
      </c>
      <c r="C1355">
        <v>2</v>
      </c>
    </row>
    <row r="1356" spans="1:3">
      <c r="A1356" t="s">
        <v>1749</v>
      </c>
      <c r="B1356" t="s">
        <v>115</v>
      </c>
      <c r="C1356">
        <v>1</v>
      </c>
    </row>
    <row r="1357" spans="1:3">
      <c r="A1357" t="s">
        <v>1750</v>
      </c>
      <c r="B1357" t="s">
        <v>16</v>
      </c>
      <c r="C1357">
        <v>1</v>
      </c>
    </row>
    <row r="1358" spans="1:3">
      <c r="A1358" t="s">
        <v>1751</v>
      </c>
      <c r="B1358" t="s">
        <v>30</v>
      </c>
      <c r="C1358">
        <v>1</v>
      </c>
    </row>
    <row r="1359" spans="1:3">
      <c r="A1359" t="s">
        <v>577</v>
      </c>
      <c r="B1359" t="s">
        <v>113</v>
      </c>
      <c r="C1359">
        <v>2</v>
      </c>
    </row>
    <row r="1360" spans="1:3">
      <c r="A1360" t="s">
        <v>1752</v>
      </c>
      <c r="B1360" t="s">
        <v>32</v>
      </c>
      <c r="C1360">
        <v>1</v>
      </c>
    </row>
    <row r="1361" spans="1:3">
      <c r="A1361" t="s">
        <v>1753</v>
      </c>
      <c r="B1361" t="s">
        <v>138</v>
      </c>
      <c r="C1361">
        <v>1</v>
      </c>
    </row>
    <row r="1362" spans="1:3">
      <c r="A1362" t="s">
        <v>1754</v>
      </c>
      <c r="B1362" t="s">
        <v>26</v>
      </c>
      <c r="C1362">
        <v>1</v>
      </c>
    </row>
    <row r="1363" spans="1:3">
      <c r="A1363" t="s">
        <v>1755</v>
      </c>
      <c r="B1363" t="s">
        <v>22</v>
      </c>
      <c r="C1363">
        <v>1</v>
      </c>
    </row>
    <row r="1364" spans="1:3">
      <c r="A1364" t="s">
        <v>1756</v>
      </c>
      <c r="B1364" t="s">
        <v>118</v>
      </c>
      <c r="C1364">
        <v>1</v>
      </c>
    </row>
    <row r="1365" spans="1:3">
      <c r="A1365" t="s">
        <v>1757</v>
      </c>
      <c r="B1365" t="s">
        <v>16</v>
      </c>
      <c r="C1365">
        <v>1</v>
      </c>
    </row>
    <row r="1366" spans="1:3">
      <c r="A1366" t="s">
        <v>1758</v>
      </c>
      <c r="B1366" t="s">
        <v>118</v>
      </c>
      <c r="C1366">
        <v>1</v>
      </c>
    </row>
    <row r="1367" spans="1:3">
      <c r="A1367" t="s">
        <v>1759</v>
      </c>
      <c r="B1367" t="s">
        <v>142</v>
      </c>
      <c r="C1367">
        <v>1</v>
      </c>
    </row>
    <row r="1368" spans="1:3">
      <c r="A1368" t="s">
        <v>1760</v>
      </c>
      <c r="B1368" t="s">
        <v>19</v>
      </c>
      <c r="C1368">
        <v>1</v>
      </c>
    </row>
    <row r="1369" spans="1:3">
      <c r="A1369" t="s">
        <v>1761</v>
      </c>
      <c r="B1369" t="s">
        <v>19</v>
      </c>
      <c r="C1369">
        <v>1</v>
      </c>
    </row>
    <row r="1370" spans="1:3">
      <c r="A1370" t="s">
        <v>1762</v>
      </c>
      <c r="B1370" t="s">
        <v>19</v>
      </c>
      <c r="C1370">
        <v>1</v>
      </c>
    </row>
    <row r="1371" spans="1:3">
      <c r="A1371" t="s">
        <v>1763</v>
      </c>
      <c r="B1371" t="s">
        <v>19</v>
      </c>
      <c r="C1371">
        <v>1</v>
      </c>
    </row>
    <row r="1372" spans="1:3">
      <c r="A1372" t="s">
        <v>1764</v>
      </c>
      <c r="B1372" t="s">
        <v>16</v>
      </c>
      <c r="C1372">
        <v>1</v>
      </c>
    </row>
    <row r="1373" spans="1:3">
      <c r="A1373" t="s">
        <v>1765</v>
      </c>
      <c r="B1373" t="s">
        <v>4</v>
      </c>
      <c r="C1373">
        <v>1</v>
      </c>
    </row>
    <row r="1374" spans="1:3">
      <c r="A1374" t="s">
        <v>1766</v>
      </c>
      <c r="B1374" t="s">
        <v>19</v>
      </c>
      <c r="C1374">
        <v>1</v>
      </c>
    </row>
    <row r="1375" spans="1:3">
      <c r="A1375" t="s">
        <v>1767</v>
      </c>
      <c r="B1375" t="s">
        <v>64</v>
      </c>
      <c r="C1375">
        <v>2</v>
      </c>
    </row>
    <row r="1376" spans="1:3">
      <c r="A1376" t="s">
        <v>1025</v>
      </c>
      <c r="B1376" t="s">
        <v>131</v>
      </c>
      <c r="C1376">
        <v>1</v>
      </c>
    </row>
    <row r="1377" spans="1:3">
      <c r="A1377" t="s">
        <v>616</v>
      </c>
      <c r="B1377" t="s">
        <v>319</v>
      </c>
      <c r="C1377">
        <v>1</v>
      </c>
    </row>
    <row r="1378" spans="1:3">
      <c r="A1378" t="s">
        <v>149</v>
      </c>
      <c r="B1378" t="s">
        <v>319</v>
      </c>
      <c r="C1378">
        <v>3</v>
      </c>
    </row>
    <row r="1379" spans="1:3">
      <c r="A1379" t="s">
        <v>1768</v>
      </c>
      <c r="B1379" t="s">
        <v>319</v>
      </c>
      <c r="C1379">
        <v>1</v>
      </c>
    </row>
    <row r="1380" spans="1:3">
      <c r="A1380" t="s">
        <v>1769</v>
      </c>
      <c r="B1380" t="s">
        <v>26</v>
      </c>
      <c r="C1380">
        <v>1</v>
      </c>
    </row>
    <row r="1381" spans="1:3">
      <c r="A1381" t="s">
        <v>1770</v>
      </c>
      <c r="B1381" t="s">
        <v>61</v>
      </c>
      <c r="C1381">
        <v>1</v>
      </c>
    </row>
    <row r="1382" spans="1:3">
      <c r="A1382" t="s">
        <v>1771</v>
      </c>
      <c r="B1382" t="s">
        <v>113</v>
      </c>
      <c r="C1382">
        <v>1</v>
      </c>
    </row>
    <row r="1383" spans="1:3">
      <c r="A1383" t="s">
        <v>1772</v>
      </c>
      <c r="B1383" t="s">
        <v>113</v>
      </c>
      <c r="C1383">
        <v>2</v>
      </c>
    </row>
    <row r="1384" spans="1:3">
      <c r="A1384" t="s">
        <v>1773</v>
      </c>
      <c r="B1384" t="s">
        <v>32</v>
      </c>
      <c r="C1384">
        <v>1</v>
      </c>
    </row>
    <row r="1385" spans="1:3">
      <c r="A1385" t="s">
        <v>807</v>
      </c>
      <c r="B1385" t="s">
        <v>16</v>
      </c>
      <c r="C1385">
        <v>2</v>
      </c>
    </row>
    <row r="1386" spans="1:3">
      <c r="A1386" t="s">
        <v>1774</v>
      </c>
      <c r="B1386" t="s">
        <v>19</v>
      </c>
      <c r="C1386">
        <v>1</v>
      </c>
    </row>
    <row r="1387" spans="1:3">
      <c r="A1387" t="s">
        <v>641</v>
      </c>
      <c r="B1387" t="s">
        <v>113</v>
      </c>
      <c r="C1387">
        <v>1</v>
      </c>
    </row>
    <row r="1388" spans="1:3">
      <c r="A1388" t="s">
        <v>1775</v>
      </c>
      <c r="B1388" t="s">
        <v>61</v>
      </c>
      <c r="C1388">
        <v>1</v>
      </c>
    </row>
    <row r="1389" spans="1:3">
      <c r="A1389" t="s">
        <v>717</v>
      </c>
      <c r="B1389" t="s">
        <v>34</v>
      </c>
      <c r="C1389">
        <v>1</v>
      </c>
    </row>
    <row r="1390" spans="1:3">
      <c r="A1390" t="s">
        <v>1776</v>
      </c>
      <c r="B1390" t="s">
        <v>61</v>
      </c>
      <c r="C1390">
        <v>1</v>
      </c>
    </row>
    <row r="1391" spans="1:3">
      <c r="A1391" t="s">
        <v>1777</v>
      </c>
      <c r="B1391" t="s">
        <v>61</v>
      </c>
      <c r="C1391">
        <v>1</v>
      </c>
    </row>
    <row r="1392" spans="1:3">
      <c r="A1392" t="s">
        <v>1778</v>
      </c>
      <c r="B1392" t="s">
        <v>34</v>
      </c>
      <c r="C1392">
        <v>1</v>
      </c>
    </row>
    <row r="1393" spans="1:3">
      <c r="A1393" t="s">
        <v>33</v>
      </c>
      <c r="B1393" t="s">
        <v>24</v>
      </c>
      <c r="C1393">
        <v>1</v>
      </c>
    </row>
    <row r="1394" spans="1:3">
      <c r="A1394" t="s">
        <v>1779</v>
      </c>
      <c r="B1394" t="s">
        <v>22</v>
      </c>
      <c r="C1394">
        <v>1</v>
      </c>
    </row>
    <row r="1395" spans="1:3">
      <c r="A1395" t="s">
        <v>1780</v>
      </c>
      <c r="B1395" t="s">
        <v>22</v>
      </c>
      <c r="C1395">
        <v>1</v>
      </c>
    </row>
    <row r="1396" spans="1:3">
      <c r="A1396" t="s">
        <v>1781</v>
      </c>
      <c r="B1396" t="s">
        <v>22</v>
      </c>
      <c r="C1396">
        <v>1</v>
      </c>
    </row>
    <row r="1397" spans="1:3">
      <c r="A1397" t="s">
        <v>1782</v>
      </c>
      <c r="B1397" t="s">
        <v>125</v>
      </c>
      <c r="C1397">
        <v>1</v>
      </c>
    </row>
    <row r="1398" spans="1:3">
      <c r="A1398" t="s">
        <v>1783</v>
      </c>
      <c r="B1398" t="s">
        <v>22</v>
      </c>
      <c r="C1398">
        <v>1</v>
      </c>
    </row>
    <row r="1399" spans="1:3">
      <c r="A1399" t="s">
        <v>1784</v>
      </c>
      <c r="B1399" t="s">
        <v>24</v>
      </c>
      <c r="C1399">
        <v>1</v>
      </c>
    </row>
    <row r="1400" spans="1:3">
      <c r="A1400" t="s">
        <v>1785</v>
      </c>
      <c r="B1400" t="s">
        <v>115</v>
      </c>
      <c r="C1400">
        <v>1</v>
      </c>
    </row>
    <row r="1401" spans="1:3">
      <c r="A1401" t="s">
        <v>1786</v>
      </c>
      <c r="B1401" t="s">
        <v>125</v>
      </c>
      <c r="C1401">
        <v>1</v>
      </c>
    </row>
    <row r="1402" spans="1:3">
      <c r="A1402" t="s">
        <v>1787</v>
      </c>
      <c r="B1402" t="s">
        <v>19</v>
      </c>
      <c r="C1402">
        <v>1</v>
      </c>
    </row>
    <row r="1403" spans="1:3">
      <c r="A1403" t="s">
        <v>1788</v>
      </c>
      <c r="B1403" t="s">
        <v>19</v>
      </c>
      <c r="C1403">
        <v>1</v>
      </c>
    </row>
    <row r="1404" spans="1:3">
      <c r="A1404" t="s">
        <v>1789</v>
      </c>
      <c r="B1404" t="s">
        <v>19</v>
      </c>
      <c r="C1404">
        <v>1</v>
      </c>
    </row>
    <row r="1405" spans="1:3">
      <c r="A1405" t="s">
        <v>1790</v>
      </c>
      <c r="B1405" t="s">
        <v>22</v>
      </c>
      <c r="C1405">
        <v>2</v>
      </c>
    </row>
    <row r="1407" spans="1:3">
      <c r="A1407" s="2" t="s">
        <v>52</v>
      </c>
    </row>
    <row r="1408" spans="1:3">
      <c r="A1408" s="2" t="s">
        <v>0</v>
      </c>
      <c r="B1408" s="2" t="s">
        <v>1</v>
      </c>
    </row>
    <row r="1409" spans="1:2">
      <c r="A1409" t="s">
        <v>152</v>
      </c>
      <c r="B1409">
        <v>33</v>
      </c>
    </row>
    <row r="1410" spans="1:2">
      <c r="A1410" t="s">
        <v>800</v>
      </c>
      <c r="B1410">
        <v>6</v>
      </c>
    </row>
    <row r="1411" spans="1:2">
      <c r="A1411" t="s">
        <v>1027</v>
      </c>
      <c r="B1411">
        <v>5</v>
      </c>
    </row>
    <row r="1412" spans="1:2">
      <c r="A1412" t="s">
        <v>859</v>
      </c>
      <c r="B1412">
        <v>14</v>
      </c>
    </row>
    <row r="1413" spans="1:2">
      <c r="A1413" t="s">
        <v>220</v>
      </c>
      <c r="B1413">
        <v>2</v>
      </c>
    </row>
    <row r="1414" spans="1:2">
      <c r="A1414" t="s">
        <v>487</v>
      </c>
      <c r="B1414">
        <v>13</v>
      </c>
    </row>
    <row r="1415" spans="1:2">
      <c r="A1415" t="s">
        <v>132</v>
      </c>
      <c r="B1415">
        <v>60</v>
      </c>
    </row>
    <row r="1416" spans="1:2">
      <c r="A1416" t="s">
        <v>638</v>
      </c>
      <c r="B1416">
        <v>8</v>
      </c>
    </row>
    <row r="1417" spans="1:2">
      <c r="A1417" t="s">
        <v>1089</v>
      </c>
      <c r="B1417">
        <v>1</v>
      </c>
    </row>
    <row r="1418" spans="1:2">
      <c r="A1418" t="s">
        <v>35</v>
      </c>
      <c r="B1418">
        <v>70</v>
      </c>
    </row>
    <row r="1419" spans="1:2">
      <c r="A1419" t="s">
        <v>1023</v>
      </c>
      <c r="B1419">
        <v>2</v>
      </c>
    </row>
    <row r="1420" spans="1:2">
      <c r="A1420" t="s">
        <v>1102</v>
      </c>
      <c r="B1420">
        <v>5</v>
      </c>
    </row>
    <row r="1421" spans="1:2">
      <c r="A1421" t="s">
        <v>653</v>
      </c>
      <c r="B1421">
        <v>5</v>
      </c>
    </row>
    <row r="1422" spans="1:2">
      <c r="A1422" t="s">
        <v>578</v>
      </c>
      <c r="B1422">
        <v>11</v>
      </c>
    </row>
    <row r="1423" spans="1:2">
      <c r="A1423" t="s">
        <v>977</v>
      </c>
      <c r="B1423">
        <v>9</v>
      </c>
    </row>
    <row r="1424" spans="1:2">
      <c r="A1424" t="s">
        <v>784</v>
      </c>
      <c r="B1424">
        <v>14</v>
      </c>
    </row>
    <row r="1425" spans="1:2">
      <c r="A1425" t="s">
        <v>428</v>
      </c>
      <c r="B1425">
        <v>6</v>
      </c>
    </row>
    <row r="1426" spans="1:2">
      <c r="A1426" t="s">
        <v>192</v>
      </c>
      <c r="B1426">
        <v>17</v>
      </c>
    </row>
    <row r="1427" spans="1:2">
      <c r="A1427" t="s">
        <v>231</v>
      </c>
      <c r="B1427">
        <v>45</v>
      </c>
    </row>
    <row r="1428" spans="1:2">
      <c r="A1428" t="s">
        <v>92</v>
      </c>
      <c r="B1428">
        <v>17</v>
      </c>
    </row>
    <row r="1429" spans="1:2">
      <c r="A1429" t="s">
        <v>74</v>
      </c>
      <c r="B1429">
        <v>16</v>
      </c>
    </row>
    <row r="1430" spans="1:2">
      <c r="A1430" t="s">
        <v>810</v>
      </c>
      <c r="B1430">
        <v>3</v>
      </c>
    </row>
    <row r="1431" spans="1:2">
      <c r="A1431" t="s">
        <v>894</v>
      </c>
      <c r="B1431">
        <v>2</v>
      </c>
    </row>
    <row r="1432" spans="1:2">
      <c r="A1432" t="s">
        <v>171</v>
      </c>
      <c r="B1432">
        <v>8</v>
      </c>
    </row>
    <row r="1433" spans="1:2">
      <c r="A1433" t="s">
        <v>1144</v>
      </c>
      <c r="B1433">
        <v>1</v>
      </c>
    </row>
    <row r="1434" spans="1:2">
      <c r="A1434" t="s">
        <v>344</v>
      </c>
      <c r="B1434">
        <v>3</v>
      </c>
    </row>
    <row r="1435" spans="1:2">
      <c r="A1435" t="s">
        <v>1163</v>
      </c>
      <c r="B1435">
        <v>3</v>
      </c>
    </row>
    <row r="1436" spans="1:2">
      <c r="A1436" t="s">
        <v>305</v>
      </c>
      <c r="B1436">
        <v>52</v>
      </c>
    </row>
    <row r="1437" spans="1:2">
      <c r="A1437" t="s">
        <v>65</v>
      </c>
      <c r="B1437">
        <v>47</v>
      </c>
    </row>
    <row r="1438" spans="1:2">
      <c r="A1438" t="s">
        <v>107</v>
      </c>
      <c r="B1438">
        <v>5</v>
      </c>
    </row>
    <row r="1439" spans="1:2">
      <c r="A1439" t="s">
        <v>211</v>
      </c>
      <c r="B1439">
        <v>6</v>
      </c>
    </row>
    <row r="1440" spans="1:2">
      <c r="A1440" t="s">
        <v>1189</v>
      </c>
      <c r="B1440">
        <v>1</v>
      </c>
    </row>
    <row r="1441" spans="1:2">
      <c r="A1441" t="s">
        <v>1198</v>
      </c>
      <c r="B1441">
        <v>4</v>
      </c>
    </row>
    <row r="1442" spans="1:2">
      <c r="A1442" t="s">
        <v>1199</v>
      </c>
      <c r="B1442">
        <v>1</v>
      </c>
    </row>
    <row r="1443" spans="1:2">
      <c r="A1443" t="s">
        <v>1200</v>
      </c>
      <c r="B1443">
        <v>1</v>
      </c>
    </row>
    <row r="1444" spans="1:2">
      <c r="A1444" t="s">
        <v>725</v>
      </c>
      <c r="B1444">
        <v>2</v>
      </c>
    </row>
    <row r="1445" spans="1:2">
      <c r="A1445" t="s">
        <v>604</v>
      </c>
      <c r="B1445">
        <v>6</v>
      </c>
    </row>
    <row r="1446" spans="1:2">
      <c r="A1446" t="s">
        <v>151</v>
      </c>
      <c r="B1446">
        <v>20</v>
      </c>
    </row>
    <row r="1447" spans="1:2">
      <c r="A1447" t="s">
        <v>1229</v>
      </c>
      <c r="B1447">
        <v>1</v>
      </c>
    </row>
    <row r="1448" spans="1:2">
      <c r="A1448" t="s">
        <v>605</v>
      </c>
      <c r="B1448">
        <v>21</v>
      </c>
    </row>
    <row r="1449" spans="1:2">
      <c r="A1449" t="s">
        <v>1246</v>
      </c>
      <c r="B1449">
        <v>7</v>
      </c>
    </row>
    <row r="1450" spans="1:2">
      <c r="A1450" t="s">
        <v>181</v>
      </c>
      <c r="B1450">
        <v>9</v>
      </c>
    </row>
    <row r="1451" spans="1:2">
      <c r="A1451" t="s">
        <v>267</v>
      </c>
      <c r="B1451">
        <v>5</v>
      </c>
    </row>
    <row r="1452" spans="1:2">
      <c r="A1452" t="s">
        <v>692</v>
      </c>
      <c r="B1452">
        <v>11</v>
      </c>
    </row>
    <row r="1453" spans="1:2">
      <c r="A1453" t="s">
        <v>815</v>
      </c>
      <c r="B1453">
        <v>6</v>
      </c>
    </row>
    <row r="1454" spans="1:2">
      <c r="A1454" t="s">
        <v>737</v>
      </c>
      <c r="B1454">
        <v>6</v>
      </c>
    </row>
    <row r="1455" spans="1:2">
      <c r="A1455" t="s">
        <v>1275</v>
      </c>
      <c r="B1455">
        <v>4</v>
      </c>
    </row>
    <row r="1456" spans="1:2">
      <c r="A1456" t="s">
        <v>679</v>
      </c>
      <c r="B1456">
        <v>5</v>
      </c>
    </row>
    <row r="1457" spans="1:2">
      <c r="A1457" t="s">
        <v>1290</v>
      </c>
      <c r="B1457">
        <v>1</v>
      </c>
    </row>
    <row r="1458" spans="1:2">
      <c r="A1458" t="s">
        <v>1291</v>
      </c>
      <c r="B1458">
        <v>2</v>
      </c>
    </row>
    <row r="1459" spans="1:2">
      <c r="A1459" t="s">
        <v>169</v>
      </c>
      <c r="B1459">
        <v>8</v>
      </c>
    </row>
    <row r="1460" spans="1:2">
      <c r="A1460" t="s">
        <v>1325</v>
      </c>
      <c r="B1460">
        <v>1</v>
      </c>
    </row>
    <row r="1461" spans="1:2">
      <c r="A1461" t="s">
        <v>1016</v>
      </c>
      <c r="B1461">
        <v>6</v>
      </c>
    </row>
    <row r="1462" spans="1:2">
      <c r="A1462" t="s">
        <v>618</v>
      </c>
      <c r="B1462">
        <v>12</v>
      </c>
    </row>
    <row r="1463" spans="1:2">
      <c r="A1463" t="s">
        <v>1362</v>
      </c>
      <c r="B1463">
        <v>2</v>
      </c>
    </row>
    <row r="1464" spans="1:2">
      <c r="A1464" t="s">
        <v>69</v>
      </c>
      <c r="B1464">
        <v>3</v>
      </c>
    </row>
    <row r="1465" spans="1:2">
      <c r="A1465" t="s">
        <v>1365</v>
      </c>
      <c r="B1465">
        <v>4</v>
      </c>
    </row>
    <row r="1466" spans="1:2">
      <c r="A1466" t="s">
        <v>1291</v>
      </c>
      <c r="B1466">
        <v>2</v>
      </c>
    </row>
    <row r="1467" spans="1:2">
      <c r="A1467" t="s">
        <v>169</v>
      </c>
      <c r="B1467">
        <v>8</v>
      </c>
    </row>
    <row r="1468" spans="1:2">
      <c r="A1468" t="s">
        <v>1325</v>
      </c>
      <c r="B1468">
        <v>1</v>
      </c>
    </row>
    <row r="1469" spans="1:2">
      <c r="A1469" t="s">
        <v>1016</v>
      </c>
      <c r="B1469">
        <v>6</v>
      </c>
    </row>
    <row r="1470" spans="1:2">
      <c r="A1470" t="s">
        <v>618</v>
      </c>
      <c r="B1470">
        <v>12</v>
      </c>
    </row>
    <row r="1471" spans="1:2">
      <c r="A1471" t="s">
        <v>1362</v>
      </c>
      <c r="B1471">
        <v>2</v>
      </c>
    </row>
    <row r="1472" spans="1:2">
      <c r="A1472" t="s">
        <v>69</v>
      </c>
      <c r="B1472">
        <v>3</v>
      </c>
    </row>
    <row r="1473" spans="1:2">
      <c r="A1473" t="s">
        <v>1365</v>
      </c>
      <c r="B1473">
        <v>4</v>
      </c>
    </row>
    <row r="1474" spans="1:2">
      <c r="A1474" t="s">
        <v>380</v>
      </c>
      <c r="B1474">
        <v>4</v>
      </c>
    </row>
    <row r="1475" spans="1:2">
      <c r="A1475" t="s">
        <v>891</v>
      </c>
      <c r="B1475">
        <v>2</v>
      </c>
    </row>
    <row r="1476" spans="1:2">
      <c r="A1476" t="s">
        <v>1391</v>
      </c>
      <c r="B1476">
        <v>3</v>
      </c>
    </row>
    <row r="1477" spans="1:2">
      <c r="A1477" t="s">
        <v>1396</v>
      </c>
      <c r="B1477">
        <v>1</v>
      </c>
    </row>
    <row r="1478" spans="1:2">
      <c r="A1478" t="s">
        <v>1400</v>
      </c>
      <c r="B1478">
        <v>1</v>
      </c>
    </row>
    <row r="1479" spans="1:2">
      <c r="A1479" t="s">
        <v>1406</v>
      </c>
      <c r="B1479">
        <v>1</v>
      </c>
    </row>
    <row r="1480" spans="1:2">
      <c r="A1480" t="s">
        <v>1425</v>
      </c>
      <c r="B1480">
        <v>1</v>
      </c>
    </row>
    <row r="1481" spans="1:2">
      <c r="A1481" t="s">
        <v>203</v>
      </c>
      <c r="B1481">
        <v>6</v>
      </c>
    </row>
    <row r="1482" spans="1:2">
      <c r="A1482" t="s">
        <v>1451</v>
      </c>
      <c r="B1482">
        <v>1</v>
      </c>
    </row>
    <row r="1483" spans="1:2">
      <c r="A1483" t="s">
        <v>1452</v>
      </c>
      <c r="B1483">
        <v>1</v>
      </c>
    </row>
    <row r="1484" spans="1:2">
      <c r="A1484" t="s">
        <v>1455</v>
      </c>
      <c r="B1484">
        <v>1</v>
      </c>
    </row>
    <row r="1485" spans="1:2">
      <c r="A1485" t="s">
        <v>525</v>
      </c>
      <c r="B1485">
        <v>1</v>
      </c>
    </row>
    <row r="1486" spans="1:2">
      <c r="A1486" t="s">
        <v>153</v>
      </c>
      <c r="B1486">
        <v>21</v>
      </c>
    </row>
    <row r="1487" spans="1:2">
      <c r="A1487" t="s">
        <v>751</v>
      </c>
      <c r="B1487">
        <v>3</v>
      </c>
    </row>
    <row r="1488" spans="1:2">
      <c r="A1488" t="s">
        <v>1502</v>
      </c>
      <c r="B1488">
        <v>1</v>
      </c>
    </row>
    <row r="1489" spans="1:2">
      <c r="A1489" t="s">
        <v>205</v>
      </c>
      <c r="B1489">
        <v>1</v>
      </c>
    </row>
    <row r="1490" spans="1:2">
      <c r="A1490" t="s">
        <v>1528</v>
      </c>
      <c r="B1490">
        <v>1</v>
      </c>
    </row>
    <row r="1491" spans="1:2">
      <c r="A1491" t="s">
        <v>1529</v>
      </c>
      <c r="B1491">
        <v>1</v>
      </c>
    </row>
    <row r="1492" spans="1:2">
      <c r="A1492" t="s">
        <v>1531</v>
      </c>
      <c r="B1492">
        <v>1</v>
      </c>
    </row>
    <row r="1493" spans="1:2">
      <c r="A1493" t="s">
        <v>1532</v>
      </c>
      <c r="B1493">
        <v>1</v>
      </c>
    </row>
    <row r="1494" spans="1:2">
      <c r="A1494" t="s">
        <v>457</v>
      </c>
      <c r="B1494">
        <v>2</v>
      </c>
    </row>
    <row r="1495" spans="1:2">
      <c r="A1495" t="s">
        <v>1543</v>
      </c>
      <c r="B1495">
        <v>3</v>
      </c>
    </row>
    <row r="1496" spans="1:2">
      <c r="A1496" t="s">
        <v>1547</v>
      </c>
      <c r="B1496">
        <v>1</v>
      </c>
    </row>
    <row r="1497" spans="1:2">
      <c r="A1497" t="s">
        <v>1568</v>
      </c>
      <c r="B1497">
        <v>1</v>
      </c>
    </row>
    <row r="1498" spans="1:2">
      <c r="A1498" t="s">
        <v>667</v>
      </c>
      <c r="B1498">
        <v>2</v>
      </c>
    </row>
    <row r="1499" spans="1:2">
      <c r="A1499" t="s">
        <v>1579</v>
      </c>
      <c r="B1499">
        <v>1</v>
      </c>
    </row>
    <row r="1500" spans="1:2">
      <c r="A1500" t="s">
        <v>526</v>
      </c>
      <c r="B1500">
        <v>1</v>
      </c>
    </row>
    <row r="1501" spans="1:2">
      <c r="A1501" t="s">
        <v>1581</v>
      </c>
      <c r="B1501">
        <v>1</v>
      </c>
    </row>
    <row r="1502" spans="1:2">
      <c r="A1502" t="s">
        <v>1582</v>
      </c>
      <c r="B1502">
        <v>1</v>
      </c>
    </row>
    <row r="1503" spans="1:2">
      <c r="A1503" t="s">
        <v>1583</v>
      </c>
      <c r="B1503">
        <v>1</v>
      </c>
    </row>
    <row r="1504" spans="1:2">
      <c r="A1504" t="s">
        <v>1592</v>
      </c>
      <c r="B1504">
        <v>1</v>
      </c>
    </row>
    <row r="1505" spans="1:2">
      <c r="A1505" t="s">
        <v>1625</v>
      </c>
      <c r="B1505">
        <v>1</v>
      </c>
    </row>
    <row r="1506" spans="1:2">
      <c r="A1506" t="s">
        <v>1648</v>
      </c>
      <c r="B1506">
        <v>1</v>
      </c>
    </row>
    <row r="1507" spans="1:2">
      <c r="A1507" t="s">
        <v>172</v>
      </c>
      <c r="B1507">
        <v>3</v>
      </c>
    </row>
    <row r="1508" spans="1:2">
      <c r="A1508" t="s">
        <v>1652</v>
      </c>
      <c r="B1508">
        <v>1</v>
      </c>
    </row>
    <row r="1509" spans="1:2">
      <c r="A1509" t="s">
        <v>1653</v>
      </c>
      <c r="B1509">
        <v>1</v>
      </c>
    </row>
    <row r="1510" spans="1:2">
      <c r="A1510" t="s">
        <v>1660</v>
      </c>
      <c r="B1510">
        <v>1</v>
      </c>
    </row>
    <row r="1511" spans="1:2">
      <c r="A1511" t="s">
        <v>1693</v>
      </c>
      <c r="B1511">
        <v>1</v>
      </c>
    </row>
    <row r="1512" spans="1:2">
      <c r="A1512" t="s">
        <v>1698</v>
      </c>
      <c r="B1512">
        <v>1</v>
      </c>
    </row>
    <row r="1513" spans="1:2">
      <c r="A1513" t="s">
        <v>430</v>
      </c>
      <c r="B1513">
        <v>2</v>
      </c>
    </row>
    <row r="1514" spans="1:2">
      <c r="A1514" t="s">
        <v>858</v>
      </c>
      <c r="B1514">
        <v>1</v>
      </c>
    </row>
    <row r="1515" spans="1:2">
      <c r="A1515" t="s">
        <v>1718</v>
      </c>
      <c r="B1515">
        <v>1</v>
      </c>
    </row>
    <row r="1516" spans="1:2">
      <c r="A1516" t="s">
        <v>1721</v>
      </c>
      <c r="B1516">
        <v>1</v>
      </c>
    </row>
    <row r="1517" spans="1:2">
      <c r="A1517" t="s">
        <v>1722</v>
      </c>
      <c r="B1517">
        <v>1</v>
      </c>
    </row>
    <row r="1518" spans="1:2">
      <c r="A1518" t="s">
        <v>1723</v>
      </c>
      <c r="B1518">
        <v>1</v>
      </c>
    </row>
    <row r="1519" spans="1:2">
      <c r="A1519" t="s">
        <v>597</v>
      </c>
      <c r="B1519">
        <v>1</v>
      </c>
    </row>
    <row r="1520" spans="1:2">
      <c r="A1520" t="s">
        <v>1745</v>
      </c>
      <c r="B1520">
        <v>1</v>
      </c>
    </row>
    <row r="1521" spans="1:2">
      <c r="A1521" t="s">
        <v>1746</v>
      </c>
      <c r="B1521">
        <v>1</v>
      </c>
    </row>
    <row r="1522" spans="1:2">
      <c r="A1522" t="s">
        <v>1747</v>
      </c>
      <c r="B1522">
        <v>1</v>
      </c>
    </row>
    <row r="1523" spans="1:2">
      <c r="A1523" t="s">
        <v>1751</v>
      </c>
      <c r="B1523">
        <v>1</v>
      </c>
    </row>
    <row r="1524" spans="1:2">
      <c r="A1524" s="2" t="s">
        <v>9</v>
      </c>
      <c r="B1524" s="2">
        <v>766</v>
      </c>
    </row>
    <row r="1526" spans="1:2">
      <c r="A1526" s="2" t="s">
        <v>50</v>
      </c>
    </row>
    <row r="1527" spans="1:2">
      <c r="A1527" s="2" t="s">
        <v>0</v>
      </c>
      <c r="B1527" s="2" t="s">
        <v>1</v>
      </c>
    </row>
    <row r="1528" spans="1:2">
      <c r="A1528" t="s">
        <v>86</v>
      </c>
      <c r="B1528">
        <v>67</v>
      </c>
    </row>
    <row r="1529" spans="1:2">
      <c r="A1529" t="s">
        <v>1076</v>
      </c>
      <c r="B1529">
        <v>7</v>
      </c>
    </row>
    <row r="1530" spans="1:2">
      <c r="A1530" t="s">
        <v>25</v>
      </c>
      <c r="B1530">
        <v>153</v>
      </c>
    </row>
    <row r="1531" spans="1:2">
      <c r="A1531" t="s">
        <v>175</v>
      </c>
      <c r="B1531">
        <v>68</v>
      </c>
    </row>
    <row r="1532" spans="1:2">
      <c r="A1532" t="s">
        <v>1080</v>
      </c>
      <c r="B1532">
        <v>4</v>
      </c>
    </row>
    <row r="1533" spans="1:2">
      <c r="A1533" t="s">
        <v>484</v>
      </c>
      <c r="B1533">
        <v>6</v>
      </c>
    </row>
    <row r="1534" spans="1:2">
      <c r="A1534" t="s">
        <v>1087</v>
      </c>
      <c r="B1534">
        <v>1</v>
      </c>
    </row>
    <row r="1535" spans="1:2">
      <c r="A1535" t="s">
        <v>727</v>
      </c>
      <c r="B1535">
        <v>5</v>
      </c>
    </row>
    <row r="1536" spans="1:2">
      <c r="A1536" t="s">
        <v>449</v>
      </c>
      <c r="B1536">
        <v>3</v>
      </c>
    </row>
    <row r="1537" spans="1:2">
      <c r="A1537" t="s">
        <v>461</v>
      </c>
      <c r="B1537">
        <v>6</v>
      </c>
    </row>
    <row r="1538" spans="1:2">
      <c r="A1538" t="s">
        <v>1033</v>
      </c>
      <c r="B1538">
        <v>14</v>
      </c>
    </row>
    <row r="1539" spans="1:2">
      <c r="A1539" t="s">
        <v>1104</v>
      </c>
      <c r="B1539">
        <v>1</v>
      </c>
    </row>
    <row r="1540" spans="1:2">
      <c r="A1540" t="s">
        <v>1106</v>
      </c>
      <c r="B1540">
        <v>2</v>
      </c>
    </row>
    <row r="1541" spans="1:2">
      <c r="A1541" t="s">
        <v>1107</v>
      </c>
      <c r="B1541">
        <v>1</v>
      </c>
    </row>
    <row r="1542" spans="1:2">
      <c r="A1542" t="s">
        <v>157</v>
      </c>
      <c r="B1542">
        <v>39</v>
      </c>
    </row>
    <row r="1543" spans="1:2">
      <c r="A1543" t="s">
        <v>488</v>
      </c>
      <c r="B1543">
        <v>4</v>
      </c>
    </row>
    <row r="1544" spans="1:2">
      <c r="A1544" t="s">
        <v>1113</v>
      </c>
      <c r="B1544">
        <v>3</v>
      </c>
    </row>
    <row r="1545" spans="1:2">
      <c r="A1545" t="s">
        <v>454</v>
      </c>
      <c r="B1545">
        <v>2</v>
      </c>
    </row>
    <row r="1546" spans="1:2">
      <c r="A1546" t="s">
        <v>262</v>
      </c>
      <c r="B1546">
        <v>75</v>
      </c>
    </row>
    <row r="1547" spans="1:2">
      <c r="A1547" t="s">
        <v>447</v>
      </c>
      <c r="B1547">
        <v>12</v>
      </c>
    </row>
    <row r="1548" spans="1:2">
      <c r="A1548" t="s">
        <v>898</v>
      </c>
      <c r="B1548">
        <v>8</v>
      </c>
    </row>
    <row r="1549" spans="1:2">
      <c r="A1549" t="s">
        <v>474</v>
      </c>
      <c r="B1549">
        <v>15</v>
      </c>
    </row>
    <row r="1550" spans="1:2">
      <c r="A1550" t="s">
        <v>1146</v>
      </c>
      <c r="B1550">
        <v>8</v>
      </c>
    </row>
    <row r="1551" spans="1:2">
      <c r="A1551" t="s">
        <v>1148</v>
      </c>
      <c r="B1551">
        <v>1</v>
      </c>
    </row>
    <row r="1552" spans="1:2">
      <c r="A1552" t="s">
        <v>60</v>
      </c>
      <c r="B1552">
        <v>2</v>
      </c>
    </row>
    <row r="1553" spans="1:2">
      <c r="A1553" t="s">
        <v>348</v>
      </c>
      <c r="B1553">
        <v>20</v>
      </c>
    </row>
    <row r="1554" spans="1:2">
      <c r="A1554" t="s">
        <v>1149</v>
      </c>
      <c r="B1554">
        <v>2</v>
      </c>
    </row>
    <row r="1555" spans="1:2">
      <c r="A1555" t="s">
        <v>1150</v>
      </c>
      <c r="B1555">
        <v>1</v>
      </c>
    </row>
    <row r="1556" spans="1:2">
      <c r="A1556" t="s">
        <v>1151</v>
      </c>
      <c r="B1556">
        <v>1</v>
      </c>
    </row>
    <row r="1557" spans="1:2">
      <c r="A1557" t="s">
        <v>1178</v>
      </c>
      <c r="B1557">
        <v>1</v>
      </c>
    </row>
    <row r="1558" spans="1:2">
      <c r="A1558" t="s">
        <v>1181</v>
      </c>
      <c r="B1558">
        <v>1</v>
      </c>
    </row>
    <row r="1559" spans="1:2">
      <c r="A1559" t="s">
        <v>480</v>
      </c>
      <c r="B1559">
        <v>2</v>
      </c>
    </row>
    <row r="1560" spans="1:2">
      <c r="A1560" t="s">
        <v>952</v>
      </c>
      <c r="B1560">
        <v>27</v>
      </c>
    </row>
    <row r="1561" spans="1:2">
      <c r="A1561" t="s">
        <v>1215</v>
      </c>
      <c r="B1561">
        <v>5</v>
      </c>
    </row>
    <row r="1562" spans="1:2">
      <c r="A1562" t="s">
        <v>832</v>
      </c>
      <c r="B1562">
        <v>10</v>
      </c>
    </row>
    <row r="1563" spans="1:2">
      <c r="A1563" t="s">
        <v>1262</v>
      </c>
      <c r="B1563">
        <v>1</v>
      </c>
    </row>
    <row r="1564" spans="1:2">
      <c r="A1564" t="s">
        <v>170</v>
      </c>
      <c r="B1564">
        <v>7</v>
      </c>
    </row>
    <row r="1565" spans="1:2">
      <c r="A1565" t="s">
        <v>1270</v>
      </c>
      <c r="B1565">
        <v>2</v>
      </c>
    </row>
    <row r="1566" spans="1:2">
      <c r="A1566" t="s">
        <v>1271</v>
      </c>
      <c r="B1566">
        <v>2</v>
      </c>
    </row>
    <row r="1567" spans="1:2">
      <c r="A1567" t="s">
        <v>1277</v>
      </c>
      <c r="B1567">
        <v>4</v>
      </c>
    </row>
    <row r="1568" spans="1:2">
      <c r="A1568" t="s">
        <v>777</v>
      </c>
      <c r="B1568">
        <v>2</v>
      </c>
    </row>
    <row r="1569" spans="1:2">
      <c r="A1569" t="s">
        <v>978</v>
      </c>
      <c r="B1569">
        <v>3</v>
      </c>
    </row>
    <row r="1570" spans="1:2">
      <c r="A1570" t="s">
        <v>413</v>
      </c>
      <c r="B1570">
        <v>20</v>
      </c>
    </row>
    <row r="1571" spans="1:2">
      <c r="A1571" t="s">
        <v>116</v>
      </c>
      <c r="B1571">
        <v>3</v>
      </c>
    </row>
    <row r="1572" spans="1:2">
      <c r="A1572" t="s">
        <v>352</v>
      </c>
      <c r="B1572">
        <v>6</v>
      </c>
    </row>
    <row r="1573" spans="1:2">
      <c r="A1573" t="s">
        <v>433</v>
      </c>
      <c r="B1573">
        <v>14</v>
      </c>
    </row>
    <row r="1574" spans="1:2">
      <c r="A1574" t="s">
        <v>492</v>
      </c>
      <c r="B1574">
        <v>10</v>
      </c>
    </row>
    <row r="1575" spans="1:2">
      <c r="A1575" t="s">
        <v>400</v>
      </c>
      <c r="B1575">
        <v>2</v>
      </c>
    </row>
    <row r="1576" spans="1:2">
      <c r="A1576" t="s">
        <v>1318</v>
      </c>
      <c r="B1576">
        <v>2</v>
      </c>
    </row>
    <row r="1577" spans="1:2">
      <c r="A1577" t="s">
        <v>489</v>
      </c>
      <c r="B1577">
        <v>2</v>
      </c>
    </row>
    <row r="1578" spans="1:2">
      <c r="A1578" t="s">
        <v>1330</v>
      </c>
      <c r="B1578">
        <v>2</v>
      </c>
    </row>
    <row r="1579" spans="1:2">
      <c r="A1579" t="s">
        <v>1331</v>
      </c>
      <c r="B1579">
        <v>2</v>
      </c>
    </row>
    <row r="1580" spans="1:2">
      <c r="A1580" t="s">
        <v>839</v>
      </c>
      <c r="B1580">
        <v>1</v>
      </c>
    </row>
    <row r="1581" spans="1:2">
      <c r="A1581" t="s">
        <v>1332</v>
      </c>
      <c r="B1581">
        <v>1</v>
      </c>
    </row>
    <row r="1582" spans="1:2">
      <c r="A1582" t="s">
        <v>1340</v>
      </c>
      <c r="B1582">
        <v>2</v>
      </c>
    </row>
    <row r="1583" spans="1:2">
      <c r="A1583" t="s">
        <v>413</v>
      </c>
      <c r="B1583">
        <v>20</v>
      </c>
    </row>
    <row r="1584" spans="1:2">
      <c r="A1584" t="s">
        <v>116</v>
      </c>
      <c r="B1584">
        <v>3</v>
      </c>
    </row>
    <row r="1585" spans="1:2">
      <c r="A1585" t="s">
        <v>352</v>
      </c>
      <c r="B1585">
        <v>6</v>
      </c>
    </row>
    <row r="1586" spans="1:2">
      <c r="A1586" t="s">
        <v>433</v>
      </c>
      <c r="B1586">
        <v>14</v>
      </c>
    </row>
    <row r="1587" spans="1:2">
      <c r="A1587" t="s">
        <v>492</v>
      </c>
      <c r="B1587">
        <v>10</v>
      </c>
    </row>
    <row r="1588" spans="1:2">
      <c r="A1588" t="s">
        <v>400</v>
      </c>
      <c r="B1588">
        <v>2</v>
      </c>
    </row>
    <row r="1589" spans="1:2">
      <c r="A1589" t="s">
        <v>1318</v>
      </c>
      <c r="B1589">
        <v>2</v>
      </c>
    </row>
    <row r="1590" spans="1:2">
      <c r="A1590" t="s">
        <v>489</v>
      </c>
      <c r="B1590">
        <v>2</v>
      </c>
    </row>
    <row r="1591" spans="1:2">
      <c r="A1591" t="s">
        <v>1330</v>
      </c>
      <c r="B1591">
        <v>2</v>
      </c>
    </row>
    <row r="1592" spans="1:2">
      <c r="A1592" t="s">
        <v>1331</v>
      </c>
      <c r="B1592">
        <v>2</v>
      </c>
    </row>
    <row r="1593" spans="1:2">
      <c r="A1593" t="s">
        <v>839</v>
      </c>
      <c r="B1593">
        <v>1</v>
      </c>
    </row>
    <row r="1594" spans="1:2">
      <c r="A1594" t="s">
        <v>1332</v>
      </c>
      <c r="B1594">
        <v>1</v>
      </c>
    </row>
    <row r="1595" spans="1:2">
      <c r="A1595" t="s">
        <v>1340</v>
      </c>
      <c r="B1595">
        <v>2</v>
      </c>
    </row>
    <row r="1596" spans="1:2">
      <c r="A1596" t="s">
        <v>1369</v>
      </c>
      <c r="B1596">
        <v>1</v>
      </c>
    </row>
    <row r="1597" spans="1:2">
      <c r="A1597" t="s">
        <v>680</v>
      </c>
      <c r="B1597">
        <v>3</v>
      </c>
    </row>
    <row r="1598" spans="1:2">
      <c r="A1598" t="s">
        <v>1379</v>
      </c>
      <c r="B1598">
        <v>1</v>
      </c>
    </row>
    <row r="1599" spans="1:2">
      <c r="A1599" t="s">
        <v>716</v>
      </c>
      <c r="B1599">
        <v>1</v>
      </c>
    </row>
    <row r="1600" spans="1:2">
      <c r="A1600" t="s">
        <v>1438</v>
      </c>
      <c r="B1600">
        <v>3</v>
      </c>
    </row>
    <row r="1601" spans="1:2">
      <c r="A1601" t="s">
        <v>1453</v>
      </c>
      <c r="B1601">
        <v>1</v>
      </c>
    </row>
    <row r="1602" spans="1:2">
      <c r="A1602" t="s">
        <v>1462</v>
      </c>
      <c r="B1602">
        <v>1</v>
      </c>
    </row>
    <row r="1603" spans="1:2">
      <c r="A1603" t="s">
        <v>1463</v>
      </c>
      <c r="B1603">
        <v>1</v>
      </c>
    </row>
    <row r="1604" spans="1:2">
      <c r="A1604" t="s">
        <v>1477</v>
      </c>
      <c r="B1604">
        <v>1</v>
      </c>
    </row>
    <row r="1605" spans="1:2">
      <c r="A1605" t="s">
        <v>1484</v>
      </c>
      <c r="B1605">
        <v>1</v>
      </c>
    </row>
    <row r="1606" spans="1:2">
      <c r="A1606" t="s">
        <v>1044</v>
      </c>
      <c r="B1606">
        <v>4</v>
      </c>
    </row>
    <row r="1607" spans="1:2">
      <c r="A1607" t="s">
        <v>1545</v>
      </c>
      <c r="B1607">
        <v>1</v>
      </c>
    </row>
    <row r="1608" spans="1:2">
      <c r="A1608" t="s">
        <v>1546</v>
      </c>
      <c r="B1608">
        <v>1</v>
      </c>
    </row>
    <row r="1609" spans="1:2">
      <c r="A1609" t="s">
        <v>445</v>
      </c>
      <c r="B1609">
        <v>2</v>
      </c>
    </row>
    <row r="1610" spans="1:2">
      <c r="A1610" t="s">
        <v>1562</v>
      </c>
      <c r="B1610">
        <v>1</v>
      </c>
    </row>
    <row r="1611" spans="1:2">
      <c r="A1611" t="s">
        <v>1563</v>
      </c>
      <c r="B1611">
        <v>1</v>
      </c>
    </row>
    <row r="1612" spans="1:2">
      <c r="A1612" t="s">
        <v>1570</v>
      </c>
      <c r="B1612">
        <v>1</v>
      </c>
    </row>
    <row r="1613" spans="1:2">
      <c r="A1613" t="s">
        <v>1571</v>
      </c>
      <c r="B1613">
        <v>3</v>
      </c>
    </row>
    <row r="1614" spans="1:2">
      <c r="A1614" t="s">
        <v>476</v>
      </c>
      <c r="B1614">
        <v>2</v>
      </c>
    </row>
    <row r="1615" spans="1:2">
      <c r="A1615" t="s">
        <v>987</v>
      </c>
      <c r="B1615">
        <v>3</v>
      </c>
    </row>
    <row r="1616" spans="1:2">
      <c r="A1616" t="s">
        <v>1573</v>
      </c>
      <c r="B1616">
        <v>1</v>
      </c>
    </row>
    <row r="1617" spans="1:2">
      <c r="A1617" t="s">
        <v>1574</v>
      </c>
      <c r="B1617">
        <v>1</v>
      </c>
    </row>
    <row r="1618" spans="1:2">
      <c r="A1618" t="s">
        <v>1575</v>
      </c>
      <c r="B1618">
        <v>1</v>
      </c>
    </row>
    <row r="1619" spans="1:2">
      <c r="A1619" t="s">
        <v>1576</v>
      </c>
      <c r="B1619">
        <v>1</v>
      </c>
    </row>
    <row r="1620" spans="1:2">
      <c r="A1620" t="s">
        <v>1586</v>
      </c>
      <c r="B1620">
        <v>1</v>
      </c>
    </row>
    <row r="1621" spans="1:2">
      <c r="A1621" t="s">
        <v>956</v>
      </c>
      <c r="B1621">
        <v>3</v>
      </c>
    </row>
    <row r="1622" spans="1:2">
      <c r="A1622" t="s">
        <v>1613</v>
      </c>
      <c r="B1622">
        <v>1</v>
      </c>
    </row>
    <row r="1623" spans="1:2">
      <c r="A1623" t="s">
        <v>1615</v>
      </c>
      <c r="B1623">
        <v>1</v>
      </c>
    </row>
    <row r="1624" spans="1:2">
      <c r="A1624" t="s">
        <v>1617</v>
      </c>
      <c r="B1624">
        <v>1</v>
      </c>
    </row>
    <row r="1625" spans="1:2">
      <c r="A1625" t="s">
        <v>1620</v>
      </c>
      <c r="B1625">
        <v>1</v>
      </c>
    </row>
    <row r="1626" spans="1:2">
      <c r="A1626" t="s">
        <v>1621</v>
      </c>
      <c r="B1626">
        <v>1</v>
      </c>
    </row>
    <row r="1627" spans="1:2">
      <c r="A1627" t="s">
        <v>926</v>
      </c>
      <c r="B1627">
        <v>4</v>
      </c>
    </row>
    <row r="1628" spans="1:2">
      <c r="A1628" t="s">
        <v>1642</v>
      </c>
      <c r="B1628">
        <v>2</v>
      </c>
    </row>
    <row r="1629" spans="1:2">
      <c r="A1629" t="s">
        <v>1651</v>
      </c>
      <c r="B1629">
        <v>1</v>
      </c>
    </row>
    <row r="1630" spans="1:2">
      <c r="A1630" t="s">
        <v>1683</v>
      </c>
      <c r="B1630">
        <v>1</v>
      </c>
    </row>
    <row r="1631" spans="1:2">
      <c r="A1631" t="s">
        <v>1689</v>
      </c>
      <c r="B1631">
        <v>1</v>
      </c>
    </row>
    <row r="1632" spans="1:2">
      <c r="A1632" t="s">
        <v>1692</v>
      </c>
      <c r="B1632">
        <v>1</v>
      </c>
    </row>
    <row r="1633" spans="1:2">
      <c r="A1633" t="s">
        <v>1708</v>
      </c>
      <c r="B1633">
        <v>5</v>
      </c>
    </row>
    <row r="1634" spans="1:2">
      <c r="A1634" t="s">
        <v>1715</v>
      </c>
      <c r="B1634">
        <v>1</v>
      </c>
    </row>
    <row r="1635" spans="1:2">
      <c r="A1635" t="s">
        <v>1724</v>
      </c>
      <c r="B1635">
        <v>2</v>
      </c>
    </row>
    <row r="1636" spans="1:2">
      <c r="A1636" t="s">
        <v>1736</v>
      </c>
      <c r="B1636">
        <v>1</v>
      </c>
    </row>
    <row r="1637" spans="1:2">
      <c r="A1637" t="s">
        <v>1741</v>
      </c>
      <c r="B1637">
        <v>1</v>
      </c>
    </row>
    <row r="1638" spans="1:2">
      <c r="A1638" t="s">
        <v>1744</v>
      </c>
      <c r="B1638">
        <v>1</v>
      </c>
    </row>
    <row r="1639" spans="1:2">
      <c r="A1639" t="s">
        <v>1754</v>
      </c>
      <c r="B1639">
        <v>1</v>
      </c>
    </row>
    <row r="1640" spans="1:2">
      <c r="A1640" t="s">
        <v>1769</v>
      </c>
      <c r="B1640">
        <v>1</v>
      </c>
    </row>
    <row r="1641" spans="1:2">
      <c r="A1641" s="2" t="s">
        <v>9</v>
      </c>
      <c r="B1641" s="2">
        <v>801</v>
      </c>
    </row>
    <row r="1643" spans="1:2">
      <c r="A1643" s="2" t="s">
        <v>541</v>
      </c>
    </row>
    <row r="1644" spans="1:2">
      <c r="A1644" s="2" t="s">
        <v>0</v>
      </c>
      <c r="B1644" s="2" t="s">
        <v>1</v>
      </c>
    </row>
    <row r="1645" spans="1:2">
      <c r="A1645" t="s">
        <v>656</v>
      </c>
      <c r="B1645">
        <v>16</v>
      </c>
    </row>
    <row r="1646" spans="1:2">
      <c r="A1646" t="s">
        <v>581</v>
      </c>
      <c r="B1646">
        <v>35</v>
      </c>
    </row>
    <row r="1647" spans="1:2">
      <c r="A1647" t="s">
        <v>486</v>
      </c>
      <c r="B1647">
        <v>36</v>
      </c>
    </row>
    <row r="1648" spans="1:2">
      <c r="A1648" t="s">
        <v>227</v>
      </c>
      <c r="B1648">
        <v>17</v>
      </c>
    </row>
    <row r="1649" spans="1:2">
      <c r="A1649" t="s">
        <v>930</v>
      </c>
      <c r="B1649">
        <v>9</v>
      </c>
    </row>
    <row r="1650" spans="1:2">
      <c r="A1650" t="s">
        <v>251</v>
      </c>
      <c r="B1650">
        <v>51</v>
      </c>
    </row>
    <row r="1651" spans="1:2">
      <c r="A1651" t="s">
        <v>558</v>
      </c>
      <c r="B1651">
        <v>12</v>
      </c>
    </row>
    <row r="1652" spans="1:2">
      <c r="A1652" t="s">
        <v>873</v>
      </c>
      <c r="B1652">
        <v>10</v>
      </c>
    </row>
    <row r="1653" spans="1:2">
      <c r="A1653" t="s">
        <v>280</v>
      </c>
      <c r="B1653">
        <v>13</v>
      </c>
    </row>
    <row r="1654" spans="1:2">
      <c r="A1654" t="s">
        <v>726</v>
      </c>
      <c r="B1654">
        <v>11</v>
      </c>
    </row>
    <row r="1655" spans="1:2">
      <c r="A1655" t="s">
        <v>869</v>
      </c>
      <c r="B1655">
        <v>4</v>
      </c>
    </row>
    <row r="1656" spans="1:2">
      <c r="A1656" t="s">
        <v>627</v>
      </c>
      <c r="B1656">
        <v>14</v>
      </c>
    </row>
    <row r="1657" spans="1:2">
      <c r="A1657" t="s">
        <v>279</v>
      </c>
      <c r="B1657">
        <v>14</v>
      </c>
    </row>
    <row r="1658" spans="1:2">
      <c r="A1658" t="s">
        <v>393</v>
      </c>
      <c r="B1658">
        <v>14</v>
      </c>
    </row>
    <row r="1659" spans="1:2">
      <c r="A1659" t="s">
        <v>234</v>
      </c>
      <c r="B1659">
        <v>5</v>
      </c>
    </row>
    <row r="1660" spans="1:2">
      <c r="A1660" t="s">
        <v>871</v>
      </c>
      <c r="B1660">
        <v>6</v>
      </c>
    </row>
    <row r="1661" spans="1:2">
      <c r="A1661" t="s">
        <v>1192</v>
      </c>
      <c r="B1661">
        <v>5</v>
      </c>
    </row>
    <row r="1662" spans="1:2">
      <c r="A1662" t="s">
        <v>257</v>
      </c>
      <c r="B1662">
        <v>4</v>
      </c>
    </row>
    <row r="1663" spans="1:2">
      <c r="A1663" t="s">
        <v>285</v>
      </c>
      <c r="B1663">
        <v>10</v>
      </c>
    </row>
    <row r="1664" spans="1:2">
      <c r="A1664" t="s">
        <v>252</v>
      </c>
      <c r="B1664">
        <v>1</v>
      </c>
    </row>
    <row r="1665" spans="1:2">
      <c r="A1665" t="s">
        <v>356</v>
      </c>
      <c r="B1665">
        <v>3</v>
      </c>
    </row>
    <row r="1666" spans="1:2">
      <c r="A1666" t="s">
        <v>552</v>
      </c>
      <c r="B1666">
        <v>1</v>
      </c>
    </row>
    <row r="1667" spans="1:2">
      <c r="A1667" t="s">
        <v>1268</v>
      </c>
      <c r="B1667">
        <v>3</v>
      </c>
    </row>
    <row r="1668" spans="1:2">
      <c r="A1668" t="s">
        <v>822</v>
      </c>
      <c r="B1668">
        <v>3</v>
      </c>
    </row>
    <row r="1669" spans="1:2">
      <c r="A1669" t="s">
        <v>478</v>
      </c>
      <c r="B1669">
        <v>9</v>
      </c>
    </row>
    <row r="1670" spans="1:2">
      <c r="A1670" t="s">
        <v>1313</v>
      </c>
      <c r="B1670">
        <v>1</v>
      </c>
    </row>
    <row r="1671" spans="1:2">
      <c r="A1671" t="s">
        <v>1314</v>
      </c>
      <c r="B1671">
        <v>1</v>
      </c>
    </row>
    <row r="1672" spans="1:2">
      <c r="A1672" t="s">
        <v>1317</v>
      </c>
      <c r="B1672">
        <v>1</v>
      </c>
    </row>
    <row r="1673" spans="1:2">
      <c r="A1673" t="s">
        <v>1313</v>
      </c>
      <c r="B1673">
        <v>1</v>
      </c>
    </row>
    <row r="1674" spans="1:2">
      <c r="A1674" t="s">
        <v>1314</v>
      </c>
      <c r="B1674">
        <v>1</v>
      </c>
    </row>
    <row r="1675" spans="1:2">
      <c r="A1675" t="s">
        <v>1317</v>
      </c>
      <c r="B1675">
        <v>1</v>
      </c>
    </row>
    <row r="1676" spans="1:2">
      <c r="A1676" t="s">
        <v>580</v>
      </c>
      <c r="B1676">
        <v>3</v>
      </c>
    </row>
    <row r="1677" spans="1:2">
      <c r="A1677" t="s">
        <v>1382</v>
      </c>
      <c r="B1677">
        <v>7</v>
      </c>
    </row>
    <row r="1678" spans="1:2">
      <c r="A1678" t="s">
        <v>701</v>
      </c>
      <c r="B1678">
        <v>1</v>
      </c>
    </row>
    <row r="1679" spans="1:2">
      <c r="A1679" t="s">
        <v>308</v>
      </c>
      <c r="B1679">
        <v>1</v>
      </c>
    </row>
    <row r="1680" spans="1:2">
      <c r="A1680" t="s">
        <v>1469</v>
      </c>
      <c r="B1680">
        <v>2</v>
      </c>
    </row>
    <row r="1681" spans="1:2">
      <c r="A1681" t="s">
        <v>1509</v>
      </c>
      <c r="B1681">
        <v>1</v>
      </c>
    </row>
    <row r="1682" spans="1:2">
      <c r="A1682" t="s">
        <v>919</v>
      </c>
      <c r="B1682">
        <v>1</v>
      </c>
    </row>
    <row r="1683" spans="1:2">
      <c r="A1683" t="s">
        <v>1697</v>
      </c>
      <c r="B1683">
        <v>1</v>
      </c>
    </row>
    <row r="1684" spans="1:2">
      <c r="A1684" s="2" t="s">
        <v>9</v>
      </c>
      <c r="B1684" s="2">
        <v>329</v>
      </c>
    </row>
    <row r="1686" spans="1:2">
      <c r="A1686" s="2" t="s">
        <v>532</v>
      </c>
    </row>
    <row r="1687" spans="1:2">
      <c r="A1687" s="2" t="s">
        <v>0</v>
      </c>
      <c r="B1687" s="2" t="s">
        <v>1</v>
      </c>
    </row>
    <row r="1688" spans="1:2">
      <c r="A1688" t="s">
        <v>1075</v>
      </c>
      <c r="B1688">
        <v>2</v>
      </c>
    </row>
    <row r="1689" spans="1:2">
      <c r="A1689" t="s">
        <v>124</v>
      </c>
      <c r="B1689">
        <v>113</v>
      </c>
    </row>
    <row r="1690" spans="1:2">
      <c r="A1690" t="s">
        <v>1081</v>
      </c>
      <c r="B1690">
        <v>3</v>
      </c>
    </row>
    <row r="1691" spans="1:2">
      <c r="A1691" t="s">
        <v>103</v>
      </c>
      <c r="B1691">
        <v>136</v>
      </c>
    </row>
    <row r="1692" spans="1:2">
      <c r="A1692" t="s">
        <v>100</v>
      </c>
      <c r="B1692">
        <v>11</v>
      </c>
    </row>
    <row r="1693" spans="1:2">
      <c r="A1693" t="s">
        <v>1096</v>
      </c>
      <c r="B1693">
        <v>1</v>
      </c>
    </row>
    <row r="1694" spans="1:2">
      <c r="A1694" t="s">
        <v>1097</v>
      </c>
      <c r="B1694">
        <v>2</v>
      </c>
    </row>
    <row r="1695" spans="1:2">
      <c r="A1695" t="s">
        <v>97</v>
      </c>
      <c r="B1695">
        <v>84</v>
      </c>
    </row>
    <row r="1696" spans="1:2">
      <c r="A1696" t="s">
        <v>99</v>
      </c>
      <c r="B1696">
        <v>32</v>
      </c>
    </row>
    <row r="1697" spans="1:2">
      <c r="A1697" t="s">
        <v>200</v>
      </c>
      <c r="B1697">
        <v>44</v>
      </c>
    </row>
    <row r="1698" spans="1:2">
      <c r="A1698" t="s">
        <v>1122</v>
      </c>
      <c r="B1698">
        <v>5</v>
      </c>
    </row>
    <row r="1699" spans="1:2">
      <c r="A1699" t="s">
        <v>1123</v>
      </c>
      <c r="B1699">
        <v>8</v>
      </c>
    </row>
    <row r="1700" spans="1:2">
      <c r="A1700" t="s">
        <v>161</v>
      </c>
      <c r="B1700">
        <v>12</v>
      </c>
    </row>
    <row r="1701" spans="1:2">
      <c r="A1701" t="s">
        <v>1135</v>
      </c>
      <c r="B1701">
        <v>2</v>
      </c>
    </row>
    <row r="1702" spans="1:2">
      <c r="A1702" t="s">
        <v>1138</v>
      </c>
      <c r="B1702">
        <v>1</v>
      </c>
    </row>
    <row r="1703" spans="1:2">
      <c r="A1703" t="s">
        <v>1143</v>
      </c>
      <c r="B1703">
        <v>3</v>
      </c>
    </row>
    <row r="1704" spans="1:2">
      <c r="A1704" t="s">
        <v>880</v>
      </c>
      <c r="B1704">
        <v>2</v>
      </c>
    </row>
    <row r="1705" spans="1:2">
      <c r="A1705" t="s">
        <v>1168</v>
      </c>
      <c r="B1705">
        <v>5</v>
      </c>
    </row>
    <row r="1706" spans="1:2">
      <c r="A1706" t="s">
        <v>102</v>
      </c>
      <c r="B1706">
        <v>37</v>
      </c>
    </row>
    <row r="1707" spans="1:2">
      <c r="A1707" t="s">
        <v>191</v>
      </c>
      <c r="B1707">
        <v>11</v>
      </c>
    </row>
    <row r="1708" spans="1:2">
      <c r="A1708" t="s">
        <v>703</v>
      </c>
      <c r="B1708">
        <v>11</v>
      </c>
    </row>
    <row r="1709" spans="1:2">
      <c r="A1709" t="s">
        <v>198</v>
      </c>
      <c r="B1709">
        <v>14</v>
      </c>
    </row>
    <row r="1710" spans="1:2">
      <c r="A1710" t="s">
        <v>781</v>
      </c>
      <c r="B1710">
        <v>8</v>
      </c>
    </row>
    <row r="1711" spans="1:2">
      <c r="A1711" t="s">
        <v>435</v>
      </c>
      <c r="B1711">
        <v>2</v>
      </c>
    </row>
    <row r="1712" spans="1:2">
      <c r="A1712" t="s">
        <v>1211</v>
      </c>
      <c r="B1712">
        <v>1</v>
      </c>
    </row>
    <row r="1713" spans="1:2">
      <c r="A1713" t="s">
        <v>1220</v>
      </c>
      <c r="B1713">
        <v>4</v>
      </c>
    </row>
    <row r="1714" spans="1:2">
      <c r="A1714" t="s">
        <v>1221</v>
      </c>
      <c r="B1714">
        <v>1</v>
      </c>
    </row>
    <row r="1715" spans="1:2">
      <c r="A1715" t="s">
        <v>1224</v>
      </c>
      <c r="B1715">
        <v>2</v>
      </c>
    </row>
    <row r="1716" spans="1:2">
      <c r="A1716" t="s">
        <v>755</v>
      </c>
      <c r="B1716">
        <v>5</v>
      </c>
    </row>
    <row r="1717" spans="1:2">
      <c r="A1717" t="s">
        <v>881</v>
      </c>
      <c r="B1717">
        <v>9</v>
      </c>
    </row>
    <row r="1718" spans="1:2">
      <c r="A1718" t="s">
        <v>1227</v>
      </c>
      <c r="B1718">
        <v>1</v>
      </c>
    </row>
    <row r="1719" spans="1:2">
      <c r="A1719" t="s">
        <v>1251</v>
      </c>
      <c r="B1719">
        <v>2</v>
      </c>
    </row>
    <row r="1720" spans="1:2">
      <c r="A1720" t="s">
        <v>155</v>
      </c>
      <c r="B1720">
        <v>6</v>
      </c>
    </row>
    <row r="1721" spans="1:2">
      <c r="A1721" t="s">
        <v>1258</v>
      </c>
      <c r="B1721">
        <v>3</v>
      </c>
    </row>
    <row r="1722" spans="1:2">
      <c r="A1722" t="s">
        <v>1259</v>
      </c>
      <c r="B1722">
        <v>1</v>
      </c>
    </row>
    <row r="1723" spans="1:2">
      <c r="A1723" t="s">
        <v>1260</v>
      </c>
      <c r="B1723">
        <v>1</v>
      </c>
    </row>
    <row r="1724" spans="1:2">
      <c r="A1724" t="s">
        <v>721</v>
      </c>
      <c r="B1724">
        <v>2</v>
      </c>
    </row>
    <row r="1725" spans="1:2">
      <c r="A1725" t="s">
        <v>1266</v>
      </c>
      <c r="B1725">
        <v>6</v>
      </c>
    </row>
    <row r="1726" spans="1:2">
      <c r="A1726" t="s">
        <v>1283</v>
      </c>
      <c r="B1726">
        <v>1</v>
      </c>
    </row>
    <row r="1727" spans="1:2">
      <c r="A1727" t="s">
        <v>1288</v>
      </c>
      <c r="B1727">
        <v>5</v>
      </c>
    </row>
    <row r="1728" spans="1:2">
      <c r="A1728" t="s">
        <v>362</v>
      </c>
      <c r="B1728">
        <v>9</v>
      </c>
    </row>
    <row r="1729" spans="1:2">
      <c r="A1729" t="s">
        <v>559</v>
      </c>
      <c r="B1729">
        <v>3</v>
      </c>
    </row>
    <row r="1730" spans="1:2">
      <c r="A1730" t="s">
        <v>1311</v>
      </c>
      <c r="B1730">
        <v>1</v>
      </c>
    </row>
    <row r="1731" spans="1:2">
      <c r="A1731" t="s">
        <v>1326</v>
      </c>
      <c r="B1731">
        <v>6</v>
      </c>
    </row>
    <row r="1732" spans="1:2">
      <c r="A1732" t="s">
        <v>1335</v>
      </c>
      <c r="B1732">
        <v>1</v>
      </c>
    </row>
    <row r="1733" spans="1:2">
      <c r="A1733" t="s">
        <v>1336</v>
      </c>
      <c r="B1733">
        <v>3</v>
      </c>
    </row>
    <row r="1734" spans="1:2">
      <c r="A1734" t="s">
        <v>1338</v>
      </c>
      <c r="B1734">
        <v>1</v>
      </c>
    </row>
    <row r="1735" spans="1:2">
      <c r="A1735" t="s">
        <v>362</v>
      </c>
      <c r="B1735">
        <v>9</v>
      </c>
    </row>
    <row r="1736" spans="1:2">
      <c r="A1736" t="s">
        <v>559</v>
      </c>
      <c r="B1736">
        <v>3</v>
      </c>
    </row>
    <row r="1737" spans="1:2">
      <c r="A1737" t="s">
        <v>1311</v>
      </c>
      <c r="B1737">
        <v>1</v>
      </c>
    </row>
    <row r="1738" spans="1:2">
      <c r="A1738" t="s">
        <v>1326</v>
      </c>
      <c r="B1738">
        <v>6</v>
      </c>
    </row>
    <row r="1739" spans="1:2">
      <c r="A1739" t="s">
        <v>1335</v>
      </c>
      <c r="B1739">
        <v>1</v>
      </c>
    </row>
    <row r="1740" spans="1:2">
      <c r="A1740" t="s">
        <v>1336</v>
      </c>
      <c r="B1740">
        <v>3</v>
      </c>
    </row>
    <row r="1741" spans="1:2">
      <c r="A1741" t="s">
        <v>1338</v>
      </c>
      <c r="B1741">
        <v>1</v>
      </c>
    </row>
    <row r="1742" spans="1:2">
      <c r="A1742" t="s">
        <v>1370</v>
      </c>
      <c r="B1742">
        <v>1</v>
      </c>
    </row>
    <row r="1743" spans="1:2">
      <c r="A1743" t="s">
        <v>452</v>
      </c>
      <c r="B1743">
        <v>2</v>
      </c>
    </row>
    <row r="1744" spans="1:2">
      <c r="A1744" t="s">
        <v>1393</v>
      </c>
      <c r="B1744">
        <v>1</v>
      </c>
    </row>
    <row r="1745" spans="1:2">
      <c r="A1745" t="s">
        <v>1394</v>
      </c>
      <c r="B1745">
        <v>1</v>
      </c>
    </row>
    <row r="1746" spans="1:2">
      <c r="A1746" t="s">
        <v>925</v>
      </c>
      <c r="B1746">
        <v>2</v>
      </c>
    </row>
    <row r="1747" spans="1:2">
      <c r="A1747" t="s">
        <v>1405</v>
      </c>
      <c r="B1747">
        <v>1</v>
      </c>
    </row>
    <row r="1748" spans="1:2">
      <c r="A1748" t="s">
        <v>1444</v>
      </c>
      <c r="B1748">
        <v>1</v>
      </c>
    </row>
    <row r="1749" spans="1:2">
      <c r="A1749" t="s">
        <v>1449</v>
      </c>
      <c r="B1749">
        <v>1</v>
      </c>
    </row>
    <row r="1750" spans="1:2">
      <c r="A1750" t="s">
        <v>1467</v>
      </c>
      <c r="B1750">
        <v>3</v>
      </c>
    </row>
    <row r="1751" spans="1:2">
      <c r="A1751" t="s">
        <v>1468</v>
      </c>
      <c r="B1751">
        <v>2</v>
      </c>
    </row>
    <row r="1752" spans="1:2">
      <c r="A1752" t="s">
        <v>509</v>
      </c>
      <c r="B1752">
        <v>3</v>
      </c>
    </row>
    <row r="1753" spans="1:2">
      <c r="A1753" t="s">
        <v>304</v>
      </c>
      <c r="B1753">
        <v>1</v>
      </c>
    </row>
    <row r="1754" spans="1:2">
      <c r="A1754" t="s">
        <v>1472</v>
      </c>
      <c r="B1754">
        <v>1</v>
      </c>
    </row>
    <row r="1755" spans="1:2">
      <c r="A1755" t="s">
        <v>1479</v>
      </c>
      <c r="B1755">
        <v>1</v>
      </c>
    </row>
    <row r="1756" spans="1:2">
      <c r="A1756" t="s">
        <v>1483</v>
      </c>
      <c r="B1756">
        <v>1</v>
      </c>
    </row>
    <row r="1757" spans="1:2">
      <c r="A1757" t="s">
        <v>702</v>
      </c>
      <c r="B1757">
        <v>1</v>
      </c>
    </row>
    <row r="1758" spans="1:2">
      <c r="A1758" t="s">
        <v>1533</v>
      </c>
      <c r="B1758">
        <v>1</v>
      </c>
    </row>
    <row r="1759" spans="1:2">
      <c r="A1759" t="s">
        <v>1534</v>
      </c>
      <c r="B1759">
        <v>1</v>
      </c>
    </row>
    <row r="1760" spans="1:2">
      <c r="A1760" t="s">
        <v>1540</v>
      </c>
      <c r="B1760">
        <v>1</v>
      </c>
    </row>
    <row r="1761" spans="1:2">
      <c r="A1761" t="s">
        <v>1551</v>
      </c>
      <c r="B1761">
        <v>1</v>
      </c>
    </row>
    <row r="1762" spans="1:2">
      <c r="A1762" t="s">
        <v>1558</v>
      </c>
      <c r="B1762">
        <v>2</v>
      </c>
    </row>
    <row r="1763" spans="1:2">
      <c r="A1763" t="s">
        <v>357</v>
      </c>
      <c r="B1763">
        <v>1</v>
      </c>
    </row>
    <row r="1764" spans="1:2">
      <c r="A1764" t="s">
        <v>1569</v>
      </c>
      <c r="B1764">
        <v>1</v>
      </c>
    </row>
    <row r="1765" spans="1:2">
      <c r="A1765" t="s">
        <v>1593</v>
      </c>
      <c r="B1765">
        <v>1</v>
      </c>
    </row>
    <row r="1766" spans="1:2">
      <c r="A1766" t="s">
        <v>1598</v>
      </c>
      <c r="B1766">
        <v>1</v>
      </c>
    </row>
    <row r="1767" spans="1:2">
      <c r="A1767" t="s">
        <v>1645</v>
      </c>
      <c r="B1767">
        <v>1</v>
      </c>
    </row>
    <row r="1768" spans="1:2">
      <c r="A1768" t="s">
        <v>1646</v>
      </c>
      <c r="B1768">
        <v>1</v>
      </c>
    </row>
    <row r="1769" spans="1:2">
      <c r="A1769" t="s">
        <v>1727</v>
      </c>
      <c r="B1769">
        <v>1</v>
      </c>
    </row>
    <row r="1770" spans="1:2">
      <c r="A1770" t="s">
        <v>1728</v>
      </c>
      <c r="B1770">
        <v>1</v>
      </c>
    </row>
    <row r="1771" spans="1:2">
      <c r="A1771" t="s">
        <v>676</v>
      </c>
      <c r="B1771">
        <v>1</v>
      </c>
    </row>
    <row r="1772" spans="1:2">
      <c r="A1772" t="s">
        <v>1782</v>
      </c>
      <c r="B1772">
        <v>1</v>
      </c>
    </row>
    <row r="1773" spans="1:2">
      <c r="A1773" t="s">
        <v>1786</v>
      </c>
      <c r="B1773">
        <v>1</v>
      </c>
    </row>
    <row r="1774" spans="1:2">
      <c r="A1774" s="2" t="s">
        <v>9</v>
      </c>
      <c r="B1774" s="2">
        <v>687</v>
      </c>
    </row>
    <row r="1776" spans="1:2">
      <c r="A1776" s="2" t="s">
        <v>47</v>
      </c>
    </row>
    <row r="1777" spans="1:2">
      <c r="A1777" s="2" t="s">
        <v>0</v>
      </c>
      <c r="B1777" s="2" t="s">
        <v>1</v>
      </c>
    </row>
    <row r="1778" spans="1:2">
      <c r="A1778" t="s">
        <v>17</v>
      </c>
      <c r="B1778">
        <v>12</v>
      </c>
    </row>
    <row r="1779" spans="1:2">
      <c r="A1779" t="s">
        <v>177</v>
      </c>
      <c r="B1779">
        <v>31</v>
      </c>
    </row>
    <row r="1780" spans="1:2">
      <c r="A1780" t="s">
        <v>212</v>
      </c>
      <c r="B1780">
        <v>57</v>
      </c>
    </row>
    <row r="1781" spans="1:2">
      <c r="A1781" t="s">
        <v>336</v>
      </c>
      <c r="B1781">
        <v>33</v>
      </c>
    </row>
    <row r="1782" spans="1:2">
      <c r="A1782" t="s">
        <v>583</v>
      </c>
      <c r="B1782">
        <v>83</v>
      </c>
    </row>
    <row r="1783" spans="1:2">
      <c r="A1783" t="s">
        <v>1082</v>
      </c>
      <c r="B1783">
        <v>1</v>
      </c>
    </row>
    <row r="1784" spans="1:2">
      <c r="A1784" t="s">
        <v>163</v>
      </c>
      <c r="B1784">
        <v>25</v>
      </c>
    </row>
    <row r="1785" spans="1:2">
      <c r="A1785" t="s">
        <v>133</v>
      </c>
      <c r="B1785">
        <v>147</v>
      </c>
    </row>
    <row r="1786" spans="1:2">
      <c r="A1786" t="s">
        <v>708</v>
      </c>
      <c r="B1786">
        <v>24</v>
      </c>
    </row>
    <row r="1787" spans="1:2">
      <c r="A1787" t="s">
        <v>603</v>
      </c>
      <c r="B1787">
        <v>12</v>
      </c>
    </row>
    <row r="1788" spans="1:2">
      <c r="A1788" t="s">
        <v>360</v>
      </c>
      <c r="B1788">
        <v>18</v>
      </c>
    </row>
    <row r="1789" spans="1:2">
      <c r="A1789" t="s">
        <v>167</v>
      </c>
      <c r="B1789">
        <v>63</v>
      </c>
    </row>
    <row r="1790" spans="1:2">
      <c r="A1790" t="s">
        <v>322</v>
      </c>
      <c r="B1790">
        <v>7</v>
      </c>
    </row>
    <row r="1791" spans="1:2">
      <c r="A1791" t="s">
        <v>117</v>
      </c>
      <c r="B1791">
        <v>17</v>
      </c>
    </row>
    <row r="1792" spans="1:2">
      <c r="A1792" t="s">
        <v>414</v>
      </c>
      <c r="B1792">
        <v>10</v>
      </c>
    </row>
    <row r="1793" spans="1:2">
      <c r="A1793" t="s">
        <v>46</v>
      </c>
      <c r="B1793">
        <v>16</v>
      </c>
    </row>
    <row r="1794" spans="1:2">
      <c r="A1794" t="s">
        <v>56</v>
      </c>
      <c r="B1794">
        <v>18</v>
      </c>
    </row>
    <row r="1795" spans="1:2">
      <c r="A1795" t="s">
        <v>915</v>
      </c>
      <c r="B1795">
        <v>2</v>
      </c>
    </row>
    <row r="1796" spans="1:2">
      <c r="A1796" t="s">
        <v>168</v>
      </c>
      <c r="B1796">
        <v>11</v>
      </c>
    </row>
    <row r="1797" spans="1:2">
      <c r="A1797" t="s">
        <v>201</v>
      </c>
      <c r="B1797">
        <v>28</v>
      </c>
    </row>
    <row r="1798" spans="1:2">
      <c r="A1798" t="s">
        <v>294</v>
      </c>
      <c r="B1798">
        <v>54</v>
      </c>
    </row>
    <row r="1799" spans="1:2">
      <c r="A1799" t="s">
        <v>959</v>
      </c>
      <c r="B1799">
        <v>1</v>
      </c>
    </row>
    <row r="1800" spans="1:2">
      <c r="A1800" t="s">
        <v>805</v>
      </c>
      <c r="B1800">
        <v>31</v>
      </c>
    </row>
    <row r="1801" spans="1:2">
      <c r="A1801" t="s">
        <v>106</v>
      </c>
      <c r="B1801">
        <v>37</v>
      </c>
    </row>
    <row r="1802" spans="1:2">
      <c r="A1802" t="s">
        <v>991</v>
      </c>
      <c r="B1802">
        <v>9</v>
      </c>
    </row>
    <row r="1803" spans="1:2">
      <c r="A1803" t="s">
        <v>1131</v>
      </c>
      <c r="B1803">
        <v>2</v>
      </c>
    </row>
    <row r="1804" spans="1:2">
      <c r="A1804" t="s">
        <v>573</v>
      </c>
      <c r="B1804">
        <v>5</v>
      </c>
    </row>
    <row r="1805" spans="1:2">
      <c r="A1805" t="s">
        <v>678</v>
      </c>
      <c r="B1805">
        <v>17</v>
      </c>
    </row>
    <row r="1806" spans="1:2">
      <c r="A1806" t="s">
        <v>946</v>
      </c>
      <c r="B1806">
        <v>1</v>
      </c>
    </row>
    <row r="1807" spans="1:2">
      <c r="A1807" t="s">
        <v>817</v>
      </c>
      <c r="B1807">
        <v>7</v>
      </c>
    </row>
    <row r="1808" spans="1:2">
      <c r="A1808" t="s">
        <v>436</v>
      </c>
      <c r="B1808">
        <v>1</v>
      </c>
    </row>
    <row r="1809" spans="1:2">
      <c r="A1809" t="s">
        <v>691</v>
      </c>
      <c r="B1809">
        <v>1</v>
      </c>
    </row>
    <row r="1810" spans="1:2">
      <c r="A1810" t="s">
        <v>289</v>
      </c>
      <c r="B1810">
        <v>1</v>
      </c>
    </row>
    <row r="1811" spans="1:2">
      <c r="A1811" t="s">
        <v>1160</v>
      </c>
      <c r="B1811">
        <v>1</v>
      </c>
    </row>
    <row r="1812" spans="1:2">
      <c r="A1812" t="s">
        <v>306</v>
      </c>
      <c r="B1812">
        <v>2</v>
      </c>
    </row>
    <row r="1813" spans="1:2">
      <c r="A1813" t="s">
        <v>1169</v>
      </c>
      <c r="B1813">
        <v>1</v>
      </c>
    </row>
    <row r="1814" spans="1:2">
      <c r="A1814" t="s">
        <v>1170</v>
      </c>
      <c r="B1814">
        <v>1</v>
      </c>
    </row>
    <row r="1815" spans="1:2">
      <c r="A1815" t="s">
        <v>1171</v>
      </c>
      <c r="B1815">
        <v>4</v>
      </c>
    </row>
    <row r="1816" spans="1:2">
      <c r="A1816" t="s">
        <v>495</v>
      </c>
      <c r="B1816">
        <v>3</v>
      </c>
    </row>
    <row r="1817" spans="1:2">
      <c r="A1817" t="s">
        <v>1172</v>
      </c>
      <c r="B1817">
        <v>1</v>
      </c>
    </row>
    <row r="1818" spans="1:2">
      <c r="A1818" t="s">
        <v>1174</v>
      </c>
      <c r="B1818">
        <v>3</v>
      </c>
    </row>
    <row r="1819" spans="1:2">
      <c r="A1819" t="s">
        <v>1176</v>
      </c>
      <c r="B1819">
        <v>1</v>
      </c>
    </row>
    <row r="1820" spans="1:2">
      <c r="A1820" t="s">
        <v>607</v>
      </c>
      <c r="B1820">
        <v>8</v>
      </c>
    </row>
    <row r="1821" spans="1:2">
      <c r="A1821" t="s">
        <v>555</v>
      </c>
      <c r="B1821">
        <v>59</v>
      </c>
    </row>
    <row r="1822" spans="1:2">
      <c r="A1822" t="s">
        <v>443</v>
      </c>
      <c r="B1822">
        <v>2</v>
      </c>
    </row>
    <row r="1823" spans="1:2">
      <c r="A1823" t="s">
        <v>1194</v>
      </c>
      <c r="B1823">
        <v>2</v>
      </c>
    </row>
    <row r="1824" spans="1:2">
      <c r="A1824" t="s">
        <v>720</v>
      </c>
      <c r="B1824">
        <v>5</v>
      </c>
    </row>
    <row r="1825" spans="1:2">
      <c r="A1825" t="s">
        <v>1205</v>
      </c>
      <c r="B1825">
        <v>4</v>
      </c>
    </row>
    <row r="1826" spans="1:2">
      <c r="A1826" t="s">
        <v>315</v>
      </c>
      <c r="B1826">
        <v>1</v>
      </c>
    </row>
    <row r="1827" spans="1:2">
      <c r="A1827" t="s">
        <v>1208</v>
      </c>
      <c r="B1827">
        <v>4</v>
      </c>
    </row>
    <row r="1828" spans="1:2">
      <c r="A1828" t="s">
        <v>1210</v>
      </c>
      <c r="B1828">
        <v>1</v>
      </c>
    </row>
    <row r="1829" spans="1:2">
      <c r="A1829" t="s">
        <v>791</v>
      </c>
      <c r="B1829">
        <v>8</v>
      </c>
    </row>
    <row r="1830" spans="1:2">
      <c r="A1830" t="s">
        <v>1222</v>
      </c>
      <c r="B1830">
        <v>2</v>
      </c>
    </row>
    <row r="1831" spans="1:2">
      <c r="A1831" t="s">
        <v>571</v>
      </c>
      <c r="B1831">
        <v>21</v>
      </c>
    </row>
    <row r="1832" spans="1:2">
      <c r="A1832" t="s">
        <v>651</v>
      </c>
      <c r="B1832">
        <v>4</v>
      </c>
    </row>
    <row r="1833" spans="1:2">
      <c r="A1833" t="s">
        <v>1225</v>
      </c>
      <c r="B1833">
        <v>2</v>
      </c>
    </row>
    <row r="1834" spans="1:2">
      <c r="A1834" t="s">
        <v>1233</v>
      </c>
      <c r="B1834">
        <v>5</v>
      </c>
    </row>
    <row r="1835" spans="1:2">
      <c r="A1835" t="s">
        <v>1236</v>
      </c>
      <c r="B1835">
        <v>3</v>
      </c>
    </row>
    <row r="1836" spans="1:2">
      <c r="A1836" t="s">
        <v>1239</v>
      </c>
      <c r="B1836">
        <v>2</v>
      </c>
    </row>
    <row r="1837" spans="1:2">
      <c r="A1837" t="s">
        <v>269</v>
      </c>
      <c r="B1837">
        <v>11</v>
      </c>
    </row>
    <row r="1838" spans="1:2">
      <c r="A1838" t="s">
        <v>355</v>
      </c>
      <c r="B1838">
        <v>7</v>
      </c>
    </row>
    <row r="1839" spans="1:2">
      <c r="A1839" t="s">
        <v>1248</v>
      </c>
      <c r="B1839">
        <v>1</v>
      </c>
    </row>
    <row r="1840" spans="1:2">
      <c r="A1840" t="s">
        <v>316</v>
      </c>
      <c r="B1840">
        <v>2</v>
      </c>
    </row>
    <row r="1841" spans="1:2">
      <c r="A1841" t="s">
        <v>1253</v>
      </c>
      <c r="B1841">
        <v>1</v>
      </c>
    </row>
    <row r="1842" spans="1:2">
      <c r="A1842" t="s">
        <v>1261</v>
      </c>
      <c r="B1842">
        <v>11</v>
      </c>
    </row>
    <row r="1843" spans="1:2">
      <c r="A1843" t="s">
        <v>1264</v>
      </c>
      <c r="B1843">
        <v>3</v>
      </c>
    </row>
    <row r="1844" spans="1:2">
      <c r="A1844" t="s">
        <v>317</v>
      </c>
      <c r="B1844">
        <v>6</v>
      </c>
    </row>
    <row r="1845" spans="1:2">
      <c r="A1845" t="s">
        <v>1273</v>
      </c>
      <c r="B1845">
        <v>2</v>
      </c>
    </row>
    <row r="1846" spans="1:2">
      <c r="A1846" t="s">
        <v>1274</v>
      </c>
      <c r="B1846">
        <v>2</v>
      </c>
    </row>
    <row r="1847" spans="1:2">
      <c r="A1847" t="s">
        <v>1295</v>
      </c>
      <c r="B1847">
        <v>1</v>
      </c>
    </row>
    <row r="1848" spans="1:2">
      <c r="A1848" t="s">
        <v>1299</v>
      </c>
      <c r="B1848">
        <v>3</v>
      </c>
    </row>
    <row r="1849" spans="1:2">
      <c r="A1849" t="s">
        <v>150</v>
      </c>
      <c r="B1849">
        <v>2</v>
      </c>
    </row>
    <row r="1850" spans="1:2">
      <c r="A1850" t="s">
        <v>1315</v>
      </c>
      <c r="B1850">
        <v>9</v>
      </c>
    </row>
    <row r="1851" spans="1:2">
      <c r="A1851" t="s">
        <v>1316</v>
      </c>
      <c r="B1851">
        <v>2</v>
      </c>
    </row>
    <row r="1852" spans="1:2">
      <c r="A1852" t="s">
        <v>477</v>
      </c>
      <c r="B1852">
        <v>4</v>
      </c>
    </row>
    <row r="1853" spans="1:2">
      <c r="A1853" t="s">
        <v>501</v>
      </c>
      <c r="B1853">
        <v>12</v>
      </c>
    </row>
    <row r="1854" spans="1:2">
      <c r="A1854" t="s">
        <v>1319</v>
      </c>
      <c r="B1854">
        <v>1</v>
      </c>
    </row>
    <row r="1855" spans="1:2">
      <c r="A1855" t="s">
        <v>394</v>
      </c>
      <c r="B1855">
        <v>11</v>
      </c>
    </row>
    <row r="1856" spans="1:2">
      <c r="A1856" t="s">
        <v>1328</v>
      </c>
      <c r="B1856">
        <v>1</v>
      </c>
    </row>
    <row r="1857" spans="1:2">
      <c r="A1857" t="s">
        <v>1329</v>
      </c>
      <c r="B1857">
        <v>3</v>
      </c>
    </row>
    <row r="1858" spans="1:2">
      <c r="A1858" t="s">
        <v>455</v>
      </c>
      <c r="B1858">
        <v>26</v>
      </c>
    </row>
    <row r="1859" spans="1:2">
      <c r="A1859" t="s">
        <v>1334</v>
      </c>
      <c r="B1859">
        <v>1</v>
      </c>
    </row>
    <row r="1860" spans="1:2">
      <c r="A1860" t="s">
        <v>1342</v>
      </c>
      <c r="B1860">
        <v>3</v>
      </c>
    </row>
    <row r="1861" spans="1:2">
      <c r="A1861" t="s">
        <v>728</v>
      </c>
      <c r="B1861">
        <v>2</v>
      </c>
    </row>
    <row r="1862" spans="1:2">
      <c r="A1862" t="s">
        <v>753</v>
      </c>
      <c r="B1862">
        <v>2</v>
      </c>
    </row>
    <row r="1863" spans="1:2">
      <c r="A1863" t="s">
        <v>1347</v>
      </c>
      <c r="B1863">
        <v>2</v>
      </c>
    </row>
    <row r="1864" spans="1:2">
      <c r="A1864" t="s">
        <v>263</v>
      </c>
      <c r="B1864">
        <v>1</v>
      </c>
    </row>
    <row r="1865" spans="1:2">
      <c r="A1865" t="s">
        <v>204</v>
      </c>
      <c r="B1865">
        <v>6</v>
      </c>
    </row>
    <row r="1866" spans="1:2">
      <c r="A1866" t="s">
        <v>844</v>
      </c>
      <c r="B1866">
        <v>1</v>
      </c>
    </row>
    <row r="1867" spans="1:2">
      <c r="A1867" t="s">
        <v>264</v>
      </c>
      <c r="B1867">
        <v>2</v>
      </c>
    </row>
    <row r="1868" spans="1:2">
      <c r="A1868" t="s">
        <v>1356</v>
      </c>
      <c r="B1868">
        <v>1</v>
      </c>
    </row>
    <row r="1869" spans="1:2">
      <c r="A1869" t="s">
        <v>432</v>
      </c>
      <c r="B1869">
        <v>3</v>
      </c>
    </row>
    <row r="1870" spans="1:2">
      <c r="A1870" t="s">
        <v>1295</v>
      </c>
      <c r="B1870">
        <v>1</v>
      </c>
    </row>
    <row r="1871" spans="1:2">
      <c r="A1871" t="s">
        <v>1299</v>
      </c>
      <c r="B1871">
        <v>3</v>
      </c>
    </row>
    <row r="1872" spans="1:2">
      <c r="A1872" t="s">
        <v>150</v>
      </c>
      <c r="B1872">
        <v>2</v>
      </c>
    </row>
    <row r="1873" spans="1:2">
      <c r="A1873" t="s">
        <v>1315</v>
      </c>
      <c r="B1873">
        <v>9</v>
      </c>
    </row>
    <row r="1874" spans="1:2">
      <c r="A1874" t="s">
        <v>1316</v>
      </c>
      <c r="B1874">
        <v>2</v>
      </c>
    </row>
    <row r="1875" spans="1:2">
      <c r="A1875" t="s">
        <v>477</v>
      </c>
      <c r="B1875">
        <v>4</v>
      </c>
    </row>
    <row r="1876" spans="1:2">
      <c r="A1876" t="s">
        <v>501</v>
      </c>
      <c r="B1876">
        <v>12</v>
      </c>
    </row>
    <row r="1877" spans="1:2">
      <c r="A1877" t="s">
        <v>1319</v>
      </c>
      <c r="B1877">
        <v>1</v>
      </c>
    </row>
    <row r="1878" spans="1:2">
      <c r="A1878" t="s">
        <v>394</v>
      </c>
      <c r="B1878">
        <v>11</v>
      </c>
    </row>
    <row r="1879" spans="1:2">
      <c r="A1879" t="s">
        <v>1328</v>
      </c>
      <c r="B1879">
        <v>1</v>
      </c>
    </row>
    <row r="1880" spans="1:2">
      <c r="A1880" t="s">
        <v>1329</v>
      </c>
      <c r="B1880">
        <v>3</v>
      </c>
    </row>
    <row r="1881" spans="1:2">
      <c r="A1881" t="s">
        <v>455</v>
      </c>
      <c r="B1881">
        <v>26</v>
      </c>
    </row>
    <row r="1882" spans="1:2">
      <c r="A1882" t="s">
        <v>1334</v>
      </c>
      <c r="B1882">
        <v>1</v>
      </c>
    </row>
    <row r="1883" spans="1:2">
      <c r="A1883" t="s">
        <v>1342</v>
      </c>
      <c r="B1883">
        <v>3</v>
      </c>
    </row>
    <row r="1884" spans="1:2">
      <c r="A1884" t="s">
        <v>728</v>
      </c>
      <c r="B1884">
        <v>2</v>
      </c>
    </row>
    <row r="1885" spans="1:2">
      <c r="A1885" t="s">
        <v>753</v>
      </c>
      <c r="B1885">
        <v>2</v>
      </c>
    </row>
    <row r="1886" spans="1:2">
      <c r="A1886" t="s">
        <v>1347</v>
      </c>
      <c r="B1886">
        <v>2</v>
      </c>
    </row>
    <row r="1887" spans="1:2">
      <c r="A1887" t="s">
        <v>263</v>
      </c>
      <c r="B1887">
        <v>1</v>
      </c>
    </row>
    <row r="1888" spans="1:2">
      <c r="A1888" t="s">
        <v>204</v>
      </c>
      <c r="B1888">
        <v>6</v>
      </c>
    </row>
    <row r="1889" spans="1:2">
      <c r="A1889" t="s">
        <v>844</v>
      </c>
      <c r="B1889">
        <v>1</v>
      </c>
    </row>
    <row r="1890" spans="1:2">
      <c r="A1890" t="s">
        <v>264</v>
      </c>
      <c r="B1890">
        <v>2</v>
      </c>
    </row>
    <row r="1891" spans="1:2">
      <c r="A1891" t="s">
        <v>1356</v>
      </c>
      <c r="B1891">
        <v>1</v>
      </c>
    </row>
    <row r="1892" spans="1:2">
      <c r="A1892" t="s">
        <v>432</v>
      </c>
      <c r="B1892">
        <v>3</v>
      </c>
    </row>
    <row r="1893" spans="1:2">
      <c r="A1893" t="s">
        <v>187</v>
      </c>
      <c r="B1893">
        <v>3</v>
      </c>
    </row>
    <row r="1894" spans="1:2">
      <c r="A1894" t="s">
        <v>1380</v>
      </c>
      <c r="B1894">
        <v>6</v>
      </c>
    </row>
    <row r="1895" spans="1:2">
      <c r="A1895" t="s">
        <v>312</v>
      </c>
      <c r="B1895">
        <v>2</v>
      </c>
    </row>
    <row r="1896" spans="1:2">
      <c r="A1896" t="s">
        <v>1385</v>
      </c>
      <c r="B1896">
        <v>1</v>
      </c>
    </row>
    <row r="1897" spans="1:2">
      <c r="A1897" t="s">
        <v>343</v>
      </c>
      <c r="B1897">
        <v>3</v>
      </c>
    </row>
    <row r="1898" spans="1:2">
      <c r="A1898" t="s">
        <v>1390</v>
      </c>
      <c r="B1898">
        <v>2</v>
      </c>
    </row>
    <row r="1899" spans="1:2">
      <c r="A1899" t="s">
        <v>78</v>
      </c>
      <c r="B1899">
        <v>1</v>
      </c>
    </row>
    <row r="1900" spans="1:2">
      <c r="A1900" t="s">
        <v>119</v>
      </c>
      <c r="B1900">
        <v>16</v>
      </c>
    </row>
    <row r="1901" spans="1:2">
      <c r="A1901" t="s">
        <v>1399</v>
      </c>
      <c r="B1901">
        <v>2</v>
      </c>
    </row>
    <row r="1902" spans="1:2">
      <c r="A1902" t="s">
        <v>1401</v>
      </c>
      <c r="B1902">
        <v>1</v>
      </c>
    </row>
    <row r="1903" spans="1:2">
      <c r="A1903" t="s">
        <v>1404</v>
      </c>
      <c r="B1903">
        <v>1</v>
      </c>
    </row>
    <row r="1904" spans="1:2">
      <c r="A1904" t="s">
        <v>1413</v>
      </c>
      <c r="B1904">
        <v>3</v>
      </c>
    </row>
    <row r="1905" spans="1:2">
      <c r="A1905" t="s">
        <v>1414</v>
      </c>
      <c r="B1905">
        <v>2</v>
      </c>
    </row>
    <row r="1906" spans="1:2">
      <c r="A1906" t="s">
        <v>650</v>
      </c>
      <c r="B1906">
        <v>1</v>
      </c>
    </row>
    <row r="1907" spans="1:2">
      <c r="A1907" t="s">
        <v>15</v>
      </c>
      <c r="B1907">
        <v>1</v>
      </c>
    </row>
    <row r="1908" spans="1:2">
      <c r="A1908" t="s">
        <v>1422</v>
      </c>
      <c r="B1908">
        <v>1</v>
      </c>
    </row>
    <row r="1909" spans="1:2">
      <c r="A1909" t="s">
        <v>912</v>
      </c>
      <c r="B1909">
        <v>2</v>
      </c>
    </row>
    <row r="1910" spans="1:2">
      <c r="A1910" t="s">
        <v>1426</v>
      </c>
      <c r="B1910">
        <v>1</v>
      </c>
    </row>
    <row r="1911" spans="1:2">
      <c r="A1911" t="s">
        <v>990</v>
      </c>
      <c r="B1911">
        <v>2</v>
      </c>
    </row>
    <row r="1912" spans="1:2">
      <c r="A1912" t="s">
        <v>1441</v>
      </c>
      <c r="B1912">
        <v>2</v>
      </c>
    </row>
    <row r="1913" spans="1:2">
      <c r="A1913" t="s">
        <v>936</v>
      </c>
      <c r="B1913">
        <v>4</v>
      </c>
    </row>
    <row r="1914" spans="1:2">
      <c r="A1914" t="s">
        <v>955</v>
      </c>
      <c r="B1914">
        <v>1</v>
      </c>
    </row>
    <row r="1915" spans="1:2">
      <c r="A1915" t="s">
        <v>709</v>
      </c>
      <c r="B1915">
        <v>2</v>
      </c>
    </row>
    <row r="1916" spans="1:2">
      <c r="A1916" t="s">
        <v>202</v>
      </c>
      <c r="B1916">
        <v>7</v>
      </c>
    </row>
    <row r="1917" spans="1:2">
      <c r="A1917" t="s">
        <v>395</v>
      </c>
      <c r="B1917">
        <v>4</v>
      </c>
    </row>
    <row r="1918" spans="1:2">
      <c r="A1918" t="s">
        <v>1456</v>
      </c>
      <c r="B1918">
        <v>1</v>
      </c>
    </row>
    <row r="1919" spans="1:2">
      <c r="A1919" t="s">
        <v>1461</v>
      </c>
      <c r="B1919">
        <v>1</v>
      </c>
    </row>
    <row r="1920" spans="1:2">
      <c r="A1920" t="s">
        <v>1481</v>
      </c>
      <c r="B1920">
        <v>2</v>
      </c>
    </row>
    <row r="1921" spans="1:2">
      <c r="A1921" t="s">
        <v>1482</v>
      </c>
      <c r="B1921">
        <v>1</v>
      </c>
    </row>
    <row r="1922" spans="1:2">
      <c r="A1922" t="s">
        <v>1488</v>
      </c>
      <c r="B1922">
        <v>1</v>
      </c>
    </row>
    <row r="1923" spans="1:2">
      <c r="A1923" t="s">
        <v>1498</v>
      </c>
      <c r="B1923">
        <v>1</v>
      </c>
    </row>
    <row r="1924" spans="1:2">
      <c r="A1924" t="s">
        <v>1507</v>
      </c>
      <c r="B1924">
        <v>1</v>
      </c>
    </row>
    <row r="1925" spans="1:2">
      <c r="A1925" t="s">
        <v>961</v>
      </c>
      <c r="B1925">
        <v>1</v>
      </c>
    </row>
    <row r="1926" spans="1:2">
      <c r="A1926" t="s">
        <v>1523</v>
      </c>
      <c r="B1926">
        <v>1</v>
      </c>
    </row>
    <row r="1927" spans="1:2">
      <c r="A1927" t="s">
        <v>1525</v>
      </c>
      <c r="B1927">
        <v>1</v>
      </c>
    </row>
    <row r="1928" spans="1:2">
      <c r="A1928" t="s">
        <v>1538</v>
      </c>
      <c r="B1928">
        <v>2</v>
      </c>
    </row>
    <row r="1929" spans="1:2">
      <c r="A1929" t="s">
        <v>1549</v>
      </c>
      <c r="B1929">
        <v>1</v>
      </c>
    </row>
    <row r="1930" spans="1:2">
      <c r="A1930" t="s">
        <v>795</v>
      </c>
      <c r="B1930">
        <v>2</v>
      </c>
    </row>
    <row r="1931" spans="1:2">
      <c r="A1931" t="s">
        <v>1554</v>
      </c>
      <c r="B1931">
        <v>1</v>
      </c>
    </row>
    <row r="1932" spans="1:2">
      <c r="A1932" t="s">
        <v>58</v>
      </c>
      <c r="B1932">
        <v>3</v>
      </c>
    </row>
    <row r="1933" spans="1:2">
      <c r="A1933" t="s">
        <v>1556</v>
      </c>
      <c r="B1933">
        <v>1</v>
      </c>
    </row>
    <row r="1934" spans="1:2">
      <c r="A1934" t="s">
        <v>1557</v>
      </c>
      <c r="B1934">
        <v>1</v>
      </c>
    </row>
    <row r="1935" spans="1:2">
      <c r="A1935" t="s">
        <v>503</v>
      </c>
      <c r="B1935">
        <v>1</v>
      </c>
    </row>
    <row r="1936" spans="1:2">
      <c r="A1936" t="s">
        <v>696</v>
      </c>
      <c r="B1936">
        <v>1</v>
      </c>
    </row>
    <row r="1937" spans="1:2">
      <c r="A1937" t="s">
        <v>1601</v>
      </c>
      <c r="B1937">
        <v>1</v>
      </c>
    </row>
    <row r="1938" spans="1:2">
      <c r="A1938" t="s">
        <v>266</v>
      </c>
      <c r="B1938">
        <v>1</v>
      </c>
    </row>
    <row r="1939" spans="1:2">
      <c r="A1939" t="s">
        <v>1611</v>
      </c>
      <c r="B1939">
        <v>1</v>
      </c>
    </row>
    <row r="1940" spans="1:2">
      <c r="A1940" t="s">
        <v>1622</v>
      </c>
      <c r="B1940">
        <v>1</v>
      </c>
    </row>
    <row r="1941" spans="1:2">
      <c r="A1941" t="s">
        <v>1623</v>
      </c>
      <c r="B1941">
        <v>1</v>
      </c>
    </row>
    <row r="1942" spans="1:2">
      <c r="A1942" t="s">
        <v>1624</v>
      </c>
      <c r="B1942">
        <v>1</v>
      </c>
    </row>
    <row r="1943" spans="1:2">
      <c r="A1943" t="s">
        <v>1629</v>
      </c>
      <c r="B1943">
        <v>1</v>
      </c>
    </row>
    <row r="1944" spans="1:2">
      <c r="A1944" t="s">
        <v>1630</v>
      </c>
      <c r="B1944">
        <v>1</v>
      </c>
    </row>
    <row r="1945" spans="1:2">
      <c r="A1945" t="s">
        <v>1043</v>
      </c>
      <c r="B1945">
        <v>2</v>
      </c>
    </row>
    <row r="1946" spans="1:2">
      <c r="A1946" t="s">
        <v>479</v>
      </c>
      <c r="B1946">
        <v>1</v>
      </c>
    </row>
    <row r="1947" spans="1:2">
      <c r="A1947" t="s">
        <v>1649</v>
      </c>
      <c r="B1947">
        <v>2</v>
      </c>
    </row>
    <row r="1948" spans="1:2">
      <c r="A1948" t="s">
        <v>469</v>
      </c>
      <c r="B1948">
        <v>1</v>
      </c>
    </row>
    <row r="1949" spans="1:2">
      <c r="A1949" t="s">
        <v>1663</v>
      </c>
      <c r="B1949">
        <v>2</v>
      </c>
    </row>
    <row r="1950" spans="1:2">
      <c r="A1950" t="s">
        <v>506</v>
      </c>
      <c r="B1950">
        <v>2</v>
      </c>
    </row>
    <row r="1951" spans="1:2">
      <c r="A1951" t="s">
        <v>1680</v>
      </c>
      <c r="B1951">
        <v>1</v>
      </c>
    </row>
    <row r="1952" spans="1:2">
      <c r="A1952" t="s">
        <v>1687</v>
      </c>
      <c r="B1952">
        <v>1</v>
      </c>
    </row>
    <row r="1953" spans="1:2">
      <c r="A1953" t="s">
        <v>1690</v>
      </c>
      <c r="B1953">
        <v>1</v>
      </c>
    </row>
    <row r="1954" spans="1:2">
      <c r="A1954" t="s">
        <v>1706</v>
      </c>
      <c r="B1954">
        <v>1</v>
      </c>
    </row>
    <row r="1955" spans="1:2">
      <c r="A1955" t="s">
        <v>431</v>
      </c>
      <c r="B1955">
        <v>1</v>
      </c>
    </row>
    <row r="1956" spans="1:2">
      <c r="A1956" t="s">
        <v>1731</v>
      </c>
      <c r="B1956">
        <v>1</v>
      </c>
    </row>
    <row r="1957" spans="1:2">
      <c r="A1957" t="s">
        <v>1733</v>
      </c>
      <c r="B1957">
        <v>1</v>
      </c>
    </row>
    <row r="1958" spans="1:2">
      <c r="A1958" t="s">
        <v>1735</v>
      </c>
      <c r="B1958">
        <v>1</v>
      </c>
    </row>
    <row r="1959" spans="1:2">
      <c r="A1959" t="s">
        <v>1738</v>
      </c>
      <c r="B1959">
        <v>1</v>
      </c>
    </row>
    <row r="1960" spans="1:2">
      <c r="A1960" t="s">
        <v>1742</v>
      </c>
      <c r="B1960">
        <v>1</v>
      </c>
    </row>
    <row r="1961" spans="1:2">
      <c r="A1961" t="s">
        <v>1018</v>
      </c>
      <c r="B1961">
        <v>1</v>
      </c>
    </row>
    <row r="1962" spans="1:2">
      <c r="A1962" t="s">
        <v>1750</v>
      </c>
      <c r="B1962">
        <v>1</v>
      </c>
    </row>
    <row r="1963" spans="1:2">
      <c r="A1963" t="s">
        <v>1757</v>
      </c>
      <c r="B1963">
        <v>1</v>
      </c>
    </row>
    <row r="1964" spans="1:2">
      <c r="A1964" t="s">
        <v>1764</v>
      </c>
      <c r="B1964">
        <v>1</v>
      </c>
    </row>
    <row r="1965" spans="1:2">
      <c r="A1965" t="s">
        <v>807</v>
      </c>
      <c r="B1965">
        <v>2</v>
      </c>
    </row>
    <row r="1966" spans="1:2">
      <c r="A1966" s="2" t="s">
        <v>9</v>
      </c>
      <c r="B1966" s="2">
        <v>1305</v>
      </c>
    </row>
    <row r="1968" spans="1:2">
      <c r="A1968" s="2" t="s">
        <v>48</v>
      </c>
    </row>
    <row r="1969" spans="1:2">
      <c r="A1969" s="2" t="s">
        <v>0</v>
      </c>
      <c r="B1969" s="2" t="s">
        <v>1</v>
      </c>
    </row>
    <row r="1970" spans="1:2">
      <c r="A1970" t="s">
        <v>570</v>
      </c>
      <c r="B1970">
        <v>53</v>
      </c>
    </row>
    <row r="1971" spans="1:2">
      <c r="A1971" t="s">
        <v>1077</v>
      </c>
      <c r="B1971">
        <v>1</v>
      </c>
    </row>
    <row r="1972" spans="1:2">
      <c r="A1972" t="s">
        <v>438</v>
      </c>
      <c r="B1972">
        <v>8</v>
      </c>
    </row>
    <row r="1973" spans="1:2">
      <c r="A1973" t="s">
        <v>27</v>
      </c>
      <c r="B1973">
        <v>28</v>
      </c>
    </row>
    <row r="1974" spans="1:2">
      <c r="A1974" t="s">
        <v>219</v>
      </c>
      <c r="B1974">
        <v>38</v>
      </c>
    </row>
    <row r="1975" spans="1:2">
      <c r="A1975" t="s">
        <v>853</v>
      </c>
      <c r="B1975">
        <v>8</v>
      </c>
    </row>
    <row r="1976" spans="1:2">
      <c r="A1976" t="s">
        <v>328</v>
      </c>
      <c r="B1976">
        <v>25</v>
      </c>
    </row>
    <row r="1977" spans="1:2">
      <c r="A1977" t="s">
        <v>1098</v>
      </c>
      <c r="B1977">
        <v>1</v>
      </c>
    </row>
    <row r="1978" spans="1:2">
      <c r="A1978" t="s">
        <v>456</v>
      </c>
      <c r="B1978">
        <v>5</v>
      </c>
    </row>
    <row r="1979" spans="1:2">
      <c r="A1979" t="s">
        <v>233</v>
      </c>
      <c r="B1979">
        <v>79</v>
      </c>
    </row>
    <row r="1980" spans="1:2">
      <c r="A1980" t="s">
        <v>218</v>
      </c>
      <c r="B1980">
        <v>17</v>
      </c>
    </row>
    <row r="1981" spans="1:2">
      <c r="A1981" t="s">
        <v>104</v>
      </c>
      <c r="B1981">
        <v>1</v>
      </c>
    </row>
    <row r="1982" spans="1:2">
      <c r="A1982" t="s">
        <v>1154</v>
      </c>
      <c r="B1982">
        <v>3</v>
      </c>
    </row>
    <row r="1983" spans="1:2">
      <c r="A1983" t="s">
        <v>39</v>
      </c>
      <c r="B1983">
        <v>3</v>
      </c>
    </row>
    <row r="1984" spans="1:2">
      <c r="A1984" t="s">
        <v>1157</v>
      </c>
      <c r="B1984">
        <v>3</v>
      </c>
    </row>
    <row r="1985" spans="1:2">
      <c r="A1985" t="s">
        <v>1158</v>
      </c>
      <c r="B1985">
        <v>7</v>
      </c>
    </row>
    <row r="1986" spans="1:2">
      <c r="A1986" t="s">
        <v>1159</v>
      </c>
      <c r="B1986">
        <v>1</v>
      </c>
    </row>
    <row r="1987" spans="1:2">
      <c r="A1987" t="s">
        <v>381</v>
      </c>
      <c r="B1987">
        <v>7</v>
      </c>
    </row>
    <row r="1988" spans="1:2">
      <c r="A1988" t="s">
        <v>105</v>
      </c>
      <c r="B1988">
        <v>10</v>
      </c>
    </row>
    <row r="1989" spans="1:2">
      <c r="A1989" t="s">
        <v>342</v>
      </c>
      <c r="B1989">
        <v>20</v>
      </c>
    </row>
    <row r="1990" spans="1:2">
      <c r="A1990" t="s">
        <v>1213</v>
      </c>
      <c r="B1990">
        <v>1</v>
      </c>
    </row>
    <row r="1991" spans="1:2">
      <c r="A1991" t="s">
        <v>440</v>
      </c>
      <c r="B1991">
        <v>2</v>
      </c>
    </row>
    <row r="1992" spans="1:2">
      <c r="A1992" t="s">
        <v>1240</v>
      </c>
      <c r="B1992">
        <v>2</v>
      </c>
    </row>
    <row r="1993" spans="1:2">
      <c r="A1993" t="s">
        <v>907</v>
      </c>
      <c r="B1993">
        <v>5</v>
      </c>
    </row>
    <row r="1994" spans="1:2">
      <c r="A1994" t="s">
        <v>1296</v>
      </c>
      <c r="B1994">
        <v>1</v>
      </c>
    </row>
    <row r="1995" spans="1:2">
      <c r="A1995" t="s">
        <v>588</v>
      </c>
      <c r="B1995">
        <v>1</v>
      </c>
    </row>
    <row r="1996" spans="1:2">
      <c r="A1996" t="s">
        <v>1301</v>
      </c>
      <c r="B1996">
        <v>1</v>
      </c>
    </row>
    <row r="1997" spans="1:2">
      <c r="A1997" t="s">
        <v>586</v>
      </c>
      <c r="B1997">
        <v>1</v>
      </c>
    </row>
    <row r="1998" spans="1:2">
      <c r="A1998" t="s">
        <v>43</v>
      </c>
      <c r="B1998">
        <v>1</v>
      </c>
    </row>
    <row r="1999" spans="1:2">
      <c r="A1999" t="s">
        <v>939</v>
      </c>
      <c r="B1999">
        <v>1</v>
      </c>
    </row>
    <row r="2000" spans="1:2">
      <c r="A2000" t="s">
        <v>1303</v>
      </c>
      <c r="B2000">
        <v>1</v>
      </c>
    </row>
    <row r="2001" spans="1:2">
      <c r="A2001" t="s">
        <v>589</v>
      </c>
      <c r="B2001">
        <v>1</v>
      </c>
    </row>
    <row r="2002" spans="1:2">
      <c r="A2002" t="s">
        <v>582</v>
      </c>
      <c r="B2002">
        <v>2</v>
      </c>
    </row>
    <row r="2003" spans="1:2">
      <c r="A2003" t="s">
        <v>21</v>
      </c>
      <c r="B2003">
        <v>1</v>
      </c>
    </row>
    <row r="2004" spans="1:2">
      <c r="A2004" t="s">
        <v>906</v>
      </c>
      <c r="B2004">
        <v>1</v>
      </c>
    </row>
    <row r="2005" spans="1:2">
      <c r="A2005" t="s">
        <v>594</v>
      </c>
      <c r="B2005">
        <v>11</v>
      </c>
    </row>
    <row r="2006" spans="1:2">
      <c r="A2006" t="s">
        <v>1333</v>
      </c>
      <c r="B2006">
        <v>3</v>
      </c>
    </row>
    <row r="2007" spans="1:2">
      <c r="A2007" t="s">
        <v>593</v>
      </c>
      <c r="B2007">
        <v>25</v>
      </c>
    </row>
    <row r="2008" spans="1:2">
      <c r="A2008" t="s">
        <v>572</v>
      </c>
      <c r="B2008">
        <v>3</v>
      </c>
    </row>
    <row r="2009" spans="1:2">
      <c r="A2009" t="s">
        <v>1344</v>
      </c>
      <c r="B2009">
        <v>4</v>
      </c>
    </row>
    <row r="2010" spans="1:2">
      <c r="A2010" t="s">
        <v>1345</v>
      </c>
      <c r="B2010">
        <v>1</v>
      </c>
    </row>
    <row r="2011" spans="1:2">
      <c r="A2011" t="s">
        <v>774</v>
      </c>
      <c r="B2011">
        <v>3</v>
      </c>
    </row>
    <row r="2012" spans="1:2">
      <c r="A2012" t="s">
        <v>1296</v>
      </c>
      <c r="B2012">
        <v>1</v>
      </c>
    </row>
    <row r="2013" spans="1:2">
      <c r="A2013" t="s">
        <v>588</v>
      </c>
      <c r="B2013">
        <v>1</v>
      </c>
    </row>
    <row r="2014" spans="1:2">
      <c r="A2014" t="s">
        <v>1301</v>
      </c>
      <c r="B2014">
        <v>1</v>
      </c>
    </row>
    <row r="2015" spans="1:2">
      <c r="A2015" t="s">
        <v>586</v>
      </c>
      <c r="B2015">
        <v>1</v>
      </c>
    </row>
    <row r="2016" spans="1:2">
      <c r="A2016" t="s">
        <v>43</v>
      </c>
      <c r="B2016">
        <v>1</v>
      </c>
    </row>
    <row r="2017" spans="1:2">
      <c r="A2017" t="s">
        <v>939</v>
      </c>
      <c r="B2017">
        <v>1</v>
      </c>
    </row>
    <row r="2018" spans="1:2">
      <c r="A2018" t="s">
        <v>1303</v>
      </c>
      <c r="B2018">
        <v>1</v>
      </c>
    </row>
    <row r="2019" spans="1:2">
      <c r="A2019" t="s">
        <v>589</v>
      </c>
      <c r="B2019">
        <v>1</v>
      </c>
    </row>
    <row r="2020" spans="1:2">
      <c r="A2020" t="s">
        <v>582</v>
      </c>
      <c r="B2020">
        <v>2</v>
      </c>
    </row>
    <row r="2021" spans="1:2">
      <c r="A2021" t="s">
        <v>21</v>
      </c>
      <c r="B2021">
        <v>1</v>
      </c>
    </row>
    <row r="2022" spans="1:2">
      <c r="A2022" t="s">
        <v>906</v>
      </c>
      <c r="B2022">
        <v>1</v>
      </c>
    </row>
    <row r="2023" spans="1:2">
      <c r="A2023" t="s">
        <v>594</v>
      </c>
      <c r="B2023">
        <v>11</v>
      </c>
    </row>
    <row r="2024" spans="1:2">
      <c r="A2024" t="s">
        <v>1333</v>
      </c>
      <c r="B2024">
        <v>3</v>
      </c>
    </row>
    <row r="2025" spans="1:2">
      <c r="A2025" t="s">
        <v>593</v>
      </c>
      <c r="B2025">
        <v>25</v>
      </c>
    </row>
    <row r="2026" spans="1:2">
      <c r="A2026" t="s">
        <v>572</v>
      </c>
      <c r="B2026">
        <v>3</v>
      </c>
    </row>
    <row r="2027" spans="1:2">
      <c r="A2027" t="s">
        <v>1344</v>
      </c>
      <c r="B2027">
        <v>4</v>
      </c>
    </row>
    <row r="2028" spans="1:2">
      <c r="A2028" t="s">
        <v>1345</v>
      </c>
      <c r="B2028">
        <v>1</v>
      </c>
    </row>
    <row r="2029" spans="1:2">
      <c r="A2029" t="s">
        <v>774</v>
      </c>
      <c r="B2029">
        <v>3</v>
      </c>
    </row>
    <row r="2030" spans="1:2">
      <c r="A2030" t="s">
        <v>1035</v>
      </c>
      <c r="B2030">
        <v>1</v>
      </c>
    </row>
    <row r="2031" spans="1:2">
      <c r="A2031" t="s">
        <v>259</v>
      </c>
      <c r="B2031">
        <v>3</v>
      </c>
    </row>
    <row r="2032" spans="1:2">
      <c r="A2032" t="s">
        <v>1398</v>
      </c>
      <c r="B2032">
        <v>11</v>
      </c>
    </row>
    <row r="2033" spans="1:2">
      <c r="A2033" t="s">
        <v>1407</v>
      </c>
      <c r="B2033">
        <v>2</v>
      </c>
    </row>
    <row r="2034" spans="1:2">
      <c r="A2034" t="s">
        <v>1408</v>
      </c>
      <c r="B2034">
        <v>1</v>
      </c>
    </row>
    <row r="2035" spans="1:2">
      <c r="A2035" t="s">
        <v>283</v>
      </c>
      <c r="B2035">
        <v>1</v>
      </c>
    </row>
    <row r="2036" spans="1:2">
      <c r="A2036" t="s">
        <v>609</v>
      </c>
      <c r="B2036">
        <v>2</v>
      </c>
    </row>
    <row r="2037" spans="1:2">
      <c r="A2037" t="s">
        <v>1445</v>
      </c>
      <c r="B2037">
        <v>4</v>
      </c>
    </row>
    <row r="2038" spans="1:2">
      <c r="A2038" t="s">
        <v>1447</v>
      </c>
      <c r="B2038">
        <v>2</v>
      </c>
    </row>
    <row r="2039" spans="1:2">
      <c r="A2039" t="s">
        <v>1489</v>
      </c>
      <c r="B2039">
        <v>1</v>
      </c>
    </row>
    <row r="2040" spans="1:2">
      <c r="A2040" t="s">
        <v>1496</v>
      </c>
      <c r="B2040">
        <v>1</v>
      </c>
    </row>
    <row r="2041" spans="1:2">
      <c r="A2041" t="s">
        <v>1499</v>
      </c>
      <c r="B2041">
        <v>1</v>
      </c>
    </row>
    <row r="2042" spans="1:2">
      <c r="A2042" t="s">
        <v>1503</v>
      </c>
      <c r="B2042">
        <v>1</v>
      </c>
    </row>
    <row r="2043" spans="1:2">
      <c r="A2043" t="s">
        <v>1510</v>
      </c>
      <c r="B2043">
        <v>1</v>
      </c>
    </row>
    <row r="2044" spans="1:2">
      <c r="A2044" t="s">
        <v>1577</v>
      </c>
      <c r="B2044">
        <v>1</v>
      </c>
    </row>
    <row r="2045" spans="1:2">
      <c r="A2045" t="s">
        <v>1597</v>
      </c>
      <c r="B2045">
        <v>1</v>
      </c>
    </row>
    <row r="2046" spans="1:2">
      <c r="A2046" t="s">
        <v>1608</v>
      </c>
      <c r="B2046">
        <v>1</v>
      </c>
    </row>
    <row r="2047" spans="1:2">
      <c r="A2047" t="s">
        <v>1639</v>
      </c>
      <c r="B2047">
        <v>1</v>
      </c>
    </row>
    <row r="2048" spans="1:2">
      <c r="A2048" t="s">
        <v>1695</v>
      </c>
      <c r="B2048">
        <v>2</v>
      </c>
    </row>
    <row r="2049" spans="1:2">
      <c r="A2049" t="s">
        <v>1696</v>
      </c>
      <c r="B2049">
        <v>1</v>
      </c>
    </row>
    <row r="2050" spans="1:2">
      <c r="A2050" t="s">
        <v>1699</v>
      </c>
      <c r="B2050">
        <v>1</v>
      </c>
    </row>
    <row r="2051" spans="1:2">
      <c r="A2051" t="s">
        <v>18</v>
      </c>
      <c r="B2051">
        <v>1</v>
      </c>
    </row>
    <row r="2052" spans="1:2">
      <c r="A2052" t="s">
        <v>1739</v>
      </c>
      <c r="B2052">
        <v>1</v>
      </c>
    </row>
    <row r="2053" spans="1:2">
      <c r="A2053" t="s">
        <v>1760</v>
      </c>
      <c r="B2053">
        <v>1</v>
      </c>
    </row>
    <row r="2054" spans="1:2">
      <c r="A2054" t="s">
        <v>1761</v>
      </c>
      <c r="B2054">
        <v>1</v>
      </c>
    </row>
    <row r="2055" spans="1:2">
      <c r="A2055" t="s">
        <v>1762</v>
      </c>
      <c r="B2055">
        <v>1</v>
      </c>
    </row>
    <row r="2056" spans="1:2">
      <c r="A2056" t="s">
        <v>1763</v>
      </c>
      <c r="B2056">
        <v>1</v>
      </c>
    </row>
    <row r="2057" spans="1:2">
      <c r="A2057" t="s">
        <v>1766</v>
      </c>
      <c r="B2057">
        <v>1</v>
      </c>
    </row>
    <row r="2058" spans="1:2">
      <c r="A2058" t="s">
        <v>1774</v>
      </c>
      <c r="B2058">
        <v>1</v>
      </c>
    </row>
    <row r="2059" spans="1:2">
      <c r="A2059" t="s">
        <v>1787</v>
      </c>
      <c r="B2059">
        <v>1</v>
      </c>
    </row>
    <row r="2060" spans="1:2">
      <c r="A2060" t="s">
        <v>1788</v>
      </c>
      <c r="B2060">
        <v>1</v>
      </c>
    </row>
    <row r="2061" spans="1:2">
      <c r="A2061" t="s">
        <v>1789</v>
      </c>
      <c r="B2061">
        <v>1</v>
      </c>
    </row>
    <row r="2062" spans="1:2">
      <c r="A2062" s="2" t="s">
        <v>9</v>
      </c>
      <c r="B2062" s="2">
        <v>503</v>
      </c>
    </row>
    <row r="2064" spans="1:2">
      <c r="A2064" s="2" t="s">
        <v>11</v>
      </c>
    </row>
    <row r="2065" spans="1:2">
      <c r="A2065" s="2" t="s">
        <v>0</v>
      </c>
      <c r="B2065" s="2" t="s">
        <v>1</v>
      </c>
    </row>
    <row r="2066" spans="1:2">
      <c r="A2066" t="s">
        <v>587</v>
      </c>
      <c r="B2066">
        <v>4</v>
      </c>
    </row>
    <row r="2067" spans="1:2">
      <c r="A2067" t="s">
        <v>624</v>
      </c>
      <c r="B2067">
        <v>35</v>
      </c>
    </row>
    <row r="2068" spans="1:2">
      <c r="A2068" t="s">
        <v>423</v>
      </c>
      <c r="B2068">
        <v>55</v>
      </c>
    </row>
    <row r="2069" spans="1:2">
      <c r="A2069" t="s">
        <v>1022</v>
      </c>
      <c r="B2069">
        <v>2</v>
      </c>
    </row>
    <row r="2070" spans="1:2">
      <c r="A2070" t="s">
        <v>225</v>
      </c>
      <c r="B2070">
        <v>16</v>
      </c>
    </row>
    <row r="2071" spans="1:2">
      <c r="A2071" t="s">
        <v>1108</v>
      </c>
      <c r="B2071">
        <v>10</v>
      </c>
    </row>
    <row r="2072" spans="1:2">
      <c r="A2072" t="s">
        <v>1110</v>
      </c>
      <c r="B2072">
        <v>11</v>
      </c>
    </row>
    <row r="2073" spans="1:2">
      <c r="A2073" t="s">
        <v>351</v>
      </c>
      <c r="B2073">
        <v>3</v>
      </c>
    </row>
    <row r="2074" spans="1:2">
      <c r="A2074" t="s">
        <v>1133</v>
      </c>
      <c r="B2074">
        <v>2</v>
      </c>
    </row>
    <row r="2075" spans="1:2">
      <c r="A2075" t="s">
        <v>1134</v>
      </c>
      <c r="B2075">
        <v>1</v>
      </c>
    </row>
    <row r="2076" spans="1:2">
      <c r="A2076" t="s">
        <v>1010</v>
      </c>
      <c r="B2076">
        <v>6</v>
      </c>
    </row>
    <row r="2077" spans="1:2">
      <c r="A2077" t="s">
        <v>1183</v>
      </c>
      <c r="B2077">
        <v>1</v>
      </c>
    </row>
    <row r="2078" spans="1:2">
      <c r="A2078" t="s">
        <v>1196</v>
      </c>
      <c r="B2078">
        <v>2</v>
      </c>
    </row>
    <row r="2079" spans="1:2">
      <c r="A2079" t="s">
        <v>1197</v>
      </c>
      <c r="B2079">
        <v>2</v>
      </c>
    </row>
    <row r="2080" spans="1:2">
      <c r="A2080" t="s">
        <v>1203</v>
      </c>
      <c r="B2080">
        <v>1</v>
      </c>
    </row>
    <row r="2081" spans="1:2">
      <c r="A2081" t="s">
        <v>722</v>
      </c>
      <c r="B2081">
        <v>2</v>
      </c>
    </row>
    <row r="2082" spans="1:2">
      <c r="A2082" t="s">
        <v>1297</v>
      </c>
      <c r="B2082">
        <v>2</v>
      </c>
    </row>
    <row r="2083" spans="1:2">
      <c r="A2083" t="s">
        <v>1298</v>
      </c>
      <c r="B2083">
        <v>1</v>
      </c>
    </row>
    <row r="2084" spans="1:2">
      <c r="A2084" t="s">
        <v>426</v>
      </c>
      <c r="B2084">
        <v>6</v>
      </c>
    </row>
    <row r="2085" spans="1:2">
      <c r="A2085" t="s">
        <v>1309</v>
      </c>
      <c r="B2085">
        <v>1</v>
      </c>
    </row>
    <row r="2086" spans="1:2">
      <c r="A2086" t="s">
        <v>1312</v>
      </c>
      <c r="B2086">
        <v>1</v>
      </c>
    </row>
    <row r="2087" spans="1:2">
      <c r="A2087" t="s">
        <v>1355</v>
      </c>
      <c r="B2087">
        <v>6</v>
      </c>
    </row>
    <row r="2088" spans="1:2">
      <c r="A2088" t="s">
        <v>985</v>
      </c>
      <c r="B2088">
        <v>1</v>
      </c>
    </row>
    <row r="2089" spans="1:2">
      <c r="A2089" t="s">
        <v>1297</v>
      </c>
      <c r="B2089">
        <v>2</v>
      </c>
    </row>
    <row r="2090" spans="1:2">
      <c r="A2090" t="s">
        <v>1298</v>
      </c>
      <c r="B2090">
        <v>1</v>
      </c>
    </row>
    <row r="2091" spans="1:2">
      <c r="A2091" t="s">
        <v>426</v>
      </c>
      <c r="B2091">
        <v>6</v>
      </c>
    </row>
    <row r="2092" spans="1:2">
      <c r="A2092" t="s">
        <v>1309</v>
      </c>
      <c r="B2092">
        <v>1</v>
      </c>
    </row>
    <row r="2093" spans="1:2">
      <c r="A2093" t="s">
        <v>1312</v>
      </c>
      <c r="B2093">
        <v>1</v>
      </c>
    </row>
    <row r="2094" spans="1:2">
      <c r="A2094" t="s">
        <v>1355</v>
      </c>
      <c r="B2094">
        <v>6</v>
      </c>
    </row>
    <row r="2095" spans="1:2">
      <c r="A2095" t="s">
        <v>985</v>
      </c>
      <c r="B2095">
        <v>1</v>
      </c>
    </row>
    <row r="2096" spans="1:2">
      <c r="A2096" t="s">
        <v>1389</v>
      </c>
      <c r="B2096">
        <v>2</v>
      </c>
    </row>
    <row r="2097" spans="1:2">
      <c r="A2097" t="s">
        <v>1420</v>
      </c>
      <c r="B2097">
        <v>1</v>
      </c>
    </row>
    <row r="2098" spans="1:2">
      <c r="A2098" t="s">
        <v>1423</v>
      </c>
      <c r="B2098">
        <v>2</v>
      </c>
    </row>
    <row r="2099" spans="1:2">
      <c r="A2099" t="s">
        <v>736</v>
      </c>
      <c r="B2099">
        <v>7</v>
      </c>
    </row>
    <row r="2100" spans="1:2">
      <c r="A2100" t="s">
        <v>399</v>
      </c>
      <c r="B2100">
        <v>2</v>
      </c>
    </row>
    <row r="2101" spans="1:2">
      <c r="A2101" t="s">
        <v>497</v>
      </c>
      <c r="B2101">
        <v>7</v>
      </c>
    </row>
    <row r="2102" spans="1:2">
      <c r="A2102" t="s">
        <v>749</v>
      </c>
      <c r="B2102">
        <v>2</v>
      </c>
    </row>
    <row r="2103" spans="1:2">
      <c r="A2103" t="s">
        <v>1522</v>
      </c>
      <c r="B2103">
        <v>1</v>
      </c>
    </row>
    <row r="2104" spans="1:2">
      <c r="A2104" t="s">
        <v>634</v>
      </c>
      <c r="B2104">
        <v>2</v>
      </c>
    </row>
    <row r="2105" spans="1:2">
      <c r="A2105" t="s">
        <v>1524</v>
      </c>
      <c r="B2105">
        <v>1</v>
      </c>
    </row>
    <row r="2106" spans="1:2">
      <c r="A2106" t="s">
        <v>1526</v>
      </c>
      <c r="B2106">
        <v>1</v>
      </c>
    </row>
    <row r="2107" spans="1:2">
      <c r="A2107" t="s">
        <v>1589</v>
      </c>
      <c r="B2107">
        <v>1</v>
      </c>
    </row>
    <row r="2108" spans="1:2">
      <c r="A2108" t="s">
        <v>649</v>
      </c>
      <c r="B2108">
        <v>1</v>
      </c>
    </row>
    <row r="2109" spans="1:2">
      <c r="A2109" t="s">
        <v>1012</v>
      </c>
      <c r="B2109">
        <v>3</v>
      </c>
    </row>
    <row r="2110" spans="1:2">
      <c r="A2110" t="s">
        <v>514</v>
      </c>
      <c r="B2110">
        <v>3</v>
      </c>
    </row>
    <row r="2111" spans="1:2">
      <c r="A2111" t="s">
        <v>1635</v>
      </c>
      <c r="B2111">
        <v>1</v>
      </c>
    </row>
    <row r="2112" spans="1:2">
      <c r="A2112" t="s">
        <v>1643</v>
      </c>
      <c r="B2112">
        <v>1</v>
      </c>
    </row>
    <row r="2113" spans="1:2">
      <c r="A2113" t="s">
        <v>1644</v>
      </c>
      <c r="B2113">
        <v>1</v>
      </c>
    </row>
    <row r="2114" spans="1:2">
      <c r="A2114" t="s">
        <v>243</v>
      </c>
      <c r="B2114">
        <v>2</v>
      </c>
    </row>
    <row r="2115" spans="1:2">
      <c r="A2115" t="s">
        <v>1013</v>
      </c>
      <c r="B2115">
        <v>5</v>
      </c>
    </row>
    <row r="2116" spans="1:2">
      <c r="A2116" t="s">
        <v>1656</v>
      </c>
      <c r="B2116">
        <v>1</v>
      </c>
    </row>
    <row r="2117" spans="1:2">
      <c r="A2117" t="s">
        <v>1657</v>
      </c>
      <c r="B2117">
        <v>1</v>
      </c>
    </row>
    <row r="2118" spans="1:2">
      <c r="A2118" t="s">
        <v>1658</v>
      </c>
      <c r="B2118">
        <v>3</v>
      </c>
    </row>
    <row r="2119" spans="1:2">
      <c r="A2119" t="s">
        <v>1661</v>
      </c>
      <c r="B2119">
        <v>2</v>
      </c>
    </row>
    <row r="2120" spans="1:2">
      <c r="A2120" t="s">
        <v>1011</v>
      </c>
      <c r="B2120">
        <v>5</v>
      </c>
    </row>
    <row r="2121" spans="1:2">
      <c r="A2121" t="s">
        <v>1662</v>
      </c>
      <c r="B2121">
        <v>2</v>
      </c>
    </row>
    <row r="2122" spans="1:2">
      <c r="A2122" t="s">
        <v>686</v>
      </c>
      <c r="B2122">
        <v>5</v>
      </c>
    </row>
    <row r="2123" spans="1:2">
      <c r="A2123" t="s">
        <v>1664</v>
      </c>
      <c r="B2123">
        <v>4</v>
      </c>
    </row>
    <row r="2124" spans="1:2">
      <c r="A2124" t="s">
        <v>1665</v>
      </c>
      <c r="B2124">
        <v>2</v>
      </c>
    </row>
    <row r="2125" spans="1:2">
      <c r="A2125" t="s">
        <v>1676</v>
      </c>
      <c r="B2125">
        <v>1</v>
      </c>
    </row>
    <row r="2126" spans="1:2">
      <c r="A2126" t="s">
        <v>1677</v>
      </c>
      <c r="B2126">
        <v>2</v>
      </c>
    </row>
    <row r="2127" spans="1:2">
      <c r="A2127" t="s">
        <v>1678</v>
      </c>
      <c r="B2127">
        <v>1</v>
      </c>
    </row>
    <row r="2128" spans="1:2">
      <c r="A2128" t="s">
        <v>1679</v>
      </c>
      <c r="B2128">
        <v>1</v>
      </c>
    </row>
    <row r="2129" spans="1:2">
      <c r="A2129" t="s">
        <v>1684</v>
      </c>
      <c r="B2129">
        <v>1</v>
      </c>
    </row>
    <row r="2130" spans="1:2">
      <c r="A2130" t="s">
        <v>1705</v>
      </c>
      <c r="B2130">
        <v>1</v>
      </c>
    </row>
    <row r="2131" spans="1:2">
      <c r="A2131" t="s">
        <v>1726</v>
      </c>
      <c r="B2131">
        <v>1</v>
      </c>
    </row>
    <row r="2132" spans="1:2">
      <c r="A2132" t="s">
        <v>1765</v>
      </c>
      <c r="B2132">
        <v>1</v>
      </c>
    </row>
    <row r="2133" spans="1:2">
      <c r="A2133" s="2" t="s">
        <v>9</v>
      </c>
      <c r="B2133" s="2">
        <v>269</v>
      </c>
    </row>
    <row r="2135" spans="1:2">
      <c r="A2135" s="2" t="s">
        <v>95</v>
      </c>
    </row>
    <row r="2136" spans="1:2">
      <c r="A2136" s="2" t="s">
        <v>0</v>
      </c>
      <c r="B2136" s="2" t="s">
        <v>1</v>
      </c>
    </row>
    <row r="2137" spans="1:2">
      <c r="A2137" t="s">
        <v>388</v>
      </c>
      <c r="B2137">
        <v>10</v>
      </c>
    </row>
    <row r="2138" spans="1:2">
      <c r="A2138" t="s">
        <v>165</v>
      </c>
      <c r="B2138">
        <v>41</v>
      </c>
    </row>
    <row r="2139" spans="1:2">
      <c r="A2139" t="s">
        <v>505</v>
      </c>
      <c r="B2139">
        <v>20</v>
      </c>
    </row>
    <row r="2140" spans="1:2">
      <c r="A2140" t="s">
        <v>1100</v>
      </c>
      <c r="B2140">
        <v>4</v>
      </c>
    </row>
    <row r="2141" spans="1:2">
      <c r="A2141" t="s">
        <v>330</v>
      </c>
      <c r="B2141">
        <v>16</v>
      </c>
    </row>
    <row r="2142" spans="1:2">
      <c r="A2142" t="s">
        <v>1109</v>
      </c>
      <c r="B2142">
        <v>14</v>
      </c>
    </row>
    <row r="2143" spans="1:2">
      <c r="A2143" t="s">
        <v>756</v>
      </c>
      <c r="B2143">
        <v>20</v>
      </c>
    </row>
    <row r="2144" spans="1:2">
      <c r="A2144" t="s">
        <v>83</v>
      </c>
      <c r="B2144">
        <v>33</v>
      </c>
    </row>
    <row r="2145" spans="1:2">
      <c r="A2145" t="s">
        <v>1118</v>
      </c>
      <c r="B2145">
        <v>3</v>
      </c>
    </row>
    <row r="2146" spans="1:2">
      <c r="A2146" t="s">
        <v>230</v>
      </c>
      <c r="B2146">
        <v>10</v>
      </c>
    </row>
    <row r="2147" spans="1:2">
      <c r="A2147" t="s">
        <v>1125</v>
      </c>
      <c r="B2147">
        <v>1</v>
      </c>
    </row>
    <row r="2148" spans="1:2">
      <c r="A2148" t="s">
        <v>1126</v>
      </c>
      <c r="B2148">
        <v>2</v>
      </c>
    </row>
    <row r="2149" spans="1:2">
      <c r="A2149" t="s">
        <v>630</v>
      </c>
      <c r="B2149">
        <v>1</v>
      </c>
    </row>
    <row r="2150" spans="1:2">
      <c r="A2150" t="s">
        <v>1127</v>
      </c>
      <c r="B2150">
        <v>3</v>
      </c>
    </row>
    <row r="2151" spans="1:2">
      <c r="A2151" t="s">
        <v>412</v>
      </c>
      <c r="B2151">
        <v>1</v>
      </c>
    </row>
    <row r="2152" spans="1:2">
      <c r="A2152" t="s">
        <v>434</v>
      </c>
      <c r="B2152">
        <v>4</v>
      </c>
    </row>
    <row r="2153" spans="1:2">
      <c r="A2153" t="s">
        <v>1128</v>
      </c>
      <c r="B2153">
        <v>2</v>
      </c>
    </row>
    <row r="2154" spans="1:2">
      <c r="A2154" t="s">
        <v>90</v>
      </c>
      <c r="B2154">
        <v>13</v>
      </c>
    </row>
    <row r="2155" spans="1:2">
      <c r="A2155" t="s">
        <v>1137</v>
      </c>
      <c r="B2155">
        <v>6</v>
      </c>
    </row>
    <row r="2156" spans="1:2">
      <c r="A2156" t="s">
        <v>1139</v>
      </c>
      <c r="B2156">
        <v>1</v>
      </c>
    </row>
    <row r="2157" spans="1:2">
      <c r="A2157" t="s">
        <v>325</v>
      </c>
      <c r="B2157">
        <v>3</v>
      </c>
    </row>
    <row r="2158" spans="1:2">
      <c r="A2158" t="s">
        <v>1152</v>
      </c>
      <c r="B2158">
        <v>3</v>
      </c>
    </row>
    <row r="2159" spans="1:2">
      <c r="A2159" t="s">
        <v>1155</v>
      </c>
      <c r="B2159">
        <v>1</v>
      </c>
    </row>
    <row r="2160" spans="1:2">
      <c r="A2160" t="s">
        <v>852</v>
      </c>
      <c r="B2160">
        <v>1</v>
      </c>
    </row>
    <row r="2161" spans="1:2">
      <c r="A2161" t="s">
        <v>557</v>
      </c>
      <c r="B2161">
        <v>1</v>
      </c>
    </row>
    <row r="2162" spans="1:2">
      <c r="A2162" t="s">
        <v>190</v>
      </c>
      <c r="B2162">
        <v>8</v>
      </c>
    </row>
    <row r="2163" spans="1:2">
      <c r="A2163" t="s">
        <v>1167</v>
      </c>
      <c r="B2163">
        <v>27</v>
      </c>
    </row>
    <row r="2164" spans="1:2">
      <c r="A2164" t="s">
        <v>1173</v>
      </c>
      <c r="B2164">
        <v>2</v>
      </c>
    </row>
    <row r="2165" spans="1:2">
      <c r="A2165" t="s">
        <v>1184</v>
      </c>
      <c r="B2165">
        <v>4</v>
      </c>
    </row>
    <row r="2166" spans="1:2">
      <c r="A2166" t="s">
        <v>1185</v>
      </c>
      <c r="B2166">
        <v>3</v>
      </c>
    </row>
    <row r="2167" spans="1:2">
      <c r="A2167" t="s">
        <v>1186</v>
      </c>
      <c r="B2167">
        <v>4</v>
      </c>
    </row>
    <row r="2168" spans="1:2">
      <c r="A2168" t="s">
        <v>463</v>
      </c>
      <c r="B2168">
        <v>11</v>
      </c>
    </row>
    <row r="2169" spans="1:2">
      <c r="A2169" t="s">
        <v>1187</v>
      </c>
      <c r="B2169">
        <v>2</v>
      </c>
    </row>
    <row r="2170" spans="1:2">
      <c r="A2170" t="s">
        <v>965</v>
      </c>
      <c r="B2170">
        <v>15</v>
      </c>
    </row>
    <row r="2171" spans="1:2">
      <c r="A2171" t="s">
        <v>1206</v>
      </c>
      <c r="B2171">
        <v>6</v>
      </c>
    </row>
    <row r="2172" spans="1:2">
      <c r="A2172" t="s">
        <v>1219</v>
      </c>
      <c r="B2172">
        <v>3</v>
      </c>
    </row>
    <row r="2173" spans="1:2">
      <c r="A2173" t="s">
        <v>87</v>
      </c>
      <c r="B2173">
        <v>8</v>
      </c>
    </row>
    <row r="2174" spans="1:2">
      <c r="A2174" t="s">
        <v>1244</v>
      </c>
      <c r="B2174">
        <v>10</v>
      </c>
    </row>
    <row r="2175" spans="1:2">
      <c r="A2175" t="s">
        <v>370</v>
      </c>
      <c r="B2175">
        <v>9</v>
      </c>
    </row>
    <row r="2176" spans="1:2">
      <c r="A2176" t="s">
        <v>303</v>
      </c>
      <c r="B2176">
        <v>10</v>
      </c>
    </row>
    <row r="2177" spans="1:2">
      <c r="A2177" t="s">
        <v>665</v>
      </c>
      <c r="B2177">
        <v>8</v>
      </c>
    </row>
    <row r="2178" spans="1:2">
      <c r="A2178" t="s">
        <v>331</v>
      </c>
      <c r="B2178">
        <v>3</v>
      </c>
    </row>
    <row r="2179" spans="1:2">
      <c r="A2179" t="s">
        <v>785</v>
      </c>
      <c r="B2179">
        <v>1</v>
      </c>
    </row>
    <row r="2180" spans="1:2">
      <c r="A2180" t="s">
        <v>1300</v>
      </c>
      <c r="B2180">
        <v>2</v>
      </c>
    </row>
    <row r="2181" spans="1:2">
      <c r="A2181" t="s">
        <v>238</v>
      </c>
      <c r="B2181">
        <v>16</v>
      </c>
    </row>
    <row r="2182" spans="1:2">
      <c r="A2182" t="s">
        <v>1352</v>
      </c>
      <c r="B2182">
        <v>3</v>
      </c>
    </row>
    <row r="2183" spans="1:2">
      <c r="A2183" t="s">
        <v>1353</v>
      </c>
      <c r="B2183">
        <v>2</v>
      </c>
    </row>
    <row r="2184" spans="1:2">
      <c r="A2184" t="s">
        <v>1363</v>
      </c>
      <c r="B2184">
        <v>2</v>
      </c>
    </row>
    <row r="2185" spans="1:2">
      <c r="A2185" t="s">
        <v>1367</v>
      </c>
      <c r="B2185">
        <v>3</v>
      </c>
    </row>
    <row r="2186" spans="1:2">
      <c r="A2186" t="s">
        <v>785</v>
      </c>
      <c r="B2186">
        <v>1</v>
      </c>
    </row>
    <row r="2187" spans="1:2">
      <c r="A2187" t="s">
        <v>1300</v>
      </c>
      <c r="B2187">
        <v>2</v>
      </c>
    </row>
    <row r="2188" spans="1:2">
      <c r="A2188" t="s">
        <v>238</v>
      </c>
      <c r="B2188">
        <v>16</v>
      </c>
    </row>
    <row r="2189" spans="1:2">
      <c r="A2189" t="s">
        <v>1352</v>
      </c>
      <c r="B2189">
        <v>3</v>
      </c>
    </row>
    <row r="2190" spans="1:2">
      <c r="A2190" t="s">
        <v>1353</v>
      </c>
      <c r="B2190">
        <v>2</v>
      </c>
    </row>
    <row r="2191" spans="1:2">
      <c r="A2191" t="s">
        <v>1363</v>
      </c>
      <c r="B2191">
        <v>2</v>
      </c>
    </row>
    <row r="2192" spans="1:2">
      <c r="A2192" t="s">
        <v>1367</v>
      </c>
      <c r="B2192">
        <v>3</v>
      </c>
    </row>
    <row r="2193" spans="1:2">
      <c r="A2193" t="s">
        <v>1372</v>
      </c>
      <c r="B2193">
        <v>1</v>
      </c>
    </row>
    <row r="2194" spans="1:2">
      <c r="A2194" t="s">
        <v>1373</v>
      </c>
      <c r="B2194">
        <v>1</v>
      </c>
    </row>
    <row r="2195" spans="1:2">
      <c r="A2195" t="s">
        <v>1374</v>
      </c>
      <c r="B2195">
        <v>1</v>
      </c>
    </row>
    <row r="2196" spans="1:2">
      <c r="A2196" t="s">
        <v>1388</v>
      </c>
      <c r="B2196">
        <v>1</v>
      </c>
    </row>
    <row r="2197" spans="1:2">
      <c r="A2197" t="s">
        <v>1409</v>
      </c>
      <c r="B2197">
        <v>3</v>
      </c>
    </row>
    <row r="2198" spans="1:2">
      <c r="A2198" t="s">
        <v>548</v>
      </c>
      <c r="B2198">
        <v>7</v>
      </c>
    </row>
    <row r="2199" spans="1:2">
      <c r="A2199" t="s">
        <v>1430</v>
      </c>
      <c r="B2199">
        <v>2</v>
      </c>
    </row>
    <row r="2200" spans="1:2">
      <c r="A2200" t="s">
        <v>1431</v>
      </c>
      <c r="B2200">
        <v>3</v>
      </c>
    </row>
    <row r="2201" spans="1:2">
      <c r="A2201" t="s">
        <v>247</v>
      </c>
      <c r="B2201">
        <v>3</v>
      </c>
    </row>
    <row r="2202" spans="1:2">
      <c r="A2202" t="s">
        <v>382</v>
      </c>
      <c r="B2202">
        <v>4</v>
      </c>
    </row>
    <row r="2203" spans="1:2">
      <c r="A2203" t="s">
        <v>1432</v>
      </c>
      <c r="B2203">
        <v>2</v>
      </c>
    </row>
    <row r="2204" spans="1:2">
      <c r="A2204" t="s">
        <v>1433</v>
      </c>
      <c r="B2204">
        <v>2</v>
      </c>
    </row>
    <row r="2205" spans="1:2">
      <c r="A2205" t="s">
        <v>1434</v>
      </c>
      <c r="B2205">
        <v>2</v>
      </c>
    </row>
    <row r="2206" spans="1:2">
      <c r="A2206" t="s">
        <v>1436</v>
      </c>
      <c r="B2206">
        <v>2</v>
      </c>
    </row>
    <row r="2207" spans="1:2">
      <c r="A2207" t="s">
        <v>384</v>
      </c>
      <c r="B2207">
        <v>5</v>
      </c>
    </row>
    <row r="2208" spans="1:2">
      <c r="A2208" t="s">
        <v>377</v>
      </c>
      <c r="B2208">
        <v>1</v>
      </c>
    </row>
    <row r="2209" spans="1:2">
      <c r="A2209" t="s">
        <v>1457</v>
      </c>
      <c r="B2209">
        <v>1</v>
      </c>
    </row>
    <row r="2210" spans="1:2">
      <c r="A2210" t="s">
        <v>1459</v>
      </c>
      <c r="B2210">
        <v>1</v>
      </c>
    </row>
    <row r="2211" spans="1:2">
      <c r="A2211" t="s">
        <v>1476</v>
      </c>
      <c r="B2211">
        <v>1</v>
      </c>
    </row>
    <row r="2212" spans="1:2">
      <c r="A2212" t="s">
        <v>1536</v>
      </c>
      <c r="B2212">
        <v>1</v>
      </c>
    </row>
    <row r="2213" spans="1:2">
      <c r="A2213" t="s">
        <v>1537</v>
      </c>
      <c r="B2213">
        <v>1</v>
      </c>
    </row>
    <row r="2214" spans="1:2">
      <c r="A2214" t="s">
        <v>82</v>
      </c>
      <c r="B2214">
        <v>1</v>
      </c>
    </row>
    <row r="2215" spans="1:2">
      <c r="A2215" t="s">
        <v>700</v>
      </c>
      <c r="B2215">
        <v>1</v>
      </c>
    </row>
    <row r="2216" spans="1:2">
      <c r="A2216" t="s">
        <v>1636</v>
      </c>
      <c r="B2216">
        <v>2</v>
      </c>
    </row>
    <row r="2217" spans="1:2">
      <c r="A2217" t="s">
        <v>1637</v>
      </c>
      <c r="B2217">
        <v>1</v>
      </c>
    </row>
    <row r="2218" spans="1:2">
      <c r="A2218" t="s">
        <v>1647</v>
      </c>
      <c r="B2218">
        <v>1</v>
      </c>
    </row>
    <row r="2219" spans="1:2">
      <c r="A2219" t="s">
        <v>1654</v>
      </c>
      <c r="B2219">
        <v>1</v>
      </c>
    </row>
    <row r="2220" spans="1:2">
      <c r="A2220" t="s">
        <v>1052</v>
      </c>
      <c r="B2220">
        <v>1</v>
      </c>
    </row>
    <row r="2221" spans="1:2">
      <c r="A2221" t="s">
        <v>1655</v>
      </c>
      <c r="B2221">
        <v>1</v>
      </c>
    </row>
    <row r="2222" spans="1:2">
      <c r="A2222" t="s">
        <v>1659</v>
      </c>
      <c r="B2222">
        <v>2</v>
      </c>
    </row>
    <row r="2223" spans="1:2">
      <c r="A2223" t="s">
        <v>1667</v>
      </c>
      <c r="B2223">
        <v>1</v>
      </c>
    </row>
    <row r="2224" spans="1:2">
      <c r="A2224" t="s">
        <v>1668</v>
      </c>
      <c r="B2224">
        <v>2</v>
      </c>
    </row>
    <row r="2225" spans="1:2">
      <c r="A2225" t="s">
        <v>1670</v>
      </c>
      <c r="B2225">
        <v>1</v>
      </c>
    </row>
    <row r="2226" spans="1:2">
      <c r="A2226" t="s">
        <v>1671</v>
      </c>
      <c r="B2226">
        <v>1</v>
      </c>
    </row>
    <row r="2227" spans="1:2">
      <c r="A2227" t="s">
        <v>1672</v>
      </c>
      <c r="B2227">
        <v>1</v>
      </c>
    </row>
    <row r="2228" spans="1:2">
      <c r="A2228" t="s">
        <v>1673</v>
      </c>
      <c r="B2228">
        <v>1</v>
      </c>
    </row>
    <row r="2229" spans="1:2">
      <c r="A2229" t="s">
        <v>1674</v>
      </c>
      <c r="B2229">
        <v>1</v>
      </c>
    </row>
    <row r="2230" spans="1:2">
      <c r="A2230" t="s">
        <v>1675</v>
      </c>
      <c r="B2230">
        <v>1</v>
      </c>
    </row>
    <row r="2231" spans="1:2">
      <c r="A2231" t="s">
        <v>1681</v>
      </c>
      <c r="B2231">
        <v>1</v>
      </c>
    </row>
    <row r="2232" spans="1:2">
      <c r="A2232" t="s">
        <v>1682</v>
      </c>
      <c r="B2232">
        <v>1</v>
      </c>
    </row>
    <row r="2233" spans="1:2">
      <c r="A2233" t="s">
        <v>1702</v>
      </c>
      <c r="B2233">
        <v>1</v>
      </c>
    </row>
    <row r="2234" spans="1:2">
      <c r="A2234" t="s">
        <v>1703</v>
      </c>
      <c r="B2234">
        <v>1</v>
      </c>
    </row>
    <row r="2235" spans="1:2">
      <c r="A2235" t="s">
        <v>1712</v>
      </c>
      <c r="B2235">
        <v>1</v>
      </c>
    </row>
    <row r="2236" spans="1:2">
      <c r="A2236" t="s">
        <v>1720</v>
      </c>
      <c r="B2236">
        <v>1</v>
      </c>
    </row>
    <row r="2237" spans="1:2">
      <c r="A2237" t="s">
        <v>1729</v>
      </c>
      <c r="B2237">
        <v>1</v>
      </c>
    </row>
    <row r="2238" spans="1:2">
      <c r="A2238" t="s">
        <v>1770</v>
      </c>
      <c r="B2238">
        <v>1</v>
      </c>
    </row>
    <row r="2239" spans="1:2">
      <c r="A2239" t="s">
        <v>1775</v>
      </c>
      <c r="B2239">
        <v>1</v>
      </c>
    </row>
    <row r="2240" spans="1:2">
      <c r="A2240" t="s">
        <v>1776</v>
      </c>
      <c r="B2240">
        <v>1</v>
      </c>
    </row>
    <row r="2241" spans="1:2">
      <c r="A2241" t="s">
        <v>1777</v>
      </c>
      <c r="B2241">
        <v>1</v>
      </c>
    </row>
    <row r="2242" spans="1:2">
      <c r="A2242" s="2" t="s">
        <v>9</v>
      </c>
      <c r="B2242" s="2">
        <v>481</v>
      </c>
    </row>
    <row r="2244" spans="1:2">
      <c r="A2244" s="2" t="s">
        <v>544</v>
      </c>
    </row>
    <row r="2245" spans="1:2">
      <c r="A2245" s="2" t="s">
        <v>0</v>
      </c>
      <c r="B2245" s="2" t="s">
        <v>1</v>
      </c>
    </row>
    <row r="2246" spans="1:2">
      <c r="A2246" t="s">
        <v>968</v>
      </c>
      <c r="B2246">
        <v>3</v>
      </c>
    </row>
    <row r="2247" spans="1:2">
      <c r="A2247" t="s">
        <v>876</v>
      </c>
      <c r="B2247">
        <v>5</v>
      </c>
    </row>
    <row r="2248" spans="1:2">
      <c r="A2248" t="s">
        <v>1090</v>
      </c>
      <c r="B2248">
        <v>2</v>
      </c>
    </row>
    <row r="2249" spans="1:2">
      <c r="A2249" t="s">
        <v>1091</v>
      </c>
      <c r="B2249">
        <v>2</v>
      </c>
    </row>
    <row r="2250" spans="1:2">
      <c r="A2250" t="s">
        <v>1093</v>
      </c>
      <c r="B2250">
        <v>1</v>
      </c>
    </row>
    <row r="2251" spans="1:2">
      <c r="A2251" t="s">
        <v>1112</v>
      </c>
      <c r="B2251">
        <v>3</v>
      </c>
    </row>
    <row r="2252" spans="1:2">
      <c r="A2252" t="s">
        <v>1117</v>
      </c>
      <c r="B2252">
        <v>3</v>
      </c>
    </row>
    <row r="2253" spans="1:2">
      <c r="A2253" t="s">
        <v>321</v>
      </c>
      <c r="B2253">
        <v>19</v>
      </c>
    </row>
    <row r="2254" spans="1:2">
      <c r="A2254" t="s">
        <v>1129</v>
      </c>
      <c r="B2254">
        <v>2</v>
      </c>
    </row>
    <row r="2255" spans="1:2">
      <c r="A2255" t="s">
        <v>66</v>
      </c>
      <c r="B2255">
        <v>2</v>
      </c>
    </row>
    <row r="2256" spans="1:2">
      <c r="A2256" t="s">
        <v>677</v>
      </c>
      <c r="B2256">
        <v>5</v>
      </c>
    </row>
    <row r="2257" spans="1:2">
      <c r="A2257" t="s">
        <v>1179</v>
      </c>
      <c r="B2257">
        <v>2</v>
      </c>
    </row>
    <row r="2258" spans="1:2">
      <c r="A2258" t="s">
        <v>1212</v>
      </c>
      <c r="B2258">
        <v>1</v>
      </c>
    </row>
    <row r="2259" spans="1:2">
      <c r="A2259" t="s">
        <v>405</v>
      </c>
      <c r="B2259">
        <v>18</v>
      </c>
    </row>
    <row r="2260" spans="1:2">
      <c r="A2260" t="s">
        <v>473</v>
      </c>
      <c r="B2260">
        <v>3</v>
      </c>
    </row>
    <row r="2261" spans="1:2">
      <c r="A2261" t="s">
        <v>1249</v>
      </c>
      <c r="B2261">
        <v>3</v>
      </c>
    </row>
    <row r="2262" spans="1:2">
      <c r="A2262" t="s">
        <v>1250</v>
      </c>
      <c r="B2262">
        <v>1</v>
      </c>
    </row>
    <row r="2263" spans="1:2">
      <c r="A2263" t="s">
        <v>274</v>
      </c>
      <c r="B2263">
        <v>6</v>
      </c>
    </row>
    <row r="2264" spans="1:2">
      <c r="A2264" t="s">
        <v>1281</v>
      </c>
      <c r="B2264">
        <v>1</v>
      </c>
    </row>
    <row r="2265" spans="1:2">
      <c r="A2265" t="s">
        <v>1359</v>
      </c>
      <c r="B2265">
        <v>1</v>
      </c>
    </row>
    <row r="2266" spans="1:2">
      <c r="A2266" t="s">
        <v>1359</v>
      </c>
      <c r="B2266">
        <v>1</v>
      </c>
    </row>
    <row r="2267" spans="1:2">
      <c r="A2267" t="s">
        <v>1410</v>
      </c>
      <c r="B2267">
        <v>1</v>
      </c>
    </row>
    <row r="2268" spans="1:2">
      <c r="A2268" t="s">
        <v>1411</v>
      </c>
      <c r="B2268">
        <v>1</v>
      </c>
    </row>
    <row r="2269" spans="1:2">
      <c r="A2269" t="s">
        <v>1516</v>
      </c>
      <c r="B2269">
        <v>1</v>
      </c>
    </row>
    <row r="2270" spans="1:2">
      <c r="A2270" t="s">
        <v>826</v>
      </c>
      <c r="B2270">
        <v>1</v>
      </c>
    </row>
    <row r="2271" spans="1:2">
      <c r="A2271" t="s">
        <v>1572</v>
      </c>
      <c r="B2271">
        <v>1</v>
      </c>
    </row>
    <row r="2272" spans="1:2">
      <c r="A2272" t="s">
        <v>847</v>
      </c>
      <c r="B2272">
        <v>2</v>
      </c>
    </row>
    <row r="2273" spans="1:2">
      <c r="A2273" t="s">
        <v>1618</v>
      </c>
      <c r="B2273">
        <v>1</v>
      </c>
    </row>
    <row r="2274" spans="1:2">
      <c r="A2274" t="s">
        <v>1631</v>
      </c>
      <c r="B2274">
        <v>1</v>
      </c>
    </row>
    <row r="2275" spans="1:2">
      <c r="A2275" t="s">
        <v>1730</v>
      </c>
      <c r="B2275">
        <v>1</v>
      </c>
    </row>
    <row r="2276" spans="1:2">
      <c r="A2276" t="s">
        <v>1740</v>
      </c>
      <c r="B2276">
        <v>1</v>
      </c>
    </row>
    <row r="2277" spans="1:2">
      <c r="A2277" t="s">
        <v>616</v>
      </c>
      <c r="B2277">
        <v>1</v>
      </c>
    </row>
    <row r="2278" spans="1:2">
      <c r="A2278" t="s">
        <v>149</v>
      </c>
      <c r="B2278">
        <v>3</v>
      </c>
    </row>
    <row r="2279" spans="1:2">
      <c r="A2279" t="s">
        <v>1768</v>
      </c>
      <c r="B2279">
        <v>1</v>
      </c>
    </row>
    <row r="2280" spans="1:2">
      <c r="A2280" s="2" t="s">
        <v>9</v>
      </c>
      <c r="B2280" s="2">
        <v>100</v>
      </c>
    </row>
    <row r="2282" spans="1:2">
      <c r="A2282" s="2" t="s">
        <v>96</v>
      </c>
    </row>
    <row r="2283" spans="1:2">
      <c r="A2283" s="2" t="s">
        <v>0</v>
      </c>
      <c r="B2283" s="2" t="s">
        <v>1</v>
      </c>
    </row>
    <row r="2284" spans="1:2">
      <c r="A2284" t="s">
        <v>135</v>
      </c>
      <c r="B2284">
        <v>22</v>
      </c>
    </row>
    <row r="2285" spans="1:2">
      <c r="A2285" t="s">
        <v>1078</v>
      </c>
      <c r="B2285">
        <v>2</v>
      </c>
    </row>
    <row r="2286" spans="1:2">
      <c r="A2286" t="s">
        <v>368</v>
      </c>
      <c r="B2286">
        <v>2</v>
      </c>
    </row>
    <row r="2287" spans="1:2">
      <c r="A2287" t="s">
        <v>1085</v>
      </c>
      <c r="B2287">
        <v>1</v>
      </c>
    </row>
    <row r="2288" spans="1:2">
      <c r="A2288" t="s">
        <v>1086</v>
      </c>
      <c r="B2288">
        <v>6</v>
      </c>
    </row>
    <row r="2289" spans="1:2">
      <c r="A2289" t="s">
        <v>769</v>
      </c>
      <c r="B2289">
        <v>16</v>
      </c>
    </row>
    <row r="2290" spans="1:2">
      <c r="A2290" t="s">
        <v>80</v>
      </c>
      <c r="B2290">
        <v>12</v>
      </c>
    </row>
    <row r="2291" spans="1:2">
      <c r="A2291" t="s">
        <v>146</v>
      </c>
      <c r="B2291">
        <v>25</v>
      </c>
    </row>
    <row r="2292" spans="1:2">
      <c r="A2292" t="s">
        <v>162</v>
      </c>
      <c r="B2292">
        <v>72</v>
      </c>
    </row>
    <row r="2293" spans="1:2">
      <c r="A2293" t="s">
        <v>850</v>
      </c>
      <c r="B2293">
        <v>11</v>
      </c>
    </row>
    <row r="2294" spans="1:2">
      <c r="A2294" t="s">
        <v>207</v>
      </c>
      <c r="B2294">
        <v>25</v>
      </c>
    </row>
    <row r="2295" spans="1:2">
      <c r="A2295" t="s">
        <v>1120</v>
      </c>
      <c r="B2295">
        <v>5</v>
      </c>
    </row>
    <row r="2296" spans="1:2">
      <c r="A2296" t="s">
        <v>1121</v>
      </c>
      <c r="B2296">
        <v>5</v>
      </c>
    </row>
    <row r="2297" spans="1:2">
      <c r="A2297" t="s">
        <v>130</v>
      </c>
      <c r="B2297">
        <v>46</v>
      </c>
    </row>
    <row r="2298" spans="1:2">
      <c r="A2298" t="s">
        <v>127</v>
      </c>
      <c r="B2298">
        <v>41</v>
      </c>
    </row>
    <row r="2299" spans="1:2">
      <c r="A2299" t="s">
        <v>1130</v>
      </c>
      <c r="B2299">
        <v>3</v>
      </c>
    </row>
    <row r="2300" spans="1:2">
      <c r="A2300" t="s">
        <v>803</v>
      </c>
      <c r="B2300">
        <v>2</v>
      </c>
    </row>
    <row r="2301" spans="1:2">
      <c r="A2301" t="s">
        <v>1164</v>
      </c>
      <c r="B2301">
        <v>24</v>
      </c>
    </row>
    <row r="2302" spans="1:2">
      <c r="A2302" t="s">
        <v>193</v>
      </c>
      <c r="B2302">
        <v>29</v>
      </c>
    </row>
    <row r="2303" spans="1:2">
      <c r="A2303" t="s">
        <v>268</v>
      </c>
      <c r="B2303">
        <v>4</v>
      </c>
    </row>
    <row r="2304" spans="1:2">
      <c r="A2304" t="s">
        <v>67</v>
      </c>
      <c r="B2304">
        <v>1</v>
      </c>
    </row>
    <row r="2305" spans="1:2">
      <c r="A2305" t="s">
        <v>1177</v>
      </c>
      <c r="B2305">
        <v>1</v>
      </c>
    </row>
    <row r="2306" spans="1:2">
      <c r="A2306" t="s">
        <v>1190</v>
      </c>
      <c r="B2306">
        <v>3</v>
      </c>
    </row>
    <row r="2307" spans="1:2">
      <c r="A2307" t="s">
        <v>1216</v>
      </c>
      <c r="B2307">
        <v>1</v>
      </c>
    </row>
    <row r="2308" spans="1:2">
      <c r="A2308" t="s">
        <v>562</v>
      </c>
      <c r="B2308">
        <v>6</v>
      </c>
    </row>
    <row r="2309" spans="1:2">
      <c r="A2309" t="s">
        <v>923</v>
      </c>
      <c r="B2309">
        <v>3</v>
      </c>
    </row>
    <row r="2310" spans="1:2">
      <c r="A2310" t="s">
        <v>888</v>
      </c>
      <c r="B2310">
        <v>5</v>
      </c>
    </row>
    <row r="2311" spans="1:2">
      <c r="A2311" t="s">
        <v>1252</v>
      </c>
      <c r="B2311">
        <v>3</v>
      </c>
    </row>
    <row r="2312" spans="1:2">
      <c r="A2312" t="s">
        <v>704</v>
      </c>
      <c r="B2312">
        <v>3</v>
      </c>
    </row>
    <row r="2313" spans="1:2">
      <c r="A2313" t="s">
        <v>1254</v>
      </c>
      <c r="B2313">
        <v>2</v>
      </c>
    </row>
    <row r="2314" spans="1:2">
      <c r="A2314" t="s">
        <v>1255</v>
      </c>
      <c r="B2314">
        <v>2</v>
      </c>
    </row>
    <row r="2315" spans="1:2">
      <c r="A2315" t="s">
        <v>367</v>
      </c>
      <c r="B2315">
        <v>8</v>
      </c>
    </row>
    <row r="2316" spans="1:2">
      <c r="A2316" t="s">
        <v>1263</v>
      </c>
      <c r="B2316">
        <v>2</v>
      </c>
    </row>
    <row r="2317" spans="1:2">
      <c r="A2317" t="s">
        <v>1276</v>
      </c>
      <c r="B2317">
        <v>3</v>
      </c>
    </row>
    <row r="2318" spans="1:2">
      <c r="A2318" t="s">
        <v>1280</v>
      </c>
      <c r="B2318">
        <v>4</v>
      </c>
    </row>
    <row r="2319" spans="1:2">
      <c r="A2319" t="s">
        <v>943</v>
      </c>
      <c r="B2319">
        <v>2</v>
      </c>
    </row>
    <row r="2320" spans="1:2">
      <c r="A2320" t="s">
        <v>1294</v>
      </c>
      <c r="B2320">
        <v>1</v>
      </c>
    </row>
    <row r="2321" spans="1:2">
      <c r="A2321" t="s">
        <v>174</v>
      </c>
      <c r="B2321">
        <v>2</v>
      </c>
    </row>
    <row r="2322" spans="1:2">
      <c r="A2322" t="s">
        <v>81</v>
      </c>
      <c r="B2322">
        <v>10</v>
      </c>
    </row>
    <row r="2323" spans="1:2">
      <c r="A2323" t="s">
        <v>444</v>
      </c>
      <c r="B2323">
        <v>3</v>
      </c>
    </row>
    <row r="2324" spans="1:2">
      <c r="A2324" t="s">
        <v>1360</v>
      </c>
      <c r="B2324">
        <v>1</v>
      </c>
    </row>
    <row r="2325" spans="1:2">
      <c r="A2325" t="s">
        <v>1361</v>
      </c>
      <c r="B2325">
        <v>1</v>
      </c>
    </row>
    <row r="2326" spans="1:2">
      <c r="A2326" t="s">
        <v>1294</v>
      </c>
      <c r="B2326">
        <v>1</v>
      </c>
    </row>
    <row r="2327" spans="1:2">
      <c r="A2327" t="s">
        <v>174</v>
      </c>
      <c r="B2327">
        <v>2</v>
      </c>
    </row>
    <row r="2328" spans="1:2">
      <c r="A2328" t="s">
        <v>81</v>
      </c>
      <c r="B2328">
        <v>10</v>
      </c>
    </row>
    <row r="2329" spans="1:2">
      <c r="A2329" t="s">
        <v>444</v>
      </c>
      <c r="B2329">
        <v>3</v>
      </c>
    </row>
    <row r="2330" spans="1:2">
      <c r="A2330" t="s">
        <v>1360</v>
      </c>
      <c r="B2330">
        <v>1</v>
      </c>
    </row>
    <row r="2331" spans="1:2">
      <c r="A2331" t="s">
        <v>1361</v>
      </c>
      <c r="B2331">
        <v>1</v>
      </c>
    </row>
    <row r="2332" spans="1:2">
      <c r="A2332" t="s">
        <v>366</v>
      </c>
      <c r="B2332">
        <v>5</v>
      </c>
    </row>
    <row r="2333" spans="1:2">
      <c r="A2333" t="s">
        <v>1381</v>
      </c>
      <c r="B2333">
        <v>3</v>
      </c>
    </row>
    <row r="2334" spans="1:2">
      <c r="A2334" t="s">
        <v>1383</v>
      </c>
      <c r="B2334">
        <v>8</v>
      </c>
    </row>
    <row r="2335" spans="1:2">
      <c r="A2335" t="s">
        <v>1386</v>
      </c>
      <c r="B2335">
        <v>7</v>
      </c>
    </row>
    <row r="2336" spans="1:2">
      <c r="A2336" t="s">
        <v>883</v>
      </c>
      <c r="B2336">
        <v>1</v>
      </c>
    </row>
    <row r="2337" spans="1:2">
      <c r="A2337" t="s">
        <v>806</v>
      </c>
      <c r="B2337">
        <v>1</v>
      </c>
    </row>
    <row r="2338" spans="1:2">
      <c r="A2338" t="s">
        <v>1412</v>
      </c>
      <c r="B2338">
        <v>1</v>
      </c>
    </row>
    <row r="2339" spans="1:2">
      <c r="A2339" t="s">
        <v>1415</v>
      </c>
      <c r="B2339">
        <v>2</v>
      </c>
    </row>
    <row r="2340" spans="1:2">
      <c r="A2340" t="s">
        <v>1417</v>
      </c>
      <c r="B2340">
        <v>2</v>
      </c>
    </row>
    <row r="2341" spans="1:2">
      <c r="A2341" t="s">
        <v>1421</v>
      </c>
      <c r="B2341">
        <v>1</v>
      </c>
    </row>
    <row r="2342" spans="1:2">
      <c r="A2342" t="s">
        <v>746</v>
      </c>
      <c r="B2342">
        <v>1</v>
      </c>
    </row>
    <row r="2343" spans="1:2">
      <c r="A2343" t="s">
        <v>621</v>
      </c>
      <c r="B2343">
        <v>2</v>
      </c>
    </row>
    <row r="2344" spans="1:2">
      <c r="A2344" t="s">
        <v>1440</v>
      </c>
      <c r="B2344">
        <v>1</v>
      </c>
    </row>
    <row r="2345" spans="1:2">
      <c r="A2345" t="s">
        <v>1454</v>
      </c>
      <c r="B2345">
        <v>1</v>
      </c>
    </row>
    <row r="2346" spans="1:2">
      <c r="A2346" t="s">
        <v>311</v>
      </c>
      <c r="B2346">
        <v>2</v>
      </c>
    </row>
    <row r="2347" spans="1:2">
      <c r="A2347" t="s">
        <v>323</v>
      </c>
      <c r="B2347">
        <v>1</v>
      </c>
    </row>
    <row r="2348" spans="1:2">
      <c r="A2348" t="s">
        <v>1465</v>
      </c>
      <c r="B2348">
        <v>2</v>
      </c>
    </row>
    <row r="2349" spans="1:2">
      <c r="A2349" t="s">
        <v>1515</v>
      </c>
      <c r="B2349">
        <v>3</v>
      </c>
    </row>
    <row r="2350" spans="1:2">
      <c r="A2350" t="s">
        <v>363</v>
      </c>
      <c r="B2350">
        <v>1</v>
      </c>
    </row>
    <row r="2351" spans="1:2">
      <c r="A2351" t="s">
        <v>1544</v>
      </c>
      <c r="B2351">
        <v>1</v>
      </c>
    </row>
    <row r="2352" spans="1:2">
      <c r="A2352" t="s">
        <v>1561</v>
      </c>
      <c r="B2352">
        <v>1</v>
      </c>
    </row>
    <row r="2353" spans="1:2">
      <c r="A2353" t="s">
        <v>1565</v>
      </c>
      <c r="B2353">
        <v>1</v>
      </c>
    </row>
    <row r="2354" spans="1:2">
      <c r="A2354" t="s">
        <v>824</v>
      </c>
      <c r="B2354">
        <v>1</v>
      </c>
    </row>
    <row r="2355" spans="1:2">
      <c r="A2355" t="s">
        <v>885</v>
      </c>
      <c r="B2355">
        <v>2</v>
      </c>
    </row>
    <row r="2356" spans="1:2">
      <c r="A2356" t="s">
        <v>1578</v>
      </c>
      <c r="B2356">
        <v>1</v>
      </c>
    </row>
    <row r="2357" spans="1:2">
      <c r="A2357" t="s">
        <v>1588</v>
      </c>
      <c r="B2357">
        <v>1</v>
      </c>
    </row>
    <row r="2358" spans="1:2">
      <c r="A2358" t="s">
        <v>1594</v>
      </c>
      <c r="B2358">
        <v>1</v>
      </c>
    </row>
    <row r="2359" spans="1:2">
      <c r="A2359" t="s">
        <v>1596</v>
      </c>
      <c r="B2359">
        <v>1</v>
      </c>
    </row>
    <row r="2360" spans="1:2">
      <c r="A2360" t="s">
        <v>1603</v>
      </c>
      <c r="B2360">
        <v>1</v>
      </c>
    </row>
    <row r="2361" spans="1:2">
      <c r="A2361" t="s">
        <v>825</v>
      </c>
      <c r="B2361">
        <v>2</v>
      </c>
    </row>
    <row r="2362" spans="1:2">
      <c r="A2362" t="s">
        <v>1638</v>
      </c>
      <c r="B2362">
        <v>1</v>
      </c>
    </row>
    <row r="2363" spans="1:2">
      <c r="A2363" t="s">
        <v>1725</v>
      </c>
      <c r="B2363">
        <v>1</v>
      </c>
    </row>
    <row r="2364" spans="1:2">
      <c r="A2364" t="s">
        <v>802</v>
      </c>
      <c r="B2364">
        <v>2</v>
      </c>
    </row>
    <row r="2365" spans="1:2">
      <c r="A2365" t="s">
        <v>1748</v>
      </c>
      <c r="B2365">
        <v>2</v>
      </c>
    </row>
    <row r="2366" spans="1:2">
      <c r="A2366" t="s">
        <v>1767</v>
      </c>
      <c r="B2366">
        <v>2</v>
      </c>
    </row>
    <row r="2367" spans="1:2">
      <c r="A2367" s="2" t="s">
        <v>9</v>
      </c>
      <c r="B2367" s="2">
        <v>504</v>
      </c>
    </row>
    <row r="2369" spans="1:2">
      <c r="A2369" s="2" t="s">
        <v>54</v>
      </c>
    </row>
    <row r="2370" spans="1:2">
      <c r="A2370" s="2" t="s">
        <v>0</v>
      </c>
      <c r="B2370" s="2" t="s">
        <v>1</v>
      </c>
    </row>
    <row r="2371" spans="1:2">
      <c r="A2371" t="s">
        <v>121</v>
      </c>
      <c r="B2371">
        <v>5</v>
      </c>
    </row>
    <row r="2372" spans="1:2">
      <c r="A2372" t="s">
        <v>71</v>
      </c>
      <c r="B2372">
        <v>102</v>
      </c>
    </row>
    <row r="2373" spans="1:2">
      <c r="A2373" t="s">
        <v>1088</v>
      </c>
      <c r="B2373">
        <v>1</v>
      </c>
    </row>
    <row r="2374" spans="1:2">
      <c r="A2374" t="s">
        <v>358</v>
      </c>
      <c r="B2374">
        <v>26</v>
      </c>
    </row>
    <row r="2375" spans="1:2">
      <c r="A2375" t="s">
        <v>371</v>
      </c>
      <c r="B2375">
        <v>35</v>
      </c>
    </row>
    <row r="2376" spans="1:2">
      <c r="A2376" t="s">
        <v>176</v>
      </c>
      <c r="B2376">
        <v>34</v>
      </c>
    </row>
    <row r="2377" spans="1:2">
      <c r="A2377" t="s">
        <v>622</v>
      </c>
      <c r="B2377">
        <v>2</v>
      </c>
    </row>
    <row r="2378" spans="1:2">
      <c r="A2378" t="s">
        <v>566</v>
      </c>
      <c r="B2378">
        <v>27</v>
      </c>
    </row>
    <row r="2379" spans="1:2">
      <c r="A2379" t="s">
        <v>302</v>
      </c>
      <c r="B2379">
        <v>21</v>
      </c>
    </row>
    <row r="2380" spans="1:2">
      <c r="A2380" t="s">
        <v>1114</v>
      </c>
      <c r="B2380">
        <v>4</v>
      </c>
    </row>
    <row r="2381" spans="1:2">
      <c r="A2381" t="s">
        <v>385</v>
      </c>
      <c r="B2381">
        <v>35</v>
      </c>
    </row>
    <row r="2382" spans="1:2">
      <c r="A2382" t="s">
        <v>1116</v>
      </c>
      <c r="B2382">
        <v>3</v>
      </c>
    </row>
    <row r="2383" spans="1:2">
      <c r="A2383" t="s">
        <v>156</v>
      </c>
      <c r="B2383">
        <v>3</v>
      </c>
    </row>
    <row r="2384" spans="1:2">
      <c r="A2384" t="s">
        <v>974</v>
      </c>
      <c r="B2384">
        <v>6</v>
      </c>
    </row>
    <row r="2385" spans="1:2">
      <c r="A2385" t="s">
        <v>613</v>
      </c>
      <c r="B2385">
        <v>8</v>
      </c>
    </row>
    <row r="2386" spans="1:2">
      <c r="A2386" t="s">
        <v>1142</v>
      </c>
      <c r="B2386">
        <v>1</v>
      </c>
    </row>
    <row r="2387" spans="1:2">
      <c r="A2387" t="s">
        <v>916</v>
      </c>
      <c r="B2387">
        <v>6</v>
      </c>
    </row>
    <row r="2388" spans="1:2">
      <c r="A2388" t="s">
        <v>1166</v>
      </c>
      <c r="B2388">
        <v>31</v>
      </c>
    </row>
    <row r="2389" spans="1:2">
      <c r="A2389" t="s">
        <v>1180</v>
      </c>
      <c r="B2389">
        <v>1</v>
      </c>
    </row>
    <row r="2390" spans="1:2">
      <c r="A2390" t="s">
        <v>1182</v>
      </c>
      <c r="B2390">
        <v>2</v>
      </c>
    </row>
    <row r="2391" spans="1:2">
      <c r="A2391" t="s">
        <v>1188</v>
      </c>
      <c r="B2391">
        <v>5</v>
      </c>
    </row>
    <row r="2392" spans="1:2">
      <c r="A2392" t="s">
        <v>1191</v>
      </c>
      <c r="B2392">
        <v>2</v>
      </c>
    </row>
    <row r="2393" spans="1:2">
      <c r="A2393" t="s">
        <v>442</v>
      </c>
      <c r="B2393">
        <v>1</v>
      </c>
    </row>
    <row r="2394" spans="1:2">
      <c r="A2394" t="s">
        <v>309</v>
      </c>
      <c r="B2394">
        <v>6</v>
      </c>
    </row>
    <row r="2395" spans="1:2">
      <c r="A2395" t="s">
        <v>615</v>
      </c>
      <c r="B2395">
        <v>9</v>
      </c>
    </row>
    <row r="2396" spans="1:2">
      <c r="A2396" t="s">
        <v>1207</v>
      </c>
      <c r="B2396">
        <v>3</v>
      </c>
    </row>
    <row r="2397" spans="1:2">
      <c r="A2397" t="s">
        <v>1218</v>
      </c>
      <c r="B2397">
        <v>1</v>
      </c>
    </row>
    <row r="2398" spans="1:2">
      <c r="A2398" t="s">
        <v>376</v>
      </c>
      <c r="B2398">
        <v>5</v>
      </c>
    </row>
    <row r="2399" spans="1:2">
      <c r="A2399" t="s">
        <v>687</v>
      </c>
      <c r="B2399">
        <v>4</v>
      </c>
    </row>
    <row r="2400" spans="1:2">
      <c r="A2400" t="s">
        <v>1230</v>
      </c>
      <c r="B2400">
        <v>1</v>
      </c>
    </row>
    <row r="2401" spans="1:2">
      <c r="A2401" t="s">
        <v>1242</v>
      </c>
      <c r="B2401">
        <v>1</v>
      </c>
    </row>
    <row r="2402" spans="1:2">
      <c r="A2402" t="s">
        <v>1247</v>
      </c>
      <c r="B2402">
        <v>4</v>
      </c>
    </row>
    <row r="2403" spans="1:2">
      <c r="A2403" t="s">
        <v>576</v>
      </c>
      <c r="B2403">
        <v>15</v>
      </c>
    </row>
    <row r="2404" spans="1:2">
      <c r="A2404" t="s">
        <v>1267</v>
      </c>
      <c r="B2404">
        <v>3</v>
      </c>
    </row>
    <row r="2405" spans="1:2">
      <c r="A2405" t="s">
        <v>1054</v>
      </c>
      <c r="B2405">
        <v>4</v>
      </c>
    </row>
    <row r="2406" spans="1:2">
      <c r="A2406" t="s">
        <v>1278</v>
      </c>
      <c r="B2406">
        <v>1</v>
      </c>
    </row>
    <row r="2407" spans="1:2">
      <c r="A2407" t="s">
        <v>1279</v>
      </c>
      <c r="B2407">
        <v>3</v>
      </c>
    </row>
    <row r="2408" spans="1:2">
      <c r="A2408" t="s">
        <v>1285</v>
      </c>
      <c r="B2408">
        <v>3</v>
      </c>
    </row>
    <row r="2409" spans="1:2">
      <c r="A2409" t="s">
        <v>1286</v>
      </c>
      <c r="B2409">
        <v>4</v>
      </c>
    </row>
    <row r="2410" spans="1:2">
      <c r="A2410" t="s">
        <v>1287</v>
      </c>
      <c r="B2410">
        <v>2</v>
      </c>
    </row>
    <row r="2411" spans="1:2">
      <c r="A2411" t="s">
        <v>396</v>
      </c>
      <c r="B2411">
        <v>3</v>
      </c>
    </row>
    <row r="2412" spans="1:2">
      <c r="A2412" t="s">
        <v>1293</v>
      </c>
      <c r="B2412">
        <v>1</v>
      </c>
    </row>
    <row r="2413" spans="1:2">
      <c r="A2413" t="s">
        <v>816</v>
      </c>
      <c r="B2413">
        <v>3</v>
      </c>
    </row>
    <row r="2414" spans="1:2">
      <c r="A2414" t="s">
        <v>626</v>
      </c>
      <c r="B2414">
        <v>2</v>
      </c>
    </row>
    <row r="2415" spans="1:2">
      <c r="A2415" t="s">
        <v>730</v>
      </c>
      <c r="B2415">
        <v>3</v>
      </c>
    </row>
    <row r="2416" spans="1:2">
      <c r="A2416" t="s">
        <v>1337</v>
      </c>
      <c r="B2416">
        <v>1</v>
      </c>
    </row>
    <row r="2417" spans="1:2">
      <c r="A2417" t="s">
        <v>1351</v>
      </c>
      <c r="B2417">
        <v>4</v>
      </c>
    </row>
    <row r="2418" spans="1:2">
      <c r="A2418" t="s">
        <v>949</v>
      </c>
      <c r="B2418">
        <v>2</v>
      </c>
    </row>
    <row r="2419" spans="1:2">
      <c r="A2419" t="s">
        <v>1293</v>
      </c>
      <c r="B2419">
        <v>1</v>
      </c>
    </row>
    <row r="2420" spans="1:2">
      <c r="A2420" t="s">
        <v>816</v>
      </c>
      <c r="B2420">
        <v>3</v>
      </c>
    </row>
    <row r="2421" spans="1:2">
      <c r="A2421" t="s">
        <v>626</v>
      </c>
      <c r="B2421">
        <v>2</v>
      </c>
    </row>
    <row r="2422" spans="1:2">
      <c r="A2422" t="s">
        <v>730</v>
      </c>
      <c r="B2422">
        <v>3</v>
      </c>
    </row>
    <row r="2423" spans="1:2">
      <c r="A2423" t="s">
        <v>1337</v>
      </c>
      <c r="B2423">
        <v>1</v>
      </c>
    </row>
    <row r="2424" spans="1:2">
      <c r="A2424" t="s">
        <v>1351</v>
      </c>
      <c r="B2424">
        <v>4</v>
      </c>
    </row>
    <row r="2425" spans="1:2">
      <c r="A2425" t="s">
        <v>949</v>
      </c>
      <c r="B2425">
        <v>2</v>
      </c>
    </row>
    <row r="2426" spans="1:2">
      <c r="A2426" t="s">
        <v>1377</v>
      </c>
      <c r="B2426">
        <v>3</v>
      </c>
    </row>
    <row r="2427" spans="1:2">
      <c r="A2427" t="s">
        <v>1387</v>
      </c>
      <c r="B2427">
        <v>6</v>
      </c>
    </row>
    <row r="2428" spans="1:2">
      <c r="A2428" t="s">
        <v>324</v>
      </c>
      <c r="B2428">
        <v>8</v>
      </c>
    </row>
    <row r="2429" spans="1:2">
      <c r="A2429" t="s">
        <v>186</v>
      </c>
      <c r="B2429">
        <v>3</v>
      </c>
    </row>
    <row r="2430" spans="1:2">
      <c r="A2430" t="s">
        <v>1397</v>
      </c>
      <c r="B2430">
        <v>1</v>
      </c>
    </row>
    <row r="2431" spans="1:2">
      <c r="A2431" t="s">
        <v>1418</v>
      </c>
      <c r="B2431">
        <v>4</v>
      </c>
    </row>
    <row r="2432" spans="1:2">
      <c r="A2432" t="s">
        <v>1424</v>
      </c>
      <c r="B2432">
        <v>2</v>
      </c>
    </row>
    <row r="2433" spans="1:2">
      <c r="A2433" t="s">
        <v>1428</v>
      </c>
      <c r="B2433">
        <v>2</v>
      </c>
    </row>
    <row r="2434" spans="1:2">
      <c r="A2434" t="s">
        <v>1446</v>
      </c>
      <c r="B2434">
        <v>1</v>
      </c>
    </row>
    <row r="2435" spans="1:2">
      <c r="A2435" t="s">
        <v>1448</v>
      </c>
      <c r="B2435">
        <v>1</v>
      </c>
    </row>
    <row r="2436" spans="1:2">
      <c r="A2436" t="s">
        <v>969</v>
      </c>
      <c r="B2436">
        <v>4</v>
      </c>
    </row>
    <row r="2437" spans="1:2">
      <c r="A2437" t="s">
        <v>397</v>
      </c>
      <c r="B2437">
        <v>2</v>
      </c>
    </row>
    <row r="2438" spans="1:2">
      <c r="A2438" t="s">
        <v>223</v>
      </c>
      <c r="B2438">
        <v>2</v>
      </c>
    </row>
    <row r="2439" spans="1:2">
      <c r="A2439" t="s">
        <v>1466</v>
      </c>
      <c r="B2439">
        <v>1</v>
      </c>
    </row>
    <row r="2440" spans="1:2">
      <c r="A2440" t="s">
        <v>1473</v>
      </c>
      <c r="B2440">
        <v>2</v>
      </c>
    </row>
    <row r="2441" spans="1:2">
      <c r="A2441" t="s">
        <v>1474</v>
      </c>
      <c r="B2441">
        <v>4</v>
      </c>
    </row>
    <row r="2442" spans="1:2">
      <c r="A2442" t="s">
        <v>383</v>
      </c>
      <c r="B2442">
        <v>2</v>
      </c>
    </row>
    <row r="2443" spans="1:2">
      <c r="A2443" t="s">
        <v>1478</v>
      </c>
      <c r="B2443">
        <v>1</v>
      </c>
    </row>
    <row r="2444" spans="1:2">
      <c r="A2444" t="s">
        <v>1500</v>
      </c>
      <c r="B2444">
        <v>1</v>
      </c>
    </row>
    <row r="2445" spans="1:2">
      <c r="A2445" t="s">
        <v>1501</v>
      </c>
      <c r="B2445">
        <v>1</v>
      </c>
    </row>
    <row r="2446" spans="1:2">
      <c r="A2446" t="s">
        <v>1504</v>
      </c>
      <c r="B2446">
        <v>1</v>
      </c>
    </row>
    <row r="2447" spans="1:2">
      <c r="A2447" t="s">
        <v>1512</v>
      </c>
      <c r="B2447">
        <v>1</v>
      </c>
    </row>
    <row r="2448" spans="1:2">
      <c r="A2448" t="s">
        <v>1530</v>
      </c>
      <c r="B2448">
        <v>2</v>
      </c>
    </row>
    <row r="2449" spans="1:2">
      <c r="A2449" t="s">
        <v>1555</v>
      </c>
      <c r="B2449">
        <v>4</v>
      </c>
    </row>
    <row r="2450" spans="1:2">
      <c r="A2450" t="s">
        <v>1559</v>
      </c>
      <c r="B2450">
        <v>1</v>
      </c>
    </row>
    <row r="2451" spans="1:2">
      <c r="A2451" t="s">
        <v>1560</v>
      </c>
      <c r="B2451">
        <v>1</v>
      </c>
    </row>
    <row r="2452" spans="1:2">
      <c r="A2452" t="s">
        <v>1564</v>
      </c>
      <c r="B2452">
        <v>1</v>
      </c>
    </row>
    <row r="2453" spans="1:2">
      <c r="A2453" t="s">
        <v>1566</v>
      </c>
      <c r="B2453">
        <v>1</v>
      </c>
    </row>
    <row r="2454" spans="1:2">
      <c r="A2454" t="s">
        <v>1600</v>
      </c>
      <c r="B2454">
        <v>1</v>
      </c>
    </row>
    <row r="2455" spans="1:2">
      <c r="A2455" t="s">
        <v>1607</v>
      </c>
      <c r="B2455">
        <v>1</v>
      </c>
    </row>
    <row r="2456" spans="1:2">
      <c r="A2456" t="s">
        <v>1616</v>
      </c>
      <c r="B2456">
        <v>1</v>
      </c>
    </row>
    <row r="2457" spans="1:2">
      <c r="A2457" t="s">
        <v>606</v>
      </c>
      <c r="B2457">
        <v>1</v>
      </c>
    </row>
    <row r="2458" spans="1:2">
      <c r="A2458" t="s">
        <v>1626</v>
      </c>
      <c r="B2458">
        <v>2</v>
      </c>
    </row>
    <row r="2459" spans="1:2">
      <c r="A2459" t="s">
        <v>610</v>
      </c>
      <c r="B2459">
        <v>1</v>
      </c>
    </row>
    <row r="2460" spans="1:2">
      <c r="A2460" t="s">
        <v>882</v>
      </c>
      <c r="B2460">
        <v>1</v>
      </c>
    </row>
    <row r="2461" spans="1:2">
      <c r="A2461" t="s">
        <v>1666</v>
      </c>
      <c r="B2461">
        <v>1</v>
      </c>
    </row>
    <row r="2462" spans="1:2">
      <c r="A2462" t="s">
        <v>1669</v>
      </c>
      <c r="B2462">
        <v>1</v>
      </c>
    </row>
    <row r="2463" spans="1:2">
      <c r="A2463" t="s">
        <v>941</v>
      </c>
      <c r="B2463">
        <v>1</v>
      </c>
    </row>
    <row r="2464" spans="1:2">
      <c r="A2464" t="s">
        <v>1713</v>
      </c>
      <c r="B2464">
        <v>1</v>
      </c>
    </row>
    <row r="2465" spans="1:2">
      <c r="A2465" t="s">
        <v>1743</v>
      </c>
      <c r="B2465">
        <v>1</v>
      </c>
    </row>
    <row r="2466" spans="1:2">
      <c r="A2466" t="s">
        <v>717</v>
      </c>
      <c r="B2466">
        <v>1</v>
      </c>
    </row>
    <row r="2467" spans="1:2">
      <c r="A2467" t="s">
        <v>1778</v>
      </c>
      <c r="B2467">
        <v>1</v>
      </c>
    </row>
    <row r="2468" spans="1:2">
      <c r="A2468" s="2" t="s">
        <v>9</v>
      </c>
      <c r="B2468" s="2">
        <v>543</v>
      </c>
    </row>
    <row r="2470" spans="1:2">
      <c r="A2470" s="2" t="s">
        <v>535</v>
      </c>
    </row>
    <row r="2471" spans="1:2">
      <c r="A2471" s="2" t="s">
        <v>0</v>
      </c>
      <c r="B2471" s="2" t="s">
        <v>1</v>
      </c>
    </row>
    <row r="2472" spans="1:2">
      <c r="A2472" t="s">
        <v>1079</v>
      </c>
      <c r="B2472">
        <v>2</v>
      </c>
    </row>
    <row r="2473" spans="1:2">
      <c r="A2473" t="s">
        <v>143</v>
      </c>
      <c r="B2473">
        <v>54</v>
      </c>
    </row>
    <row r="2474" spans="1:2">
      <c r="A2474" t="s">
        <v>68</v>
      </c>
      <c r="B2474">
        <v>19</v>
      </c>
    </row>
    <row r="2475" spans="1:2">
      <c r="A2475" t="s">
        <v>209</v>
      </c>
      <c r="B2475">
        <v>12</v>
      </c>
    </row>
    <row r="2476" spans="1:2">
      <c r="A2476" t="s">
        <v>1119</v>
      </c>
      <c r="B2476">
        <v>2</v>
      </c>
    </row>
    <row r="2477" spans="1:2">
      <c r="A2477" t="s">
        <v>1132</v>
      </c>
      <c r="B2477">
        <v>2</v>
      </c>
    </row>
    <row r="2478" spans="1:2">
      <c r="A2478" t="s">
        <v>1238</v>
      </c>
      <c r="B2478">
        <v>1</v>
      </c>
    </row>
    <row r="2479" spans="1:2">
      <c r="A2479" t="s">
        <v>1320</v>
      </c>
      <c r="B2479">
        <v>1</v>
      </c>
    </row>
    <row r="2480" spans="1:2">
      <c r="A2480" t="s">
        <v>195</v>
      </c>
      <c r="B2480">
        <v>7</v>
      </c>
    </row>
    <row r="2481" spans="1:2">
      <c r="A2481" t="s">
        <v>1366</v>
      </c>
      <c r="B2481">
        <v>4</v>
      </c>
    </row>
    <row r="2482" spans="1:2">
      <c r="A2482" t="s">
        <v>1320</v>
      </c>
      <c r="B2482">
        <v>1</v>
      </c>
    </row>
    <row r="2483" spans="1:2">
      <c r="A2483" t="s">
        <v>195</v>
      </c>
      <c r="B2483">
        <v>7</v>
      </c>
    </row>
    <row r="2484" spans="1:2">
      <c r="A2484" t="s">
        <v>1366</v>
      </c>
      <c r="B2484">
        <v>4</v>
      </c>
    </row>
    <row r="2485" spans="1:2">
      <c r="A2485" t="s">
        <v>1402</v>
      </c>
      <c r="B2485">
        <v>1</v>
      </c>
    </row>
    <row r="2486" spans="1:2">
      <c r="A2486" t="s">
        <v>160</v>
      </c>
      <c r="B2486">
        <v>1</v>
      </c>
    </row>
    <row r="2487" spans="1:2">
      <c r="A2487" t="s">
        <v>723</v>
      </c>
      <c r="B2487">
        <v>1</v>
      </c>
    </row>
    <row r="2488" spans="1:2">
      <c r="A2488" t="s">
        <v>1548</v>
      </c>
      <c r="B2488">
        <v>1</v>
      </c>
    </row>
    <row r="2489" spans="1:2">
      <c r="A2489" t="s">
        <v>1711</v>
      </c>
      <c r="B2489">
        <v>1</v>
      </c>
    </row>
    <row r="2490" spans="1:2">
      <c r="A2490" t="s">
        <v>1737</v>
      </c>
      <c r="B2490">
        <v>1</v>
      </c>
    </row>
    <row r="2491" spans="1:2">
      <c r="A2491" t="s">
        <v>1759</v>
      </c>
      <c r="B2491">
        <v>1</v>
      </c>
    </row>
    <row r="2492" spans="1:2">
      <c r="A2492" s="2" t="s">
        <v>9</v>
      </c>
      <c r="B2492" s="2">
        <v>123</v>
      </c>
    </row>
    <row r="2494" spans="1:2">
      <c r="A2494" s="2" t="s">
        <v>51</v>
      </c>
    </row>
    <row r="2495" spans="1:2">
      <c r="A2495" s="2" t="s">
        <v>0</v>
      </c>
      <c r="B2495" s="2" t="s">
        <v>1</v>
      </c>
    </row>
    <row r="2496" spans="1:2">
      <c r="A2496" t="s">
        <v>766</v>
      </c>
      <c r="B2496">
        <v>9</v>
      </c>
    </row>
    <row r="2497" spans="1:2">
      <c r="A2497" t="s">
        <v>282</v>
      </c>
      <c r="B2497">
        <v>11</v>
      </c>
    </row>
    <row r="2498" spans="1:2">
      <c r="A2498" t="s">
        <v>307</v>
      </c>
      <c r="B2498">
        <v>6</v>
      </c>
    </row>
    <row r="2499" spans="1:2">
      <c r="A2499" t="s">
        <v>861</v>
      </c>
      <c r="B2499">
        <v>6</v>
      </c>
    </row>
    <row r="2500" spans="1:2">
      <c r="A2500" t="s">
        <v>1029</v>
      </c>
      <c r="B2500">
        <v>5</v>
      </c>
    </row>
    <row r="2501" spans="1:2">
      <c r="A2501" t="s">
        <v>672</v>
      </c>
      <c r="B2501">
        <v>17</v>
      </c>
    </row>
    <row r="2502" spans="1:2">
      <c r="A2502" t="s">
        <v>874</v>
      </c>
      <c r="B2502">
        <v>3</v>
      </c>
    </row>
    <row r="2503" spans="1:2">
      <c r="A2503" t="s">
        <v>1136</v>
      </c>
      <c r="B2503">
        <v>1</v>
      </c>
    </row>
    <row r="2504" spans="1:2">
      <c r="A2504" t="s">
        <v>1145</v>
      </c>
      <c r="B2504">
        <v>5</v>
      </c>
    </row>
    <row r="2505" spans="1:2">
      <c r="A2505" t="s">
        <v>579</v>
      </c>
      <c r="B2505">
        <v>1</v>
      </c>
    </row>
    <row r="2506" spans="1:2">
      <c r="A2506" t="s">
        <v>872</v>
      </c>
      <c r="B2506">
        <v>4</v>
      </c>
    </row>
    <row r="2507" spans="1:2">
      <c r="A2507" t="s">
        <v>28</v>
      </c>
      <c r="B2507">
        <v>11</v>
      </c>
    </row>
    <row r="2508" spans="1:2">
      <c r="A2508" t="s">
        <v>823</v>
      </c>
      <c r="B2508">
        <v>1</v>
      </c>
    </row>
    <row r="2509" spans="1:2">
      <c r="A2509" t="s">
        <v>77</v>
      </c>
      <c r="B2509">
        <v>67</v>
      </c>
    </row>
    <row r="2510" spans="1:2">
      <c r="A2510" t="s">
        <v>1195</v>
      </c>
      <c r="B2510">
        <v>2</v>
      </c>
    </row>
    <row r="2511" spans="1:2">
      <c r="A2511" t="s">
        <v>1234</v>
      </c>
      <c r="B2511">
        <v>1</v>
      </c>
    </row>
    <row r="2512" spans="1:2">
      <c r="A2512" t="s">
        <v>295</v>
      </c>
      <c r="B2512">
        <v>1</v>
      </c>
    </row>
    <row r="2513" spans="1:2">
      <c r="A2513" t="s">
        <v>425</v>
      </c>
      <c r="B2513">
        <v>9</v>
      </c>
    </row>
    <row r="2514" spans="1:2">
      <c r="A2514" t="s">
        <v>1289</v>
      </c>
      <c r="B2514">
        <v>1</v>
      </c>
    </row>
    <row r="2515" spans="1:2">
      <c r="A2515" t="s">
        <v>1292</v>
      </c>
      <c r="B2515">
        <v>1</v>
      </c>
    </row>
    <row r="2516" spans="1:2">
      <c r="A2516" t="s">
        <v>739</v>
      </c>
      <c r="B2516">
        <v>7</v>
      </c>
    </row>
    <row r="2517" spans="1:2">
      <c r="A2517" t="s">
        <v>23</v>
      </c>
      <c r="B2517">
        <v>3</v>
      </c>
    </row>
    <row r="2518" spans="1:2">
      <c r="A2518" t="s">
        <v>293</v>
      </c>
      <c r="B2518">
        <v>3</v>
      </c>
    </row>
    <row r="2519" spans="1:2">
      <c r="A2519" t="s">
        <v>1322</v>
      </c>
      <c r="B2519">
        <v>2</v>
      </c>
    </row>
    <row r="2520" spans="1:2">
      <c r="A2520" t="s">
        <v>568</v>
      </c>
      <c r="B2520">
        <v>2</v>
      </c>
    </row>
    <row r="2521" spans="1:2">
      <c r="A2521" t="s">
        <v>1343</v>
      </c>
      <c r="B2521">
        <v>2</v>
      </c>
    </row>
    <row r="2522" spans="1:2">
      <c r="A2522" t="s">
        <v>1348</v>
      </c>
      <c r="B2522">
        <v>1</v>
      </c>
    </row>
    <row r="2523" spans="1:2">
      <c r="A2523" t="s">
        <v>1349</v>
      </c>
      <c r="B2523">
        <v>1</v>
      </c>
    </row>
    <row r="2524" spans="1:2">
      <c r="A2524" t="s">
        <v>1358</v>
      </c>
      <c r="B2524">
        <v>1</v>
      </c>
    </row>
    <row r="2525" spans="1:2">
      <c r="A2525" t="s">
        <v>1292</v>
      </c>
      <c r="B2525">
        <v>1</v>
      </c>
    </row>
    <row r="2526" spans="1:2">
      <c r="A2526" t="s">
        <v>739</v>
      </c>
      <c r="B2526">
        <v>7</v>
      </c>
    </row>
    <row r="2527" spans="1:2">
      <c r="A2527" t="s">
        <v>23</v>
      </c>
      <c r="B2527">
        <v>3</v>
      </c>
    </row>
    <row r="2528" spans="1:2">
      <c r="A2528" t="s">
        <v>293</v>
      </c>
      <c r="B2528">
        <v>3</v>
      </c>
    </row>
    <row r="2529" spans="1:2">
      <c r="A2529" t="s">
        <v>1322</v>
      </c>
      <c r="B2529">
        <v>2</v>
      </c>
    </row>
    <row r="2530" spans="1:2">
      <c r="A2530" t="s">
        <v>568</v>
      </c>
      <c r="B2530">
        <v>2</v>
      </c>
    </row>
    <row r="2531" spans="1:2">
      <c r="A2531" t="s">
        <v>1343</v>
      </c>
      <c r="B2531">
        <v>2</v>
      </c>
    </row>
    <row r="2532" spans="1:2">
      <c r="A2532" t="s">
        <v>1348</v>
      </c>
      <c r="B2532">
        <v>1</v>
      </c>
    </row>
    <row r="2533" spans="1:2">
      <c r="A2533" t="s">
        <v>1349</v>
      </c>
      <c r="B2533">
        <v>1</v>
      </c>
    </row>
    <row r="2534" spans="1:2">
      <c r="A2534" t="s">
        <v>1358</v>
      </c>
      <c r="B2534">
        <v>1</v>
      </c>
    </row>
    <row r="2535" spans="1:2">
      <c r="A2535" t="s">
        <v>1439</v>
      </c>
      <c r="B2535">
        <v>1</v>
      </c>
    </row>
    <row r="2536" spans="1:2">
      <c r="A2536" t="s">
        <v>1450</v>
      </c>
      <c r="B2536">
        <v>2</v>
      </c>
    </row>
    <row r="2537" spans="1:2">
      <c r="A2537" t="s">
        <v>875</v>
      </c>
      <c r="B2537">
        <v>1</v>
      </c>
    </row>
    <row r="2538" spans="1:2">
      <c r="A2538" t="s">
        <v>967</v>
      </c>
      <c r="B2538">
        <v>1</v>
      </c>
    </row>
    <row r="2539" spans="1:2">
      <c r="A2539" t="s">
        <v>1480</v>
      </c>
      <c r="B2539">
        <v>1</v>
      </c>
    </row>
    <row r="2540" spans="1:2">
      <c r="A2540" t="s">
        <v>1494</v>
      </c>
      <c r="B2540">
        <v>2</v>
      </c>
    </row>
    <row r="2541" spans="1:2">
      <c r="A2541" t="s">
        <v>1506</v>
      </c>
      <c r="B2541">
        <v>2</v>
      </c>
    </row>
    <row r="2542" spans="1:2">
      <c r="A2542" t="s">
        <v>1518</v>
      </c>
      <c r="B2542">
        <v>1</v>
      </c>
    </row>
    <row r="2543" spans="1:2">
      <c r="A2543" t="s">
        <v>1755</v>
      </c>
      <c r="B2543">
        <v>1</v>
      </c>
    </row>
    <row r="2544" spans="1:2">
      <c r="A2544" t="s">
        <v>1779</v>
      </c>
      <c r="B2544">
        <v>1</v>
      </c>
    </row>
    <row r="2545" spans="1:2">
      <c r="A2545" t="s">
        <v>1780</v>
      </c>
      <c r="B2545">
        <v>1</v>
      </c>
    </row>
    <row r="2546" spans="1:2">
      <c r="A2546" t="s">
        <v>1781</v>
      </c>
      <c r="B2546">
        <v>1</v>
      </c>
    </row>
    <row r="2547" spans="1:2">
      <c r="A2547" t="s">
        <v>1783</v>
      </c>
      <c r="B2547">
        <v>1</v>
      </c>
    </row>
    <row r="2548" spans="1:2">
      <c r="A2548" t="s">
        <v>1790</v>
      </c>
      <c r="B2548">
        <v>2</v>
      </c>
    </row>
    <row r="2549" spans="1:2">
      <c r="A2549" s="2" t="s">
        <v>9</v>
      </c>
      <c r="B2549" s="2">
        <v>225</v>
      </c>
    </row>
    <row r="2551" spans="1:2">
      <c r="A2551" s="2" t="s">
        <v>49</v>
      </c>
    </row>
    <row r="2552" spans="1:2">
      <c r="A2552" s="2" t="s">
        <v>0</v>
      </c>
      <c r="B2552" s="2" t="s">
        <v>1</v>
      </c>
    </row>
    <row r="2553" spans="1:2">
      <c r="A2553" t="s">
        <v>1083</v>
      </c>
      <c r="B2553">
        <v>1</v>
      </c>
    </row>
    <row r="2554" spans="1:2">
      <c r="A2554" t="s">
        <v>154</v>
      </c>
      <c r="B2554">
        <v>51</v>
      </c>
    </row>
    <row r="2555" spans="1:2">
      <c r="A2555" t="s">
        <v>1094</v>
      </c>
      <c r="B2555">
        <v>2</v>
      </c>
    </row>
    <row r="2556" spans="1:2">
      <c r="A2556" t="s">
        <v>1101</v>
      </c>
      <c r="B2556">
        <v>2</v>
      </c>
    </row>
    <row r="2557" spans="1:2">
      <c r="A2557" t="s">
        <v>1111</v>
      </c>
      <c r="B2557">
        <v>10</v>
      </c>
    </row>
    <row r="2558" spans="1:2">
      <c r="A2558" t="s">
        <v>569</v>
      </c>
      <c r="B2558">
        <v>37</v>
      </c>
    </row>
    <row r="2559" spans="1:2">
      <c r="A2559" t="s">
        <v>759</v>
      </c>
      <c r="B2559">
        <v>18</v>
      </c>
    </row>
    <row r="2560" spans="1:2">
      <c r="A2560" t="s">
        <v>1156</v>
      </c>
      <c r="B2560">
        <v>1</v>
      </c>
    </row>
    <row r="2561" spans="1:2">
      <c r="A2561" t="s">
        <v>148</v>
      </c>
      <c r="B2561">
        <v>17</v>
      </c>
    </row>
    <row r="2562" spans="1:2">
      <c r="A2562" t="s">
        <v>1175</v>
      </c>
      <c r="B2562">
        <v>2</v>
      </c>
    </row>
    <row r="2563" spans="1:2">
      <c r="A2563" t="s">
        <v>140</v>
      </c>
      <c r="B2563">
        <v>1</v>
      </c>
    </row>
    <row r="2564" spans="1:2">
      <c r="A2564" t="s">
        <v>1243</v>
      </c>
      <c r="B2564">
        <v>2</v>
      </c>
    </row>
    <row r="2565" spans="1:2">
      <c r="A2565" t="s">
        <v>1282</v>
      </c>
      <c r="B2565">
        <v>1</v>
      </c>
    </row>
    <row r="2566" spans="1:2">
      <c r="A2566" t="s">
        <v>1302</v>
      </c>
      <c r="B2566">
        <v>1</v>
      </c>
    </row>
    <row r="2567" spans="1:2">
      <c r="A2567" t="s">
        <v>1323</v>
      </c>
      <c r="B2567">
        <v>2</v>
      </c>
    </row>
    <row r="2568" spans="1:2">
      <c r="A2568" t="s">
        <v>699</v>
      </c>
      <c r="B2568">
        <v>11</v>
      </c>
    </row>
    <row r="2569" spans="1:2">
      <c r="A2569" t="s">
        <v>1350</v>
      </c>
      <c r="B2569">
        <v>1</v>
      </c>
    </row>
    <row r="2570" spans="1:2">
      <c r="A2570" t="s">
        <v>1364</v>
      </c>
      <c r="B2570">
        <v>2</v>
      </c>
    </row>
    <row r="2571" spans="1:2">
      <c r="A2571" t="s">
        <v>1302</v>
      </c>
      <c r="B2571">
        <v>1</v>
      </c>
    </row>
    <row r="2572" spans="1:2">
      <c r="A2572" t="s">
        <v>1323</v>
      </c>
      <c r="B2572">
        <v>2</v>
      </c>
    </row>
    <row r="2573" spans="1:2">
      <c r="A2573" t="s">
        <v>699</v>
      </c>
      <c r="B2573">
        <v>11</v>
      </c>
    </row>
    <row r="2574" spans="1:2">
      <c r="A2574" t="s">
        <v>1350</v>
      </c>
      <c r="B2574">
        <v>1</v>
      </c>
    </row>
    <row r="2575" spans="1:2">
      <c r="A2575" t="s">
        <v>1364</v>
      </c>
      <c r="B2575">
        <v>2</v>
      </c>
    </row>
    <row r="2576" spans="1:2">
      <c r="A2576" t="s">
        <v>1375</v>
      </c>
      <c r="B2576">
        <v>1</v>
      </c>
    </row>
    <row r="2577" spans="1:2">
      <c r="A2577" t="s">
        <v>1378</v>
      </c>
      <c r="B2577">
        <v>8</v>
      </c>
    </row>
    <row r="2578" spans="1:2">
      <c r="A2578" t="s">
        <v>1458</v>
      </c>
      <c r="B2578">
        <v>1</v>
      </c>
    </row>
    <row r="2579" spans="1:2">
      <c r="A2579" t="s">
        <v>1471</v>
      </c>
      <c r="B2579">
        <v>1</v>
      </c>
    </row>
    <row r="2580" spans="1:2">
      <c r="A2580" t="s">
        <v>957</v>
      </c>
      <c r="B2580">
        <v>1</v>
      </c>
    </row>
    <row r="2581" spans="1:2">
      <c r="A2581" t="s">
        <v>1487</v>
      </c>
      <c r="B2581">
        <v>1</v>
      </c>
    </row>
    <row r="2582" spans="1:2">
      <c r="A2582" t="s">
        <v>754</v>
      </c>
      <c r="B2582">
        <v>2</v>
      </c>
    </row>
    <row r="2583" spans="1:2">
      <c r="A2583" t="s">
        <v>258</v>
      </c>
      <c r="B2583">
        <v>1</v>
      </c>
    </row>
    <row r="2584" spans="1:2">
      <c r="A2584" t="s">
        <v>947</v>
      </c>
      <c r="B2584">
        <v>2</v>
      </c>
    </row>
    <row r="2585" spans="1:2">
      <c r="A2585" t="s">
        <v>1497</v>
      </c>
      <c r="B2585">
        <v>1</v>
      </c>
    </row>
    <row r="2586" spans="1:2">
      <c r="A2586" t="s">
        <v>1505</v>
      </c>
      <c r="B2586">
        <v>1</v>
      </c>
    </row>
    <row r="2587" spans="1:2">
      <c r="A2587" t="s">
        <v>1508</v>
      </c>
      <c r="B2587">
        <v>1</v>
      </c>
    </row>
    <row r="2588" spans="1:2">
      <c r="A2588" t="s">
        <v>29</v>
      </c>
      <c r="B2588">
        <v>1</v>
      </c>
    </row>
    <row r="2589" spans="1:2">
      <c r="A2589" t="s">
        <v>1511</v>
      </c>
      <c r="B2589">
        <v>1</v>
      </c>
    </row>
    <row r="2590" spans="1:2">
      <c r="A2590" t="s">
        <v>1517</v>
      </c>
      <c r="B2590">
        <v>3</v>
      </c>
    </row>
    <row r="2591" spans="1:2">
      <c r="A2591" t="s">
        <v>893</v>
      </c>
      <c r="B2591">
        <v>2</v>
      </c>
    </row>
    <row r="2592" spans="1:2">
      <c r="A2592" t="s">
        <v>1610</v>
      </c>
      <c r="B2592">
        <v>1</v>
      </c>
    </row>
    <row r="2593" spans="1:2">
      <c r="A2593" t="s">
        <v>333</v>
      </c>
      <c r="B2593">
        <v>1</v>
      </c>
    </row>
    <row r="2594" spans="1:2">
      <c r="A2594" t="s">
        <v>404</v>
      </c>
      <c r="B2594">
        <v>1</v>
      </c>
    </row>
    <row r="2595" spans="1:2">
      <c r="A2595" t="s">
        <v>33</v>
      </c>
      <c r="B2595">
        <v>1</v>
      </c>
    </row>
    <row r="2596" spans="1:2">
      <c r="A2596" t="s">
        <v>1784</v>
      </c>
      <c r="B2596">
        <v>1</v>
      </c>
    </row>
    <row r="2597" spans="1:2">
      <c r="A2597" s="2" t="s">
        <v>9</v>
      </c>
      <c r="B2597" s="2">
        <v>212</v>
      </c>
    </row>
    <row r="2599" spans="1:2">
      <c r="A2599" s="2" t="s">
        <v>529</v>
      </c>
    </row>
    <row r="2600" spans="1:2">
      <c r="A2600" s="2" t="s">
        <v>0</v>
      </c>
      <c r="B2600" s="2" t="s">
        <v>1</v>
      </c>
    </row>
    <row r="2601" spans="1:2">
      <c r="A2601" t="s">
        <v>1084</v>
      </c>
      <c r="B2601">
        <v>1</v>
      </c>
    </row>
    <row r="2602" spans="1:2">
      <c r="A2602" t="s">
        <v>215</v>
      </c>
      <c r="B2602">
        <v>16</v>
      </c>
    </row>
    <row r="2603" spans="1:2">
      <c r="A2603" t="s">
        <v>1141</v>
      </c>
      <c r="B2603">
        <v>5</v>
      </c>
    </row>
    <row r="2604" spans="1:2">
      <c r="A2604" t="s">
        <v>914</v>
      </c>
      <c r="B2604">
        <v>1</v>
      </c>
    </row>
    <row r="2605" spans="1:2">
      <c r="A2605" t="s">
        <v>1202</v>
      </c>
      <c r="B2605">
        <v>2</v>
      </c>
    </row>
    <row r="2606" spans="1:2">
      <c r="A2606" t="s">
        <v>804</v>
      </c>
      <c r="B2606">
        <v>3</v>
      </c>
    </row>
    <row r="2607" spans="1:2">
      <c r="A2607" t="s">
        <v>1209</v>
      </c>
      <c r="B2607">
        <v>1</v>
      </c>
    </row>
    <row r="2608" spans="1:2">
      <c r="A2608" t="s">
        <v>422</v>
      </c>
      <c r="B2608">
        <v>17</v>
      </c>
    </row>
    <row r="2609" spans="1:2">
      <c r="A2609" t="s">
        <v>798</v>
      </c>
      <c r="B2609">
        <v>7</v>
      </c>
    </row>
    <row r="2610" spans="1:2">
      <c r="A2610" t="s">
        <v>1256</v>
      </c>
      <c r="B2610">
        <v>2</v>
      </c>
    </row>
    <row r="2611" spans="1:2">
      <c r="A2611" t="s">
        <v>1257</v>
      </c>
      <c r="B2611">
        <v>1</v>
      </c>
    </row>
    <row r="2612" spans="1:2">
      <c r="A2612" t="s">
        <v>780</v>
      </c>
      <c r="B2612">
        <v>4</v>
      </c>
    </row>
    <row r="2613" spans="1:2">
      <c r="A2613" t="s">
        <v>1305</v>
      </c>
      <c r="B2613">
        <v>2</v>
      </c>
    </row>
    <row r="2614" spans="1:2">
      <c r="A2614" t="s">
        <v>1307</v>
      </c>
      <c r="B2614">
        <v>2</v>
      </c>
    </row>
    <row r="2615" spans="1:2">
      <c r="A2615" t="s">
        <v>180</v>
      </c>
      <c r="B2615">
        <v>9</v>
      </c>
    </row>
    <row r="2616" spans="1:2">
      <c r="A2616" t="s">
        <v>1327</v>
      </c>
      <c r="B2616">
        <v>1</v>
      </c>
    </row>
    <row r="2617" spans="1:2">
      <c r="A2617" t="s">
        <v>1341</v>
      </c>
      <c r="B2617">
        <v>5</v>
      </c>
    </row>
    <row r="2618" spans="1:2">
      <c r="A2618" t="s">
        <v>1305</v>
      </c>
      <c r="B2618">
        <v>2</v>
      </c>
    </row>
    <row r="2619" spans="1:2">
      <c r="A2619" t="s">
        <v>1307</v>
      </c>
      <c r="B2619">
        <v>2</v>
      </c>
    </row>
    <row r="2620" spans="1:2">
      <c r="A2620" t="s">
        <v>180</v>
      </c>
      <c r="B2620">
        <v>9</v>
      </c>
    </row>
    <row r="2621" spans="1:2">
      <c r="A2621" t="s">
        <v>1327</v>
      </c>
      <c r="B2621">
        <v>1</v>
      </c>
    </row>
    <row r="2622" spans="1:2">
      <c r="A2622" t="s">
        <v>1341</v>
      </c>
      <c r="B2622">
        <v>5</v>
      </c>
    </row>
    <row r="2623" spans="1:2">
      <c r="A2623" t="s">
        <v>1419</v>
      </c>
      <c r="B2623">
        <v>1</v>
      </c>
    </row>
    <row r="2624" spans="1:2">
      <c r="A2624" t="s">
        <v>1460</v>
      </c>
      <c r="B2624">
        <v>2</v>
      </c>
    </row>
    <row r="2625" spans="1:2">
      <c r="A2625" t="s">
        <v>1464</v>
      </c>
      <c r="B2625">
        <v>1</v>
      </c>
    </row>
    <row r="2626" spans="1:2">
      <c r="A2626" t="s">
        <v>779</v>
      </c>
      <c r="B2626">
        <v>4</v>
      </c>
    </row>
    <row r="2627" spans="1:2">
      <c r="A2627" t="s">
        <v>1485</v>
      </c>
      <c r="B2627">
        <v>1</v>
      </c>
    </row>
    <row r="2628" spans="1:2">
      <c r="A2628" t="s">
        <v>1486</v>
      </c>
      <c r="B2628">
        <v>1</v>
      </c>
    </row>
    <row r="2629" spans="1:2">
      <c r="A2629" t="s">
        <v>1490</v>
      </c>
      <c r="B2629">
        <v>1</v>
      </c>
    </row>
    <row r="2630" spans="1:2">
      <c r="A2630" t="s">
        <v>1493</v>
      </c>
      <c r="B2630">
        <v>1</v>
      </c>
    </row>
    <row r="2631" spans="1:2">
      <c r="A2631" t="s">
        <v>1495</v>
      </c>
      <c r="B2631">
        <v>1</v>
      </c>
    </row>
    <row r="2632" spans="1:2">
      <c r="A2632" t="s">
        <v>1521</v>
      </c>
      <c r="B2632">
        <v>1</v>
      </c>
    </row>
    <row r="2633" spans="1:2">
      <c r="A2633" t="s">
        <v>313</v>
      </c>
      <c r="B2633">
        <v>2</v>
      </c>
    </row>
    <row r="2634" spans="1:2">
      <c r="A2634" t="s">
        <v>1552</v>
      </c>
      <c r="B2634">
        <v>3</v>
      </c>
    </row>
    <row r="2635" spans="1:2">
      <c r="A2635" t="s">
        <v>1553</v>
      </c>
      <c r="B2635">
        <v>1</v>
      </c>
    </row>
    <row r="2636" spans="1:2">
      <c r="A2636" t="s">
        <v>1567</v>
      </c>
      <c r="B2636">
        <v>8</v>
      </c>
    </row>
    <row r="2637" spans="1:2">
      <c r="A2637" t="s">
        <v>1602</v>
      </c>
      <c r="B2637">
        <v>1</v>
      </c>
    </row>
    <row r="2638" spans="1:2">
      <c r="A2638" t="s">
        <v>1604</v>
      </c>
      <c r="B2638">
        <v>2</v>
      </c>
    </row>
    <row r="2639" spans="1:2">
      <c r="A2639" t="s">
        <v>1605</v>
      </c>
      <c r="B2639">
        <v>1</v>
      </c>
    </row>
    <row r="2640" spans="1:2">
      <c r="A2640" t="s">
        <v>1606</v>
      </c>
      <c r="B2640">
        <v>1</v>
      </c>
    </row>
    <row r="2641" spans="1:2">
      <c r="A2641" t="s">
        <v>1609</v>
      </c>
      <c r="B2641">
        <v>1</v>
      </c>
    </row>
    <row r="2642" spans="1:2">
      <c r="A2642" t="s">
        <v>1612</v>
      </c>
      <c r="B2642">
        <v>1</v>
      </c>
    </row>
    <row r="2643" spans="1:2">
      <c r="A2643" t="s">
        <v>1614</v>
      </c>
      <c r="B2643">
        <v>1</v>
      </c>
    </row>
    <row r="2644" spans="1:2">
      <c r="A2644" t="s">
        <v>471</v>
      </c>
      <c r="B2644">
        <v>4</v>
      </c>
    </row>
    <row r="2645" spans="1:2">
      <c r="A2645" t="s">
        <v>1707</v>
      </c>
      <c r="B2645">
        <v>1</v>
      </c>
    </row>
    <row r="2646" spans="1:2">
      <c r="A2646" t="s">
        <v>1709</v>
      </c>
      <c r="B2646">
        <v>1</v>
      </c>
    </row>
    <row r="2647" spans="1:2">
      <c r="A2647" t="s">
        <v>1714</v>
      </c>
      <c r="B2647">
        <v>1</v>
      </c>
    </row>
    <row r="2648" spans="1:2">
      <c r="A2648" t="s">
        <v>1716</v>
      </c>
      <c r="B2648">
        <v>1</v>
      </c>
    </row>
    <row r="2649" spans="1:2">
      <c r="A2649" t="s">
        <v>1717</v>
      </c>
      <c r="B2649">
        <v>1</v>
      </c>
    </row>
    <row r="2650" spans="1:2">
      <c r="A2650" t="s">
        <v>1749</v>
      </c>
      <c r="B2650">
        <v>1</v>
      </c>
    </row>
    <row r="2651" spans="1:2">
      <c r="A2651" t="s">
        <v>1785</v>
      </c>
      <c r="B2651">
        <v>1</v>
      </c>
    </row>
    <row r="2652" spans="1:2">
      <c r="A2652" s="2" t="s">
        <v>9</v>
      </c>
      <c r="B2652" s="2">
        <v>145</v>
      </c>
    </row>
    <row r="2654" spans="1:2">
      <c r="A2654" s="2" t="s">
        <v>537</v>
      </c>
    </row>
    <row r="2655" spans="1:2">
      <c r="A2655" s="2" t="s">
        <v>0</v>
      </c>
      <c r="B2655" s="2" t="s">
        <v>1</v>
      </c>
    </row>
    <row r="2656" spans="1:2">
      <c r="A2656" t="s">
        <v>661</v>
      </c>
      <c r="B2656">
        <v>19</v>
      </c>
    </row>
    <row r="2657" spans="1:2">
      <c r="A2657" t="s">
        <v>494</v>
      </c>
      <c r="B2657">
        <v>4</v>
      </c>
    </row>
    <row r="2658" spans="1:2">
      <c r="A2658" t="s">
        <v>189</v>
      </c>
      <c r="B2658">
        <v>4</v>
      </c>
    </row>
    <row r="2659" spans="1:2">
      <c r="A2659" t="s">
        <v>972</v>
      </c>
      <c r="B2659">
        <v>3</v>
      </c>
    </row>
    <row r="2660" spans="1:2">
      <c r="A2660" t="s">
        <v>1306</v>
      </c>
      <c r="B2660">
        <v>1</v>
      </c>
    </row>
    <row r="2661" spans="1:2">
      <c r="A2661" t="s">
        <v>1324</v>
      </c>
      <c r="B2661">
        <v>2</v>
      </c>
    </row>
    <row r="2662" spans="1:2">
      <c r="A2662" t="s">
        <v>1339</v>
      </c>
      <c r="B2662">
        <v>1</v>
      </c>
    </row>
    <row r="2663" spans="1:2">
      <c r="A2663" t="s">
        <v>1357</v>
      </c>
      <c r="B2663">
        <v>1</v>
      </c>
    </row>
    <row r="2664" spans="1:2">
      <c r="A2664" t="s">
        <v>1306</v>
      </c>
      <c r="B2664">
        <v>1</v>
      </c>
    </row>
    <row r="2665" spans="1:2">
      <c r="A2665" t="s">
        <v>1324</v>
      </c>
      <c r="B2665">
        <v>2</v>
      </c>
    </row>
    <row r="2666" spans="1:2">
      <c r="A2666" t="s">
        <v>1339</v>
      </c>
      <c r="B2666">
        <v>1</v>
      </c>
    </row>
    <row r="2667" spans="1:2">
      <c r="A2667" t="s">
        <v>1357</v>
      </c>
      <c r="B2667">
        <v>1</v>
      </c>
    </row>
    <row r="2668" spans="1:2">
      <c r="A2668" t="s">
        <v>173</v>
      </c>
      <c r="B2668">
        <v>2</v>
      </c>
    </row>
    <row r="2669" spans="1:2">
      <c r="A2669" t="s">
        <v>838</v>
      </c>
      <c r="B2669">
        <v>2</v>
      </c>
    </row>
    <row r="2670" spans="1:2">
      <c r="A2670" t="s">
        <v>639</v>
      </c>
      <c r="B2670">
        <v>3</v>
      </c>
    </row>
    <row r="2671" spans="1:2">
      <c r="A2671" t="s">
        <v>764</v>
      </c>
      <c r="B2671">
        <v>1</v>
      </c>
    </row>
    <row r="2672" spans="1:2">
      <c r="A2672" t="s">
        <v>334</v>
      </c>
      <c r="B2672">
        <v>3</v>
      </c>
    </row>
    <row r="2673" spans="1:2">
      <c r="A2673" t="s">
        <v>1527</v>
      </c>
      <c r="B2673">
        <v>2</v>
      </c>
    </row>
    <row r="2674" spans="1:2">
      <c r="A2674" t="s">
        <v>1539</v>
      </c>
      <c r="B2674">
        <v>1</v>
      </c>
    </row>
    <row r="2675" spans="1:2">
      <c r="A2675" t="s">
        <v>1686</v>
      </c>
      <c r="B2675">
        <v>1</v>
      </c>
    </row>
    <row r="2676" spans="1:2">
      <c r="A2676" t="s">
        <v>1688</v>
      </c>
      <c r="B2676">
        <v>1</v>
      </c>
    </row>
    <row r="2677" spans="1:2">
      <c r="A2677" t="s">
        <v>1691</v>
      </c>
      <c r="B2677">
        <v>1</v>
      </c>
    </row>
    <row r="2678" spans="1:2">
      <c r="A2678" t="s">
        <v>1753</v>
      </c>
      <c r="B2678">
        <v>1</v>
      </c>
    </row>
    <row r="2679" spans="1:2">
      <c r="A2679" s="2" t="s">
        <v>9</v>
      </c>
      <c r="B2679" s="2">
        <v>58</v>
      </c>
    </row>
    <row r="2681" spans="1:2">
      <c r="A2681" s="2" t="s">
        <v>546</v>
      </c>
    </row>
    <row r="2682" spans="1:2">
      <c r="A2682" s="2" t="s">
        <v>0</v>
      </c>
      <c r="B2682" s="2" t="s">
        <v>1</v>
      </c>
    </row>
    <row r="2683" spans="1:2">
      <c r="A2683" t="s">
        <v>409</v>
      </c>
      <c r="B2683">
        <v>5</v>
      </c>
    </row>
    <row r="2684" spans="1:2">
      <c r="A2684" t="s">
        <v>662</v>
      </c>
      <c r="B2684">
        <v>10</v>
      </c>
    </row>
    <row r="2685" spans="1:2">
      <c r="A2685" t="s">
        <v>210</v>
      </c>
      <c r="B2685">
        <v>11</v>
      </c>
    </row>
    <row r="2686" spans="1:2">
      <c r="A2686" t="s">
        <v>932</v>
      </c>
      <c r="B2686">
        <v>2</v>
      </c>
    </row>
    <row r="2687" spans="1:2">
      <c r="A2687" t="s">
        <v>1321</v>
      </c>
      <c r="B2687">
        <v>1</v>
      </c>
    </row>
    <row r="2688" spans="1:2">
      <c r="A2688" t="s">
        <v>932</v>
      </c>
      <c r="B2688">
        <v>2</v>
      </c>
    </row>
    <row r="2689" spans="1:2">
      <c r="A2689" t="s">
        <v>1321</v>
      </c>
      <c r="B2689">
        <v>1</v>
      </c>
    </row>
    <row r="2690" spans="1:2">
      <c r="A2690" t="s">
        <v>493</v>
      </c>
      <c r="B2690">
        <v>4</v>
      </c>
    </row>
    <row r="2691" spans="1:2">
      <c r="A2691" t="s">
        <v>1443</v>
      </c>
      <c r="B2691">
        <v>1</v>
      </c>
    </row>
    <row r="2692" spans="1:2">
      <c r="A2692" t="s">
        <v>1491</v>
      </c>
      <c r="B2692">
        <v>1</v>
      </c>
    </row>
    <row r="2693" spans="1:2">
      <c r="A2693" t="s">
        <v>1492</v>
      </c>
      <c r="B2693">
        <v>1</v>
      </c>
    </row>
    <row r="2694" spans="1:2">
      <c r="A2694" t="s">
        <v>1734</v>
      </c>
      <c r="B2694">
        <v>1</v>
      </c>
    </row>
    <row r="2695" spans="1:2">
      <c r="A2695" s="2" t="s">
        <v>9</v>
      </c>
      <c r="B2695" s="2">
        <v>40</v>
      </c>
    </row>
    <row r="2697" spans="1:2">
      <c r="A2697" s="2" t="s">
        <v>53</v>
      </c>
    </row>
    <row r="2698" spans="1:2">
      <c r="A2698" s="2" t="s">
        <v>0</v>
      </c>
      <c r="B2698" s="2" t="s">
        <v>1</v>
      </c>
    </row>
    <row r="2699" spans="1:2">
      <c r="A2699" t="s">
        <v>253</v>
      </c>
      <c r="B2699">
        <v>9</v>
      </c>
    </row>
    <row r="2700" spans="1:2">
      <c r="A2700" t="s">
        <v>1092</v>
      </c>
      <c r="B2700">
        <v>13</v>
      </c>
    </row>
    <row r="2701" spans="1:2">
      <c r="A2701" t="s">
        <v>1095</v>
      </c>
      <c r="B2701">
        <v>1</v>
      </c>
    </row>
    <row r="2702" spans="1:2">
      <c r="A2702" t="s">
        <v>1099</v>
      </c>
      <c r="B2702">
        <v>16</v>
      </c>
    </row>
    <row r="2703" spans="1:2">
      <c r="A2703" t="s">
        <v>628</v>
      </c>
      <c r="B2703">
        <v>8</v>
      </c>
    </row>
    <row r="2704" spans="1:2">
      <c r="A2704" t="s">
        <v>1235</v>
      </c>
      <c r="B2704">
        <v>3</v>
      </c>
    </row>
    <row r="2705" spans="1:2">
      <c r="A2705" t="s">
        <v>698</v>
      </c>
      <c r="B2705">
        <v>11</v>
      </c>
    </row>
    <row r="2706" spans="1:2">
      <c r="A2706" t="s">
        <v>997</v>
      </c>
      <c r="B2706">
        <v>1</v>
      </c>
    </row>
    <row r="2707" spans="1:2">
      <c r="A2707" t="s">
        <v>1241</v>
      </c>
      <c r="B2707">
        <v>4</v>
      </c>
    </row>
    <row r="2708" spans="1:2">
      <c r="A2708" t="s">
        <v>1245</v>
      </c>
      <c r="B2708">
        <v>3</v>
      </c>
    </row>
    <row r="2709" spans="1:2">
      <c r="A2709" t="s">
        <v>931</v>
      </c>
      <c r="B2709">
        <v>9</v>
      </c>
    </row>
    <row r="2710" spans="1:2">
      <c r="A2710" t="s">
        <v>1304</v>
      </c>
      <c r="B2710">
        <v>1</v>
      </c>
    </row>
    <row r="2711" spans="1:2">
      <c r="A2711" t="s">
        <v>504</v>
      </c>
      <c r="B2711">
        <v>3</v>
      </c>
    </row>
    <row r="2712" spans="1:2">
      <c r="A2712" t="s">
        <v>664</v>
      </c>
      <c r="B2712">
        <v>2</v>
      </c>
    </row>
    <row r="2713" spans="1:2">
      <c r="A2713" t="s">
        <v>1304</v>
      </c>
      <c r="B2713">
        <v>1</v>
      </c>
    </row>
    <row r="2714" spans="1:2">
      <c r="A2714" t="s">
        <v>504</v>
      </c>
      <c r="B2714">
        <v>3</v>
      </c>
    </row>
    <row r="2715" spans="1:2">
      <c r="A2715" t="s">
        <v>664</v>
      </c>
      <c r="B2715">
        <v>2</v>
      </c>
    </row>
    <row r="2716" spans="1:2">
      <c r="A2716" t="s">
        <v>714</v>
      </c>
      <c r="B2716">
        <v>2</v>
      </c>
    </row>
    <row r="2717" spans="1:2">
      <c r="A2717" t="s">
        <v>1429</v>
      </c>
      <c r="B2717">
        <v>2</v>
      </c>
    </row>
    <row r="2718" spans="1:2">
      <c r="A2718" t="s">
        <v>1435</v>
      </c>
      <c r="B2718">
        <v>2</v>
      </c>
    </row>
    <row r="2719" spans="1:2">
      <c r="A2719" t="s">
        <v>36</v>
      </c>
      <c r="B2719">
        <v>3</v>
      </c>
    </row>
    <row r="2720" spans="1:2">
      <c r="A2720" t="s">
        <v>867</v>
      </c>
      <c r="B2720">
        <v>1</v>
      </c>
    </row>
    <row r="2721" spans="1:2">
      <c r="A2721" t="s">
        <v>935</v>
      </c>
      <c r="B2721">
        <v>2</v>
      </c>
    </row>
    <row r="2722" spans="1:2">
      <c r="A2722" t="s">
        <v>1752</v>
      </c>
      <c r="B2722">
        <v>1</v>
      </c>
    </row>
    <row r="2723" spans="1:2">
      <c r="A2723" t="s">
        <v>1773</v>
      </c>
      <c r="B2723">
        <v>1</v>
      </c>
    </row>
    <row r="2724" spans="1:2">
      <c r="A2724" s="2" t="s">
        <v>9</v>
      </c>
      <c r="B2724" s="2">
        <v>104</v>
      </c>
    </row>
    <row r="2726" spans="1:2">
      <c r="A2726" s="2" t="s">
        <v>533</v>
      </c>
    </row>
    <row r="2727" spans="1:2">
      <c r="A2727" s="2" t="s">
        <v>0</v>
      </c>
      <c r="B2727" s="2" t="s">
        <v>1</v>
      </c>
    </row>
    <row r="2728" spans="1:2">
      <c r="A2728" t="s">
        <v>179</v>
      </c>
      <c r="B2728">
        <v>19</v>
      </c>
    </row>
    <row r="2729" spans="1:2">
      <c r="A2729" t="s">
        <v>1103</v>
      </c>
      <c r="B2729">
        <v>2</v>
      </c>
    </row>
    <row r="2730" spans="1:2">
      <c r="A2730" t="s">
        <v>1105</v>
      </c>
      <c r="B2730">
        <v>1</v>
      </c>
    </row>
    <row r="2731" spans="1:2">
      <c r="A2731" t="s">
        <v>94</v>
      </c>
      <c r="B2731">
        <v>27</v>
      </c>
    </row>
    <row r="2732" spans="1:2">
      <c r="A2732" t="s">
        <v>178</v>
      </c>
      <c r="B2732">
        <v>33</v>
      </c>
    </row>
    <row r="2733" spans="1:2">
      <c r="A2733" t="s">
        <v>136</v>
      </c>
      <c r="B2733">
        <v>7</v>
      </c>
    </row>
    <row r="2734" spans="1:2">
      <c r="A2734" t="s">
        <v>909</v>
      </c>
      <c r="B2734">
        <v>1</v>
      </c>
    </row>
    <row r="2735" spans="1:2">
      <c r="A2735" t="s">
        <v>734</v>
      </c>
      <c r="B2735">
        <v>1</v>
      </c>
    </row>
    <row r="2736" spans="1:2">
      <c r="A2736" t="s">
        <v>574</v>
      </c>
      <c r="B2736">
        <v>5</v>
      </c>
    </row>
    <row r="2737" spans="1:2">
      <c r="A2737" t="s">
        <v>808</v>
      </c>
      <c r="B2737">
        <v>4</v>
      </c>
    </row>
    <row r="2738" spans="1:2">
      <c r="A2738" t="s">
        <v>837</v>
      </c>
      <c r="B2738">
        <v>2</v>
      </c>
    </row>
    <row r="2739" spans="1:2">
      <c r="A2739" t="s">
        <v>1272</v>
      </c>
      <c r="B2739">
        <v>4</v>
      </c>
    </row>
    <row r="2740" spans="1:2">
      <c r="A2740" t="s">
        <v>147</v>
      </c>
      <c r="B2740">
        <v>10</v>
      </c>
    </row>
    <row r="2741" spans="1:2">
      <c r="A2741" t="s">
        <v>793</v>
      </c>
      <c r="B2741">
        <v>1</v>
      </c>
    </row>
    <row r="2742" spans="1:2">
      <c r="A2742" t="s">
        <v>470</v>
      </c>
      <c r="B2742">
        <v>1</v>
      </c>
    </row>
    <row r="2743" spans="1:2">
      <c r="A2743" t="s">
        <v>139</v>
      </c>
      <c r="B2743">
        <v>6</v>
      </c>
    </row>
    <row r="2744" spans="1:2">
      <c r="A2744" t="s">
        <v>147</v>
      </c>
      <c r="B2744">
        <v>10</v>
      </c>
    </row>
    <row r="2745" spans="1:2">
      <c r="A2745" t="s">
        <v>793</v>
      </c>
      <c r="B2745">
        <v>1</v>
      </c>
    </row>
    <row r="2746" spans="1:2">
      <c r="A2746" t="s">
        <v>470</v>
      </c>
      <c r="B2746">
        <v>1</v>
      </c>
    </row>
    <row r="2747" spans="1:2">
      <c r="A2747" t="s">
        <v>139</v>
      </c>
      <c r="B2747">
        <v>6</v>
      </c>
    </row>
    <row r="2748" spans="1:2">
      <c r="A2748" t="s">
        <v>1384</v>
      </c>
      <c r="B2748">
        <v>1</v>
      </c>
    </row>
    <row r="2749" spans="1:2">
      <c r="A2749" t="s">
        <v>1427</v>
      </c>
      <c r="B2749">
        <v>1</v>
      </c>
    </row>
    <row r="2750" spans="1:2">
      <c r="A2750" t="s">
        <v>1437</v>
      </c>
      <c r="B2750">
        <v>1</v>
      </c>
    </row>
    <row r="2751" spans="1:2">
      <c r="A2751" t="s">
        <v>166</v>
      </c>
      <c r="B2751">
        <v>9</v>
      </c>
    </row>
    <row r="2752" spans="1:2">
      <c r="A2752" t="s">
        <v>748</v>
      </c>
      <c r="B2752">
        <v>6</v>
      </c>
    </row>
    <row r="2753" spans="1:2">
      <c r="A2753" t="s">
        <v>1470</v>
      </c>
      <c r="B2753">
        <v>6</v>
      </c>
    </row>
    <row r="2754" spans="1:2">
      <c r="A2754" t="s">
        <v>1475</v>
      </c>
      <c r="B2754">
        <v>1</v>
      </c>
    </row>
    <row r="2755" spans="1:2">
      <c r="A2755" t="s">
        <v>239</v>
      </c>
      <c r="B2755">
        <v>2</v>
      </c>
    </row>
    <row r="2756" spans="1:2">
      <c r="A2756" t="s">
        <v>1513</v>
      </c>
      <c r="B2756">
        <v>2</v>
      </c>
    </row>
    <row r="2757" spans="1:2">
      <c r="A2757" t="s">
        <v>1514</v>
      </c>
      <c r="B2757">
        <v>1</v>
      </c>
    </row>
    <row r="2758" spans="1:2">
      <c r="A2758" t="s">
        <v>770</v>
      </c>
      <c r="B2758">
        <v>1</v>
      </c>
    </row>
    <row r="2759" spans="1:2">
      <c r="A2759" t="s">
        <v>199</v>
      </c>
      <c r="B2759">
        <v>1</v>
      </c>
    </row>
    <row r="2760" spans="1:2">
      <c r="A2760" t="s">
        <v>710</v>
      </c>
      <c r="B2760">
        <v>2</v>
      </c>
    </row>
    <row r="2761" spans="1:2">
      <c r="A2761" t="s">
        <v>1599</v>
      </c>
      <c r="B2761">
        <v>1</v>
      </c>
    </row>
    <row r="2762" spans="1:2">
      <c r="A2762" t="s">
        <v>1641</v>
      </c>
      <c r="B2762">
        <v>1</v>
      </c>
    </row>
    <row r="2763" spans="1:2">
      <c r="A2763" t="s">
        <v>1025</v>
      </c>
      <c r="B2763">
        <v>1</v>
      </c>
    </row>
    <row r="2764" spans="1:2">
      <c r="A2764" s="2" t="s">
        <v>9</v>
      </c>
      <c r="B2764" s="2">
        <v>179</v>
      </c>
    </row>
    <row r="2766" spans="1:2">
      <c r="A2766" s="2" t="s">
        <v>528</v>
      </c>
    </row>
    <row r="2767" spans="1:2">
      <c r="A2767" s="2" t="s">
        <v>0</v>
      </c>
      <c r="B2767" s="2" t="s">
        <v>1</v>
      </c>
    </row>
    <row r="2768" spans="1:2">
      <c r="A2768" t="s">
        <v>460</v>
      </c>
      <c r="B2768">
        <v>4</v>
      </c>
    </row>
    <row r="2769" spans="1:2">
      <c r="A2769" t="s">
        <v>498</v>
      </c>
      <c r="B2769">
        <v>34</v>
      </c>
    </row>
    <row r="2770" spans="1:2">
      <c r="A2770" t="s">
        <v>1161</v>
      </c>
      <c r="B2770">
        <v>2</v>
      </c>
    </row>
    <row r="2771" spans="1:2">
      <c r="A2771" t="s">
        <v>1162</v>
      </c>
      <c r="B2771">
        <v>2</v>
      </c>
    </row>
    <row r="2772" spans="1:2">
      <c r="A2772" t="s">
        <v>112</v>
      </c>
      <c r="B2772">
        <v>16</v>
      </c>
    </row>
    <row r="2773" spans="1:2">
      <c r="A2773" t="s">
        <v>1193</v>
      </c>
      <c r="B2773">
        <v>1</v>
      </c>
    </row>
    <row r="2774" spans="1:2">
      <c r="A2774" t="s">
        <v>1201</v>
      </c>
      <c r="B2774">
        <v>1</v>
      </c>
    </row>
    <row r="2775" spans="1:2">
      <c r="A2775" t="s">
        <v>1217</v>
      </c>
      <c r="B2775">
        <v>6</v>
      </c>
    </row>
    <row r="2776" spans="1:2">
      <c r="A2776" t="s">
        <v>643</v>
      </c>
      <c r="B2776">
        <v>6</v>
      </c>
    </row>
    <row r="2777" spans="1:2">
      <c r="A2777" t="s">
        <v>1228</v>
      </c>
      <c r="B2777">
        <v>1</v>
      </c>
    </row>
    <row r="2778" spans="1:2">
      <c r="A2778" t="s">
        <v>1231</v>
      </c>
      <c r="B2778">
        <v>1</v>
      </c>
    </row>
    <row r="2779" spans="1:2">
      <c r="A2779" t="s">
        <v>1232</v>
      </c>
      <c r="B2779">
        <v>1</v>
      </c>
    </row>
    <row r="2780" spans="1:2">
      <c r="A2780" t="s">
        <v>214</v>
      </c>
      <c r="B2780">
        <v>4</v>
      </c>
    </row>
    <row r="2781" spans="1:2">
      <c r="A2781" t="s">
        <v>1269</v>
      </c>
      <c r="B2781">
        <v>2</v>
      </c>
    </row>
    <row r="2782" spans="1:2">
      <c r="A2782" t="s">
        <v>922</v>
      </c>
      <c r="B2782">
        <v>4</v>
      </c>
    </row>
    <row r="2783" spans="1:2">
      <c r="A2783" t="s">
        <v>1284</v>
      </c>
      <c r="B2783">
        <v>5</v>
      </c>
    </row>
    <row r="2784" spans="1:2">
      <c r="A2784" t="s">
        <v>928</v>
      </c>
      <c r="B2784">
        <v>12</v>
      </c>
    </row>
    <row r="2785" spans="1:2">
      <c r="A2785" t="s">
        <v>459</v>
      </c>
      <c r="B2785">
        <v>3</v>
      </c>
    </row>
    <row r="2786" spans="1:2">
      <c r="A2786" t="s">
        <v>1308</v>
      </c>
      <c r="B2786">
        <v>1</v>
      </c>
    </row>
    <row r="2787" spans="1:2">
      <c r="A2787" t="s">
        <v>122</v>
      </c>
      <c r="B2787">
        <v>13</v>
      </c>
    </row>
    <row r="2788" spans="1:2">
      <c r="A2788" t="s">
        <v>1346</v>
      </c>
      <c r="B2788">
        <v>7</v>
      </c>
    </row>
    <row r="2789" spans="1:2">
      <c r="A2789" t="s">
        <v>928</v>
      </c>
      <c r="B2789">
        <v>12</v>
      </c>
    </row>
    <row r="2790" spans="1:2">
      <c r="A2790" t="s">
        <v>459</v>
      </c>
      <c r="B2790">
        <v>3</v>
      </c>
    </row>
    <row r="2791" spans="1:2">
      <c r="A2791" t="s">
        <v>1308</v>
      </c>
      <c r="B2791">
        <v>1</v>
      </c>
    </row>
    <row r="2792" spans="1:2">
      <c r="A2792" t="s">
        <v>122</v>
      </c>
      <c r="B2792">
        <v>13</v>
      </c>
    </row>
    <row r="2793" spans="1:2">
      <c r="A2793" t="s">
        <v>1346</v>
      </c>
      <c r="B2793">
        <v>7</v>
      </c>
    </row>
    <row r="2794" spans="1:2">
      <c r="A2794" t="s">
        <v>1392</v>
      </c>
      <c r="B2794">
        <v>2</v>
      </c>
    </row>
    <row r="2795" spans="1:2">
      <c r="A2795" t="s">
        <v>673</v>
      </c>
      <c r="B2795">
        <v>2</v>
      </c>
    </row>
    <row r="2796" spans="1:2">
      <c r="A2796" t="s">
        <v>706</v>
      </c>
      <c r="B2796">
        <v>1</v>
      </c>
    </row>
    <row r="2797" spans="1:2">
      <c r="A2797" t="s">
        <v>771</v>
      </c>
      <c r="B2797">
        <v>2</v>
      </c>
    </row>
    <row r="2798" spans="1:2">
      <c r="A2798" t="s">
        <v>184</v>
      </c>
      <c r="B2798">
        <v>2</v>
      </c>
    </row>
    <row r="2799" spans="1:2">
      <c r="A2799" t="s">
        <v>188</v>
      </c>
      <c r="B2799">
        <v>1</v>
      </c>
    </row>
    <row r="2800" spans="1:2">
      <c r="A2800" t="s">
        <v>185</v>
      </c>
      <c r="B2800">
        <v>5</v>
      </c>
    </row>
    <row r="2801" spans="1:2">
      <c r="A2801" t="s">
        <v>1519</v>
      </c>
      <c r="B2801">
        <v>1</v>
      </c>
    </row>
    <row r="2802" spans="1:2">
      <c r="A2802" t="s">
        <v>1535</v>
      </c>
      <c r="B2802">
        <v>1</v>
      </c>
    </row>
    <row r="2803" spans="1:2">
      <c r="A2803" t="s">
        <v>1542</v>
      </c>
      <c r="B2803">
        <v>1</v>
      </c>
    </row>
    <row r="2804" spans="1:2">
      <c r="A2804" t="s">
        <v>1580</v>
      </c>
      <c r="B2804">
        <v>1</v>
      </c>
    </row>
    <row r="2805" spans="1:2">
      <c r="A2805" t="s">
        <v>1585</v>
      </c>
      <c r="B2805">
        <v>1</v>
      </c>
    </row>
    <row r="2806" spans="1:2">
      <c r="A2806" t="s">
        <v>1587</v>
      </c>
      <c r="B2806">
        <v>1</v>
      </c>
    </row>
    <row r="2807" spans="1:2">
      <c r="A2807" t="s">
        <v>206</v>
      </c>
      <c r="B2807">
        <v>1</v>
      </c>
    </row>
    <row r="2808" spans="1:2">
      <c r="A2808" t="s">
        <v>1619</v>
      </c>
      <c r="B2808">
        <v>1</v>
      </c>
    </row>
    <row r="2809" spans="1:2">
      <c r="A2809" t="s">
        <v>1627</v>
      </c>
      <c r="B2809">
        <v>1</v>
      </c>
    </row>
    <row r="2810" spans="1:2">
      <c r="A2810" t="s">
        <v>1628</v>
      </c>
      <c r="B2810">
        <v>1</v>
      </c>
    </row>
    <row r="2811" spans="1:2">
      <c r="A2811" t="s">
        <v>1650</v>
      </c>
      <c r="B2811">
        <v>1</v>
      </c>
    </row>
    <row r="2812" spans="1:2">
      <c r="A2812" t="s">
        <v>260</v>
      </c>
      <c r="B2812">
        <v>2</v>
      </c>
    </row>
    <row r="2813" spans="1:2">
      <c r="A2813" t="s">
        <v>1685</v>
      </c>
      <c r="B2813">
        <v>1</v>
      </c>
    </row>
    <row r="2814" spans="1:2">
      <c r="A2814" t="s">
        <v>158</v>
      </c>
      <c r="B2814">
        <v>2</v>
      </c>
    </row>
    <row r="2815" spans="1:2">
      <c r="A2815" t="s">
        <v>1704</v>
      </c>
      <c r="B2815">
        <v>2</v>
      </c>
    </row>
    <row r="2816" spans="1:2">
      <c r="A2816" t="s">
        <v>1732</v>
      </c>
      <c r="B2816">
        <v>1</v>
      </c>
    </row>
    <row r="2817" spans="1:2">
      <c r="A2817" t="s">
        <v>577</v>
      </c>
      <c r="B2817">
        <v>2</v>
      </c>
    </row>
    <row r="2818" spans="1:2">
      <c r="A2818" t="s">
        <v>1771</v>
      </c>
      <c r="B2818">
        <v>1</v>
      </c>
    </row>
    <row r="2819" spans="1:2">
      <c r="A2819" t="s">
        <v>1772</v>
      </c>
      <c r="B2819">
        <v>2</v>
      </c>
    </row>
    <row r="2820" spans="1:2">
      <c r="A2820" t="s">
        <v>641</v>
      </c>
      <c r="B2820">
        <v>1</v>
      </c>
    </row>
    <row r="2821" spans="1:2">
      <c r="A2821" s="2" t="s">
        <v>9</v>
      </c>
      <c r="B2821" s="2">
        <v>202</v>
      </c>
    </row>
    <row r="2823" spans="1:2">
      <c r="A2823" s="2" t="s">
        <v>542</v>
      </c>
    </row>
    <row r="2824" spans="1:2">
      <c r="A2824" s="2" t="s">
        <v>0</v>
      </c>
      <c r="B2824" s="2" t="s">
        <v>1</v>
      </c>
    </row>
    <row r="2825" spans="1:2">
      <c r="A2825" t="s">
        <v>612</v>
      </c>
      <c r="B2825">
        <v>4</v>
      </c>
    </row>
    <row r="2826" spans="1:2">
      <c r="A2826" t="s">
        <v>1153</v>
      </c>
      <c r="B2826">
        <v>3</v>
      </c>
    </row>
    <row r="2827" spans="1:2">
      <c r="A2827" t="s">
        <v>271</v>
      </c>
      <c r="B2827">
        <v>7</v>
      </c>
    </row>
    <row r="2828" spans="1:2">
      <c r="A2828" t="s">
        <v>1403</v>
      </c>
      <c r="B2828">
        <v>1</v>
      </c>
    </row>
    <row r="2829" spans="1:2">
      <c r="A2829" t="s">
        <v>507</v>
      </c>
      <c r="B2829">
        <v>2</v>
      </c>
    </row>
    <row r="2830" spans="1:2">
      <c r="A2830" t="s">
        <v>1701</v>
      </c>
      <c r="B2830">
        <v>1</v>
      </c>
    </row>
    <row r="2831" spans="1:2">
      <c r="A2831" s="2" t="s">
        <v>9</v>
      </c>
      <c r="B2831" s="2">
        <v>18</v>
      </c>
    </row>
    <row r="2833" spans="1:2">
      <c r="A2833" s="2" t="s">
        <v>545</v>
      </c>
    </row>
    <row r="2834" spans="1:2">
      <c r="A2834" s="2" t="s">
        <v>0</v>
      </c>
      <c r="B2834" s="2" t="s">
        <v>1</v>
      </c>
    </row>
    <row r="2835" spans="1:2">
      <c r="A2835" t="s">
        <v>408</v>
      </c>
      <c r="B2835">
        <v>27</v>
      </c>
    </row>
    <row r="2836" spans="1:2">
      <c r="A2836" t="s">
        <v>1115</v>
      </c>
      <c r="B2836">
        <v>3</v>
      </c>
    </row>
    <row r="2837" spans="1:2">
      <c r="A2837" t="s">
        <v>1165</v>
      </c>
      <c r="B2837">
        <v>23</v>
      </c>
    </row>
    <row r="2838" spans="1:2">
      <c r="A2838" t="s">
        <v>1204</v>
      </c>
      <c r="B2838">
        <v>1</v>
      </c>
    </row>
    <row r="2839" spans="1:2">
      <c r="A2839" t="s">
        <v>1214</v>
      </c>
      <c r="B2839">
        <v>1</v>
      </c>
    </row>
    <row r="2840" spans="1:2">
      <c r="A2840" t="s">
        <v>76</v>
      </c>
      <c r="B2840">
        <v>2</v>
      </c>
    </row>
    <row r="2841" spans="1:2">
      <c r="A2841" t="s">
        <v>1226</v>
      </c>
      <c r="B2841">
        <v>2</v>
      </c>
    </row>
    <row r="2842" spans="1:2">
      <c r="A2842" t="s">
        <v>1237</v>
      </c>
      <c r="B2842">
        <v>4</v>
      </c>
    </row>
    <row r="2843" spans="1:2">
      <c r="A2843" t="s">
        <v>458</v>
      </c>
      <c r="B2843">
        <v>12</v>
      </c>
    </row>
    <row r="2844" spans="1:2">
      <c r="A2844" t="s">
        <v>1265</v>
      </c>
      <c r="B2844">
        <v>5</v>
      </c>
    </row>
    <row r="2845" spans="1:2">
      <c r="A2845" t="s">
        <v>645</v>
      </c>
      <c r="B2845">
        <v>3</v>
      </c>
    </row>
    <row r="2846" spans="1:2">
      <c r="A2846" t="s">
        <v>1354</v>
      </c>
      <c r="B2846">
        <v>2</v>
      </c>
    </row>
    <row r="2847" spans="1:2">
      <c r="A2847" t="s">
        <v>645</v>
      </c>
      <c r="B2847">
        <v>3</v>
      </c>
    </row>
    <row r="2848" spans="1:2">
      <c r="A2848" t="s">
        <v>1354</v>
      </c>
      <c r="B2848">
        <v>2</v>
      </c>
    </row>
    <row r="2849" spans="1:2">
      <c r="A2849" t="s">
        <v>1371</v>
      </c>
      <c r="B2849">
        <v>1</v>
      </c>
    </row>
    <row r="2850" spans="1:2">
      <c r="A2850" t="s">
        <v>1376</v>
      </c>
      <c r="B2850">
        <v>1</v>
      </c>
    </row>
    <row r="2851" spans="1:2">
      <c r="A2851" t="s">
        <v>1442</v>
      </c>
      <c r="B2851">
        <v>1</v>
      </c>
    </row>
    <row r="2852" spans="1:2">
      <c r="A2852" t="s">
        <v>864</v>
      </c>
      <c r="B2852">
        <v>1</v>
      </c>
    </row>
    <row r="2853" spans="1:2">
      <c r="A2853" t="s">
        <v>1520</v>
      </c>
      <c r="B2853">
        <v>2</v>
      </c>
    </row>
    <row r="2854" spans="1:2">
      <c r="A2854" t="s">
        <v>1541</v>
      </c>
      <c r="B2854">
        <v>2</v>
      </c>
    </row>
    <row r="2855" spans="1:2">
      <c r="A2855" t="s">
        <v>1550</v>
      </c>
      <c r="B2855">
        <v>2</v>
      </c>
    </row>
    <row r="2856" spans="1:2">
      <c r="A2856" t="s">
        <v>1584</v>
      </c>
      <c r="B2856">
        <v>1</v>
      </c>
    </row>
    <row r="2857" spans="1:2">
      <c r="A2857" t="s">
        <v>1590</v>
      </c>
      <c r="B2857">
        <v>1</v>
      </c>
    </row>
    <row r="2858" spans="1:2">
      <c r="A2858" t="s">
        <v>1591</v>
      </c>
      <c r="B2858">
        <v>1</v>
      </c>
    </row>
    <row r="2859" spans="1:2">
      <c r="A2859" t="s">
        <v>1595</v>
      </c>
      <c r="B2859">
        <v>1</v>
      </c>
    </row>
    <row r="2860" spans="1:2">
      <c r="A2860" t="s">
        <v>1634</v>
      </c>
      <c r="B2860">
        <v>1</v>
      </c>
    </row>
    <row r="2861" spans="1:2">
      <c r="A2861" t="s">
        <v>1640</v>
      </c>
      <c r="B2861">
        <v>1</v>
      </c>
    </row>
    <row r="2862" spans="1:2">
      <c r="A2862" t="s">
        <v>1710</v>
      </c>
      <c r="B2862">
        <v>1</v>
      </c>
    </row>
    <row r="2863" spans="1:2">
      <c r="A2863" t="s">
        <v>1719</v>
      </c>
      <c r="B2863">
        <v>1</v>
      </c>
    </row>
    <row r="2864" spans="1:2">
      <c r="A2864" s="2" t="s">
        <v>9</v>
      </c>
      <c r="B2864" s="2">
        <v>108</v>
      </c>
    </row>
    <row r="2866" spans="1:2">
      <c r="A2866" s="2" t="s">
        <v>530</v>
      </c>
    </row>
    <row r="2867" spans="1:2">
      <c r="A2867" s="2" t="s">
        <v>0</v>
      </c>
      <c r="B2867" s="2" t="s">
        <v>1</v>
      </c>
    </row>
    <row r="2868" spans="1:2">
      <c r="A2868" t="s">
        <v>228</v>
      </c>
      <c r="B2868">
        <v>6</v>
      </c>
    </row>
    <row r="2869" spans="1:2">
      <c r="A2869" t="s">
        <v>1140</v>
      </c>
      <c r="B2869">
        <v>3</v>
      </c>
    </row>
    <row r="2870" spans="1:2">
      <c r="A2870" t="s">
        <v>1223</v>
      </c>
      <c r="B2870">
        <v>1</v>
      </c>
    </row>
    <row r="2871" spans="1:2">
      <c r="A2871" t="s">
        <v>374</v>
      </c>
      <c r="B2871">
        <v>1</v>
      </c>
    </row>
    <row r="2872" spans="1:2">
      <c r="A2872" t="s">
        <v>575</v>
      </c>
      <c r="B2872">
        <v>2</v>
      </c>
    </row>
    <row r="2873" spans="1:2">
      <c r="A2873" t="s">
        <v>482</v>
      </c>
      <c r="B2873">
        <v>1</v>
      </c>
    </row>
    <row r="2874" spans="1:2">
      <c r="A2874" t="s">
        <v>1756</v>
      </c>
      <c r="B2874">
        <v>1</v>
      </c>
    </row>
    <row r="2875" spans="1:2">
      <c r="A2875" t="s">
        <v>1758</v>
      </c>
      <c r="B2875">
        <v>1</v>
      </c>
    </row>
    <row r="2876" spans="1:2">
      <c r="A2876" s="2" t="s">
        <v>9</v>
      </c>
      <c r="B2876" s="2">
        <v>16</v>
      </c>
    </row>
    <row r="2878" spans="1:2">
      <c r="A2878" s="2" t="s">
        <v>1069</v>
      </c>
    </row>
    <row r="2879" spans="1:2">
      <c r="A2879" s="2" t="s">
        <v>0</v>
      </c>
      <c r="B2879" s="2" t="s">
        <v>1</v>
      </c>
    </row>
    <row r="2880" spans="1:2">
      <c r="A2880" t="s">
        <v>1124</v>
      </c>
      <c r="B2880">
        <v>35</v>
      </c>
    </row>
    <row r="2881" spans="1:2">
      <c r="A2881" t="s">
        <v>194</v>
      </c>
      <c r="B2881">
        <v>14</v>
      </c>
    </row>
    <row r="2882" spans="1:2">
      <c r="A2882" t="s">
        <v>862</v>
      </c>
      <c r="B2882">
        <v>2</v>
      </c>
    </row>
    <row r="2883" spans="1:2">
      <c r="A2883" t="s">
        <v>862</v>
      </c>
      <c r="B2883">
        <v>2</v>
      </c>
    </row>
    <row r="2884" spans="1:2">
      <c r="A2884" t="s">
        <v>693</v>
      </c>
      <c r="B2884">
        <v>1</v>
      </c>
    </row>
    <row r="2885" spans="1:2">
      <c r="A2885" s="2" t="s">
        <v>9</v>
      </c>
      <c r="B2885" s="2">
        <v>54</v>
      </c>
    </row>
    <row r="2887" spans="1:2">
      <c r="A2887" s="2" t="s">
        <v>13</v>
      </c>
    </row>
    <row r="2888" spans="1:2">
      <c r="A2888" s="2" t="s">
        <v>0</v>
      </c>
      <c r="B2888" s="2" t="s">
        <v>1</v>
      </c>
    </row>
    <row r="2889" spans="1:2">
      <c r="A2889" t="s">
        <v>241</v>
      </c>
      <c r="B2889">
        <v>3</v>
      </c>
    </row>
    <row r="2890" spans="1:2">
      <c r="A2890" t="s">
        <v>681</v>
      </c>
      <c r="B2890">
        <v>1</v>
      </c>
    </row>
    <row r="2891" spans="1:2">
      <c r="A2891" t="s">
        <v>1147</v>
      </c>
      <c r="B2891">
        <v>1</v>
      </c>
    </row>
    <row r="2892" spans="1:2">
      <c r="A2892" t="s">
        <v>1310</v>
      </c>
      <c r="B2892">
        <v>1</v>
      </c>
    </row>
    <row r="2893" spans="1:2">
      <c r="A2893" t="s">
        <v>1310</v>
      </c>
      <c r="B2893">
        <v>1</v>
      </c>
    </row>
    <row r="2894" spans="1:2">
      <c r="A2894" t="s">
        <v>1416</v>
      </c>
      <c r="B2894">
        <v>2</v>
      </c>
    </row>
    <row r="2895" spans="1:2">
      <c r="A2895" s="2" t="s">
        <v>9</v>
      </c>
      <c r="B2895" s="2">
        <v>9</v>
      </c>
    </row>
    <row r="2897" spans="1:2">
      <c r="A2897" s="2" t="s">
        <v>1066</v>
      </c>
    </row>
    <row r="2898" spans="1:2">
      <c r="A2898" s="2" t="s">
        <v>0</v>
      </c>
      <c r="B2898" s="2" t="s">
        <v>1</v>
      </c>
    </row>
    <row r="2899" spans="1:2">
      <c r="A2899" t="s">
        <v>584</v>
      </c>
      <c r="B2899">
        <v>3</v>
      </c>
    </row>
    <row r="2900" spans="1:2">
      <c r="A2900" t="s">
        <v>584</v>
      </c>
      <c r="B2900">
        <v>3</v>
      </c>
    </row>
    <row r="2901" spans="1:2">
      <c r="A2901" s="2" t="s">
        <v>9</v>
      </c>
      <c r="B2901" s="2">
        <v>6</v>
      </c>
    </row>
    <row r="2903" spans="1:2">
      <c r="A2903" s="2" t="s">
        <v>1791</v>
      </c>
    </row>
    <row r="2904" spans="1:2">
      <c r="A2904" s="2" t="s">
        <v>0</v>
      </c>
      <c r="B2904" s="2" t="s">
        <v>1</v>
      </c>
    </row>
    <row r="2905" spans="1:2">
      <c r="A2905" t="s">
        <v>85</v>
      </c>
      <c r="B2905">
        <v>2</v>
      </c>
    </row>
    <row r="2906" spans="1:2">
      <c r="A2906" t="s">
        <v>85</v>
      </c>
      <c r="B2906">
        <v>2</v>
      </c>
    </row>
    <row r="2907" spans="1:2">
      <c r="A2907" t="s">
        <v>1368</v>
      </c>
      <c r="B2907">
        <v>1</v>
      </c>
    </row>
    <row r="2908" spans="1:2">
      <c r="A2908" s="2" t="s">
        <v>9</v>
      </c>
      <c r="B2908" s="2">
        <v>5</v>
      </c>
    </row>
    <row r="2910" spans="1:2">
      <c r="A2910" s="2" t="s">
        <v>1068</v>
      </c>
    </row>
    <row r="2911" spans="1:2">
      <c r="A2911" s="2" t="s">
        <v>0</v>
      </c>
      <c r="B2911" s="2" t="s">
        <v>1</v>
      </c>
    </row>
    <row r="2912" spans="1:2">
      <c r="A2912" t="s">
        <v>690</v>
      </c>
      <c r="B2912">
        <v>1</v>
      </c>
    </row>
    <row r="2913" spans="1:2">
      <c r="A2913" t="s">
        <v>1395</v>
      </c>
      <c r="B2913">
        <v>1</v>
      </c>
    </row>
    <row r="2914" spans="1:2">
      <c r="A2914" s="2" t="s">
        <v>9</v>
      </c>
      <c r="B2914" s="2">
        <v>2</v>
      </c>
    </row>
    <row r="2916" spans="1:2">
      <c r="A2916" s="2" t="s">
        <v>1065</v>
      </c>
    </row>
    <row r="2917" spans="1:2">
      <c r="A2917" s="2" t="s">
        <v>0</v>
      </c>
      <c r="B2917" s="2" t="s">
        <v>1</v>
      </c>
    </row>
    <row r="2918" spans="1:2">
      <c r="A2918" t="s">
        <v>286</v>
      </c>
      <c r="B2918">
        <v>6</v>
      </c>
    </row>
    <row r="2919" spans="1:2">
      <c r="A2919" s="2" t="s">
        <v>9</v>
      </c>
      <c r="B2919" s="2">
        <v>6</v>
      </c>
    </row>
    <row r="2921" spans="1:2">
      <c r="A2921" s="2" t="s">
        <v>543</v>
      </c>
    </row>
    <row r="2922" spans="1:2">
      <c r="A2922" s="2" t="s">
        <v>0</v>
      </c>
      <c r="B2922" s="2" t="s">
        <v>1</v>
      </c>
    </row>
    <row r="2923" spans="1:2">
      <c r="A2923" t="s">
        <v>899</v>
      </c>
      <c r="B2923">
        <v>2</v>
      </c>
    </row>
    <row r="2924" spans="1:2">
      <c r="A2924" t="s">
        <v>713</v>
      </c>
      <c r="B2924">
        <v>1</v>
      </c>
    </row>
    <row r="2925" spans="1:2">
      <c r="A2925" t="s">
        <v>1694</v>
      </c>
      <c r="B2925">
        <v>1</v>
      </c>
    </row>
    <row r="2926" spans="1:2">
      <c r="A2926" t="s">
        <v>291</v>
      </c>
      <c r="B2926">
        <v>1</v>
      </c>
    </row>
    <row r="2927" spans="1:2">
      <c r="A2927" t="s">
        <v>1700</v>
      </c>
      <c r="B2927">
        <v>1</v>
      </c>
    </row>
    <row r="2928" spans="1:2">
      <c r="A2928" s="2" t="s">
        <v>9</v>
      </c>
      <c r="B2928" s="2">
        <v>6</v>
      </c>
    </row>
    <row r="2930" spans="1:2">
      <c r="A2930" s="2" t="s">
        <v>1792</v>
      </c>
    </row>
    <row r="2931" spans="1:2">
      <c r="A2931" s="2" t="s">
        <v>0</v>
      </c>
      <c r="B2931" s="2" t="s">
        <v>1</v>
      </c>
    </row>
    <row r="2932" spans="1:2">
      <c r="A2932" t="s">
        <v>1632</v>
      </c>
      <c r="B2932">
        <v>1</v>
      </c>
    </row>
    <row r="2933" spans="1:2">
      <c r="A2933" s="2" t="s">
        <v>9</v>
      </c>
      <c r="B2933" s="2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O113"/>
  <sheetViews>
    <sheetView topLeftCell="D1" workbookViewId="0">
      <selection activeCell="I16" sqref="I16"/>
    </sheetView>
  </sheetViews>
  <sheetFormatPr defaultRowHeight="14.45"/>
  <cols>
    <col min="1" max="1" width="61.85546875" customWidth="1"/>
    <col min="6" max="6" width="14.28515625" bestFit="1" customWidth="1"/>
    <col min="7" max="7" width="15.85546875" bestFit="1" customWidth="1"/>
  </cols>
  <sheetData>
    <row r="1" spans="1:15">
      <c r="A1" t="s">
        <v>0</v>
      </c>
      <c r="B1" t="s">
        <v>2</v>
      </c>
      <c r="C1" t="s">
        <v>1</v>
      </c>
    </row>
    <row r="2" spans="1:15">
      <c r="A2" t="s">
        <v>124</v>
      </c>
      <c r="B2" t="s">
        <v>125</v>
      </c>
      <c r="C2">
        <v>1</v>
      </c>
    </row>
    <row r="3" spans="1:15">
      <c r="A3" t="s">
        <v>133</v>
      </c>
      <c r="B3" t="s">
        <v>16</v>
      </c>
      <c r="C3">
        <v>5</v>
      </c>
    </row>
    <row r="4" spans="1:15">
      <c r="A4" t="s">
        <v>233</v>
      </c>
      <c r="B4" t="s">
        <v>19</v>
      </c>
      <c r="C4">
        <v>6</v>
      </c>
    </row>
    <row r="5" spans="1:15">
      <c r="A5" t="s">
        <v>342</v>
      </c>
      <c r="B5" t="s">
        <v>19</v>
      </c>
      <c r="C5">
        <v>2</v>
      </c>
      <c r="F5" s="7" t="s">
        <v>7</v>
      </c>
      <c r="G5" t="s">
        <v>8</v>
      </c>
      <c r="H5" t="s">
        <v>9</v>
      </c>
      <c r="I5" t="s">
        <v>10</v>
      </c>
    </row>
    <row r="6" spans="1:15">
      <c r="A6" t="s">
        <v>294</v>
      </c>
      <c r="B6" t="s">
        <v>16</v>
      </c>
      <c r="C6">
        <v>2</v>
      </c>
      <c r="F6" s="8" t="s">
        <v>22</v>
      </c>
      <c r="G6">
        <v>1</v>
      </c>
      <c r="H6">
        <v>24</v>
      </c>
      <c r="I6">
        <f>G6/H6</f>
        <v>4.1666666666666664E-2</v>
      </c>
    </row>
    <row r="7" spans="1:15">
      <c r="A7" t="s">
        <v>1793</v>
      </c>
      <c r="B7" t="s">
        <v>4</v>
      </c>
      <c r="C7">
        <v>1</v>
      </c>
      <c r="F7" s="8" t="s">
        <v>125</v>
      </c>
      <c r="G7">
        <v>1</v>
      </c>
      <c r="H7">
        <v>24</v>
      </c>
      <c r="I7">
        <f t="shared" ref="I7:I17" si="0">G7/H7</f>
        <v>4.1666666666666664E-2</v>
      </c>
      <c r="L7" t="s">
        <v>126</v>
      </c>
      <c r="M7">
        <v>4</v>
      </c>
      <c r="N7">
        <v>24</v>
      </c>
      <c r="O7">
        <f>4/24</f>
        <v>0.16666666666666666</v>
      </c>
    </row>
    <row r="8" spans="1:15">
      <c r="A8" t="s">
        <v>891</v>
      </c>
      <c r="B8" t="s">
        <v>30</v>
      </c>
      <c r="C8">
        <v>1</v>
      </c>
      <c r="F8" s="8" t="s">
        <v>16</v>
      </c>
      <c r="G8">
        <v>14</v>
      </c>
      <c r="H8">
        <v>24</v>
      </c>
      <c r="I8">
        <f t="shared" si="0"/>
        <v>0.58333333333333337</v>
      </c>
    </row>
    <row r="9" spans="1:15">
      <c r="A9" t="s">
        <v>1794</v>
      </c>
      <c r="B9" t="s">
        <v>30</v>
      </c>
      <c r="C9">
        <v>1</v>
      </c>
      <c r="F9" s="8" t="s">
        <v>19</v>
      </c>
      <c r="G9">
        <v>11</v>
      </c>
      <c r="H9">
        <v>24</v>
      </c>
      <c r="I9">
        <f t="shared" si="0"/>
        <v>0.45833333333333331</v>
      </c>
    </row>
    <row r="10" spans="1:15">
      <c r="A10" t="s">
        <v>859</v>
      </c>
      <c r="B10" t="s">
        <v>30</v>
      </c>
      <c r="C10">
        <v>2</v>
      </c>
      <c r="F10" s="8" t="s">
        <v>410</v>
      </c>
      <c r="G10">
        <v>2</v>
      </c>
      <c r="H10">
        <v>24</v>
      </c>
      <c r="I10">
        <f t="shared" si="0"/>
        <v>8.3333333333333329E-2</v>
      </c>
    </row>
    <row r="11" spans="1:15">
      <c r="A11" t="s">
        <v>583</v>
      </c>
      <c r="B11" t="s">
        <v>16</v>
      </c>
      <c r="C11">
        <v>1</v>
      </c>
      <c r="F11" s="8" t="s">
        <v>24</v>
      </c>
      <c r="G11">
        <v>3</v>
      </c>
      <c r="H11">
        <v>24</v>
      </c>
      <c r="I11">
        <f t="shared" si="0"/>
        <v>0.125</v>
      </c>
    </row>
    <row r="12" spans="1:15">
      <c r="A12" t="s">
        <v>336</v>
      </c>
      <c r="B12" t="s">
        <v>16</v>
      </c>
      <c r="C12">
        <v>1</v>
      </c>
      <c r="F12" s="8" t="s">
        <v>26</v>
      </c>
      <c r="G12">
        <v>5</v>
      </c>
      <c r="H12">
        <v>24</v>
      </c>
      <c r="I12">
        <f t="shared" si="0"/>
        <v>0.20833333333333334</v>
      </c>
    </row>
    <row r="13" spans="1:15">
      <c r="A13" t="s">
        <v>739</v>
      </c>
      <c r="B13" t="s">
        <v>22</v>
      </c>
      <c r="C13">
        <v>1</v>
      </c>
      <c r="F13" s="8" t="s">
        <v>30</v>
      </c>
      <c r="G13">
        <v>8</v>
      </c>
      <c r="H13">
        <v>24</v>
      </c>
      <c r="I13">
        <f t="shared" si="0"/>
        <v>0.33333333333333331</v>
      </c>
    </row>
    <row r="14" spans="1:15">
      <c r="A14" t="s">
        <v>219</v>
      </c>
      <c r="B14" t="s">
        <v>19</v>
      </c>
      <c r="C14">
        <v>1</v>
      </c>
      <c r="F14" s="8" t="s">
        <v>32</v>
      </c>
      <c r="G14">
        <v>2</v>
      </c>
      <c r="H14">
        <v>24</v>
      </c>
      <c r="I14">
        <f t="shared" si="0"/>
        <v>8.3333333333333329E-2</v>
      </c>
    </row>
    <row r="15" spans="1:15">
      <c r="A15" t="s">
        <v>594</v>
      </c>
      <c r="B15" t="s">
        <v>19</v>
      </c>
      <c r="C15">
        <v>1</v>
      </c>
      <c r="F15" s="8" t="s">
        <v>4</v>
      </c>
      <c r="G15">
        <v>1</v>
      </c>
      <c r="H15">
        <v>24</v>
      </c>
      <c r="I15">
        <f t="shared" si="0"/>
        <v>4.1666666666666664E-2</v>
      </c>
    </row>
    <row r="16" spans="1:15">
      <c r="A16" t="s">
        <v>573</v>
      </c>
      <c r="B16" t="s">
        <v>16</v>
      </c>
      <c r="C16">
        <v>3</v>
      </c>
      <c r="F16" s="8" t="s">
        <v>34</v>
      </c>
      <c r="G16">
        <v>1</v>
      </c>
      <c r="H16">
        <v>24</v>
      </c>
      <c r="I16">
        <f t="shared" si="0"/>
        <v>4.1666666666666664E-2</v>
      </c>
    </row>
    <row r="17" spans="1:9">
      <c r="A17" t="s">
        <v>56</v>
      </c>
      <c r="B17" t="s">
        <v>16</v>
      </c>
      <c r="C17">
        <v>1</v>
      </c>
      <c r="F17" s="8" t="s">
        <v>138</v>
      </c>
      <c r="G17">
        <v>2</v>
      </c>
      <c r="H17">
        <v>24</v>
      </c>
      <c r="I17">
        <f t="shared" si="0"/>
        <v>8.3333333333333329E-2</v>
      </c>
    </row>
    <row r="18" spans="1:9">
      <c r="A18" t="s">
        <v>679</v>
      </c>
      <c r="B18" t="s">
        <v>30</v>
      </c>
      <c r="C18">
        <v>4</v>
      </c>
      <c r="F18" s="8" t="s">
        <v>12</v>
      </c>
      <c r="G18">
        <v>51</v>
      </c>
    </row>
    <row r="19" spans="1:9">
      <c r="A19" t="s">
        <v>440</v>
      </c>
      <c r="B19" t="s">
        <v>19</v>
      </c>
      <c r="C19">
        <v>1</v>
      </c>
    </row>
    <row r="20" spans="1:9">
      <c r="A20" t="s">
        <v>1742</v>
      </c>
      <c r="B20" t="s">
        <v>16</v>
      </c>
      <c r="C20">
        <v>1</v>
      </c>
    </row>
    <row r="21" spans="1:9">
      <c r="A21" t="s">
        <v>25</v>
      </c>
      <c r="B21" t="s">
        <v>26</v>
      </c>
      <c r="C21">
        <v>1</v>
      </c>
    </row>
    <row r="22" spans="1:9">
      <c r="A22" t="s">
        <v>1795</v>
      </c>
      <c r="B22" t="s">
        <v>26</v>
      </c>
      <c r="C22">
        <v>1</v>
      </c>
    </row>
    <row r="23" spans="1:9">
      <c r="A23" t="s">
        <v>86</v>
      </c>
      <c r="B23" t="s">
        <v>26</v>
      </c>
      <c r="C23">
        <v>1</v>
      </c>
    </row>
    <row r="24" spans="1:9">
      <c r="A24" t="s">
        <v>348</v>
      </c>
      <c r="B24" t="s">
        <v>26</v>
      </c>
      <c r="C24">
        <v>1</v>
      </c>
    </row>
    <row r="25" spans="1:9">
      <c r="A25" t="s">
        <v>1796</v>
      </c>
      <c r="B25" t="s">
        <v>34</v>
      </c>
      <c r="C25">
        <v>1</v>
      </c>
    </row>
    <row r="26" spans="1:9">
      <c r="A26" t="s">
        <v>409</v>
      </c>
      <c r="B26" t="s">
        <v>410</v>
      </c>
      <c r="C26">
        <v>1</v>
      </c>
    </row>
    <row r="27" spans="1:9">
      <c r="A27" t="s">
        <v>253</v>
      </c>
      <c r="B27" t="s">
        <v>32</v>
      </c>
      <c r="C27">
        <v>1</v>
      </c>
    </row>
    <row r="28" spans="1:9">
      <c r="A28" t="s">
        <v>661</v>
      </c>
      <c r="B28" t="s">
        <v>138</v>
      </c>
      <c r="C28">
        <v>1</v>
      </c>
    </row>
    <row r="29" spans="1:9">
      <c r="A29" t="s">
        <v>154</v>
      </c>
      <c r="B29" t="s">
        <v>24</v>
      </c>
      <c r="C29">
        <v>3</v>
      </c>
    </row>
    <row r="30" spans="1:9">
      <c r="A30" t="s">
        <v>461</v>
      </c>
      <c r="B30" t="s">
        <v>26</v>
      </c>
      <c r="C30">
        <v>1</v>
      </c>
    </row>
    <row r="31" spans="1:9">
      <c r="A31" t="s">
        <v>628</v>
      </c>
      <c r="B31" t="s">
        <v>32</v>
      </c>
      <c r="C31">
        <v>1</v>
      </c>
    </row>
    <row r="32" spans="1:9">
      <c r="A32" t="s">
        <v>1797</v>
      </c>
      <c r="B32" t="s">
        <v>138</v>
      </c>
      <c r="C32">
        <v>1</v>
      </c>
    </row>
    <row r="33" spans="1:3">
      <c r="A33" t="s">
        <v>493</v>
      </c>
      <c r="B33" t="s">
        <v>410</v>
      </c>
      <c r="C33">
        <v>1</v>
      </c>
    </row>
    <row r="35" spans="1:3">
      <c r="A35" s="2" t="s">
        <v>532</v>
      </c>
    </row>
    <row r="36" spans="1:3">
      <c r="A36" s="2" t="s">
        <v>0</v>
      </c>
      <c r="B36" s="2" t="s">
        <v>1</v>
      </c>
    </row>
    <row r="37" spans="1:3">
      <c r="A37" t="s">
        <v>124</v>
      </c>
      <c r="B37">
        <v>1</v>
      </c>
    </row>
    <row r="38" spans="1:3">
      <c r="A38" s="2" t="s">
        <v>9</v>
      </c>
      <c r="B38" s="2">
        <v>1</v>
      </c>
    </row>
    <row r="40" spans="1:3">
      <c r="A40" s="2" t="s">
        <v>47</v>
      </c>
    </row>
    <row r="41" spans="1:3">
      <c r="A41" s="2" t="s">
        <v>0</v>
      </c>
      <c r="B41" s="2" t="s">
        <v>1</v>
      </c>
    </row>
    <row r="42" spans="1:3">
      <c r="A42" t="s">
        <v>133</v>
      </c>
      <c r="B42">
        <v>5</v>
      </c>
    </row>
    <row r="43" spans="1:3">
      <c r="A43" t="s">
        <v>294</v>
      </c>
      <c r="B43">
        <v>2</v>
      </c>
    </row>
    <row r="44" spans="1:3">
      <c r="A44" t="s">
        <v>583</v>
      </c>
      <c r="B44">
        <v>1</v>
      </c>
    </row>
    <row r="45" spans="1:3">
      <c r="A45" t="s">
        <v>336</v>
      </c>
      <c r="B45">
        <v>1</v>
      </c>
    </row>
    <row r="46" spans="1:3">
      <c r="A46" t="s">
        <v>573</v>
      </c>
      <c r="B46">
        <v>3</v>
      </c>
    </row>
    <row r="47" spans="1:3">
      <c r="A47" t="s">
        <v>56</v>
      </c>
      <c r="B47">
        <v>1</v>
      </c>
    </row>
    <row r="48" spans="1:3">
      <c r="A48" t="s">
        <v>1742</v>
      </c>
      <c r="B48">
        <v>1</v>
      </c>
    </row>
    <row r="49" spans="1:2">
      <c r="A49" s="2" t="s">
        <v>9</v>
      </c>
      <c r="B49" s="2">
        <v>14</v>
      </c>
    </row>
    <row r="51" spans="1:2">
      <c r="A51" s="2" t="s">
        <v>48</v>
      </c>
    </row>
    <row r="52" spans="1:2">
      <c r="A52" s="2" t="s">
        <v>0</v>
      </c>
      <c r="B52" s="2" t="s">
        <v>1</v>
      </c>
    </row>
    <row r="53" spans="1:2">
      <c r="A53" t="s">
        <v>233</v>
      </c>
      <c r="B53">
        <v>6</v>
      </c>
    </row>
    <row r="54" spans="1:2">
      <c r="A54" t="s">
        <v>342</v>
      </c>
      <c r="B54">
        <v>2</v>
      </c>
    </row>
    <row r="55" spans="1:2">
      <c r="A55" t="s">
        <v>219</v>
      </c>
      <c r="B55">
        <v>1</v>
      </c>
    </row>
    <row r="56" spans="1:2">
      <c r="A56" t="s">
        <v>594</v>
      </c>
      <c r="B56">
        <v>1</v>
      </c>
    </row>
    <row r="57" spans="1:2">
      <c r="A57" t="s">
        <v>440</v>
      </c>
      <c r="B57">
        <v>1</v>
      </c>
    </row>
    <row r="58" spans="1:2">
      <c r="A58" s="2" t="s">
        <v>9</v>
      </c>
      <c r="B58" s="2">
        <v>11</v>
      </c>
    </row>
    <row r="60" spans="1:2">
      <c r="A60" s="2" t="s">
        <v>11</v>
      </c>
    </row>
    <row r="61" spans="1:2">
      <c r="A61" s="2" t="s">
        <v>0</v>
      </c>
      <c r="B61" s="2" t="s">
        <v>1</v>
      </c>
    </row>
    <row r="62" spans="1:2">
      <c r="A62" t="s">
        <v>1793</v>
      </c>
      <c r="B62">
        <v>1</v>
      </c>
    </row>
    <row r="63" spans="1:2">
      <c r="A63" s="2" t="s">
        <v>9</v>
      </c>
      <c r="B63" s="2">
        <v>1</v>
      </c>
    </row>
    <row r="65" spans="1:2">
      <c r="A65" s="2" t="s">
        <v>52</v>
      </c>
    </row>
    <row r="66" spans="1:2">
      <c r="A66" s="2" t="s">
        <v>0</v>
      </c>
      <c r="B66" s="2" t="s">
        <v>1</v>
      </c>
    </row>
    <row r="67" spans="1:2">
      <c r="A67" t="s">
        <v>891</v>
      </c>
      <c r="B67">
        <v>1</v>
      </c>
    </row>
    <row r="68" spans="1:2">
      <c r="A68" t="s">
        <v>1794</v>
      </c>
      <c r="B68">
        <v>1</v>
      </c>
    </row>
    <row r="69" spans="1:2">
      <c r="A69" t="s">
        <v>859</v>
      </c>
      <c r="B69">
        <v>2</v>
      </c>
    </row>
    <row r="70" spans="1:2">
      <c r="A70" t="s">
        <v>679</v>
      </c>
      <c r="B70">
        <v>4</v>
      </c>
    </row>
    <row r="71" spans="1:2">
      <c r="A71" s="2" t="s">
        <v>9</v>
      </c>
      <c r="B71" s="2">
        <v>8</v>
      </c>
    </row>
    <row r="73" spans="1:2">
      <c r="A73" s="2" t="s">
        <v>51</v>
      </c>
    </row>
    <row r="74" spans="1:2">
      <c r="A74" s="2" t="s">
        <v>0</v>
      </c>
      <c r="B74" s="2" t="s">
        <v>1</v>
      </c>
    </row>
    <row r="75" spans="1:2">
      <c r="A75" t="s">
        <v>739</v>
      </c>
      <c r="B75">
        <v>1</v>
      </c>
    </row>
    <row r="76" spans="1:2">
      <c r="A76" s="2" t="s">
        <v>9</v>
      </c>
      <c r="B76" s="2">
        <v>1</v>
      </c>
    </row>
    <row r="78" spans="1:2">
      <c r="A78" s="2" t="s">
        <v>50</v>
      </c>
    </row>
    <row r="79" spans="1:2">
      <c r="A79" s="2" t="s">
        <v>0</v>
      </c>
      <c r="B79" s="2" t="s">
        <v>1</v>
      </c>
    </row>
    <row r="80" spans="1:2">
      <c r="A80" t="s">
        <v>25</v>
      </c>
      <c r="B80">
        <v>1</v>
      </c>
    </row>
    <row r="81" spans="1:2">
      <c r="A81" t="s">
        <v>1795</v>
      </c>
      <c r="B81">
        <v>1</v>
      </c>
    </row>
    <row r="82" spans="1:2">
      <c r="A82" t="s">
        <v>86</v>
      </c>
      <c r="B82">
        <v>1</v>
      </c>
    </row>
    <row r="83" spans="1:2">
      <c r="A83" t="s">
        <v>348</v>
      </c>
      <c r="B83">
        <v>1</v>
      </c>
    </row>
    <row r="84" spans="1:2">
      <c r="A84" t="s">
        <v>461</v>
      </c>
      <c r="B84">
        <v>1</v>
      </c>
    </row>
    <row r="85" spans="1:2">
      <c r="A85" s="2" t="s">
        <v>9</v>
      </c>
      <c r="B85" s="2">
        <v>5</v>
      </c>
    </row>
    <row r="87" spans="1:2">
      <c r="A87" s="2" t="s">
        <v>54</v>
      </c>
    </row>
    <row r="88" spans="1:2">
      <c r="A88" s="2" t="s">
        <v>0</v>
      </c>
      <c r="B88" s="2" t="s">
        <v>1</v>
      </c>
    </row>
    <row r="89" spans="1:2">
      <c r="A89" t="s">
        <v>1796</v>
      </c>
      <c r="B89">
        <v>1</v>
      </c>
    </row>
    <row r="90" spans="1:2">
      <c r="A90" s="2" t="s">
        <v>9</v>
      </c>
      <c r="B90" s="2">
        <v>1</v>
      </c>
    </row>
    <row r="92" spans="1:2">
      <c r="A92" s="2" t="s">
        <v>546</v>
      </c>
    </row>
    <row r="93" spans="1:2">
      <c r="A93" s="2" t="s">
        <v>0</v>
      </c>
      <c r="B93" s="2" t="s">
        <v>1</v>
      </c>
    </row>
    <row r="94" spans="1:2">
      <c r="A94" t="s">
        <v>409</v>
      </c>
      <c r="B94">
        <v>1</v>
      </c>
    </row>
    <row r="95" spans="1:2">
      <c r="A95" t="s">
        <v>493</v>
      </c>
      <c r="B95">
        <v>1</v>
      </c>
    </row>
    <row r="96" spans="1:2">
      <c r="A96" s="2" t="s">
        <v>9</v>
      </c>
      <c r="B96" s="2">
        <v>2</v>
      </c>
    </row>
    <row r="98" spans="1:2">
      <c r="A98" s="2" t="s">
        <v>53</v>
      </c>
    </row>
    <row r="99" spans="1:2">
      <c r="A99" s="2" t="s">
        <v>0</v>
      </c>
      <c r="B99" s="2" t="s">
        <v>1</v>
      </c>
    </row>
    <row r="100" spans="1:2">
      <c r="A100" t="s">
        <v>253</v>
      </c>
      <c r="B100">
        <v>1</v>
      </c>
    </row>
    <row r="101" spans="1:2">
      <c r="A101" t="s">
        <v>628</v>
      </c>
      <c r="B101">
        <v>1</v>
      </c>
    </row>
    <row r="102" spans="1:2">
      <c r="A102" s="2" t="s">
        <v>9</v>
      </c>
      <c r="B102" s="2">
        <v>2</v>
      </c>
    </row>
    <row r="104" spans="1:2">
      <c r="A104" s="2" t="s">
        <v>537</v>
      </c>
    </row>
    <row r="105" spans="1:2">
      <c r="A105" s="2" t="s">
        <v>0</v>
      </c>
      <c r="B105" s="2" t="s">
        <v>1</v>
      </c>
    </row>
    <row r="106" spans="1:2">
      <c r="A106" t="s">
        <v>661</v>
      </c>
      <c r="B106">
        <v>1</v>
      </c>
    </row>
    <row r="107" spans="1:2">
      <c r="A107" t="s">
        <v>1797</v>
      </c>
      <c r="B107">
        <v>1</v>
      </c>
    </row>
    <row r="108" spans="1:2">
      <c r="A108" s="2" t="s">
        <v>9</v>
      </c>
      <c r="B108" s="2">
        <v>2</v>
      </c>
    </row>
    <row r="110" spans="1:2">
      <c r="A110" s="2" t="s">
        <v>49</v>
      </c>
    </row>
    <row r="111" spans="1:2">
      <c r="A111" s="2" t="s">
        <v>0</v>
      </c>
      <c r="B111" s="2" t="s">
        <v>1</v>
      </c>
    </row>
    <row r="112" spans="1:2">
      <c r="A112" t="s">
        <v>154</v>
      </c>
      <c r="B112">
        <v>3</v>
      </c>
    </row>
    <row r="113" spans="1:2">
      <c r="A113" s="2" t="s">
        <v>9</v>
      </c>
      <c r="B113" s="2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O4681"/>
  <sheetViews>
    <sheetView topLeftCell="G3" workbookViewId="0">
      <selection activeCell="L15" sqref="L15"/>
    </sheetView>
  </sheetViews>
  <sheetFormatPr defaultRowHeight="14.45"/>
  <cols>
    <col min="1" max="1" width="59.7109375" customWidth="1"/>
    <col min="2" max="2" width="21" customWidth="1"/>
    <col min="5" max="5" width="23.85546875" bestFit="1" customWidth="1"/>
    <col min="6" max="6" width="15.85546875" bestFit="1" customWidth="1"/>
  </cols>
  <sheetData>
    <row r="1" spans="1:15" ht="26.45" thickBot="1">
      <c r="A1" s="3" t="s">
        <v>0</v>
      </c>
      <c r="B1" s="3" t="s">
        <v>2</v>
      </c>
      <c r="C1" s="3" t="s">
        <v>1</v>
      </c>
    </row>
    <row r="2" spans="1:15" ht="15" thickBot="1">
      <c r="A2" s="3" t="s">
        <v>1061</v>
      </c>
      <c r="B2" s="3" t="s">
        <v>1798</v>
      </c>
      <c r="C2" s="4">
        <v>2</v>
      </c>
    </row>
    <row r="3" spans="1:15" ht="15" thickBot="1">
      <c r="A3" s="3" t="s">
        <v>590</v>
      </c>
      <c r="B3" s="3" t="s">
        <v>19</v>
      </c>
      <c r="C3" s="4">
        <v>27</v>
      </c>
    </row>
    <row r="4" spans="1:15" ht="15" thickBot="1">
      <c r="A4" s="3" t="s">
        <v>1799</v>
      </c>
      <c r="B4" s="3" t="s">
        <v>19</v>
      </c>
      <c r="C4" s="4">
        <v>2</v>
      </c>
      <c r="E4" s="7" t="s">
        <v>7</v>
      </c>
      <c r="F4" t="s">
        <v>8</v>
      </c>
      <c r="G4" t="s">
        <v>9</v>
      </c>
      <c r="H4" t="s">
        <v>1071</v>
      </c>
      <c r="K4" t="s">
        <v>1800</v>
      </c>
      <c r="M4" t="s">
        <v>1801</v>
      </c>
      <c r="N4" t="s">
        <v>9</v>
      </c>
      <c r="O4" t="s">
        <v>10</v>
      </c>
    </row>
    <row r="5" spans="1:15" ht="15" thickBot="1">
      <c r="A5" s="3" t="s">
        <v>21</v>
      </c>
      <c r="B5" s="3" t="s">
        <v>19</v>
      </c>
      <c r="C5" s="4">
        <v>8</v>
      </c>
      <c r="E5" s="8" t="s">
        <v>61</v>
      </c>
      <c r="F5">
        <v>1862</v>
      </c>
      <c r="G5">
        <v>3893</v>
      </c>
      <c r="H5">
        <f>F5/G5</f>
        <v>0.47829437451836632</v>
      </c>
      <c r="K5" t="s">
        <v>61</v>
      </c>
      <c r="M5">
        <f>1862+1+9+10</f>
        <v>1882</v>
      </c>
      <c r="N5">
        <v>3893</v>
      </c>
      <c r="O5">
        <f>M5/N5</f>
        <v>0.4834318006678654</v>
      </c>
    </row>
    <row r="6" spans="1:15" ht="15" thickBot="1">
      <c r="A6" s="3" t="s">
        <v>167</v>
      </c>
      <c r="B6" s="3" t="s">
        <v>1802</v>
      </c>
      <c r="C6" s="4">
        <v>210</v>
      </c>
      <c r="E6" s="8" t="s">
        <v>1803</v>
      </c>
      <c r="F6">
        <v>1</v>
      </c>
      <c r="G6">
        <v>3893</v>
      </c>
      <c r="H6">
        <f t="shared" ref="H6:H49" si="0">F6/G6</f>
        <v>2.5687130747495504E-4</v>
      </c>
      <c r="K6" t="s">
        <v>30</v>
      </c>
      <c r="M6">
        <f>2966+299</f>
        <v>3265</v>
      </c>
      <c r="N6">
        <v>3893</v>
      </c>
      <c r="O6">
        <f t="shared" ref="O6:O9" si="1">M6/N6</f>
        <v>0.83868481890572821</v>
      </c>
    </row>
    <row r="7" spans="1:15" ht="15" thickBot="1">
      <c r="A7" s="3" t="s">
        <v>639</v>
      </c>
      <c r="B7" s="3" t="s">
        <v>138</v>
      </c>
      <c r="C7" s="4">
        <v>21</v>
      </c>
      <c r="E7" s="8" t="s">
        <v>1804</v>
      </c>
      <c r="F7">
        <v>9</v>
      </c>
      <c r="G7">
        <v>3893</v>
      </c>
      <c r="H7">
        <f t="shared" si="0"/>
        <v>2.3118417672745952E-3</v>
      </c>
      <c r="K7" t="s">
        <v>98</v>
      </c>
      <c r="M7">
        <f>170+1792</f>
        <v>1962</v>
      </c>
      <c r="N7">
        <v>3893</v>
      </c>
      <c r="O7">
        <f t="shared" si="1"/>
        <v>0.50398150526586183</v>
      </c>
    </row>
    <row r="8" spans="1:15" ht="15" thickBot="1">
      <c r="A8" s="3" t="s">
        <v>165</v>
      </c>
      <c r="B8" s="3" t="s">
        <v>61</v>
      </c>
      <c r="C8" s="4">
        <v>55</v>
      </c>
      <c r="E8" s="8" t="s">
        <v>98</v>
      </c>
      <c r="F8">
        <v>170</v>
      </c>
      <c r="G8">
        <v>3893</v>
      </c>
      <c r="H8">
        <f t="shared" si="0"/>
        <v>4.3668122270742356E-2</v>
      </c>
      <c r="K8" t="s">
        <v>1805</v>
      </c>
      <c r="M8">
        <v>32</v>
      </c>
      <c r="N8">
        <v>3893</v>
      </c>
      <c r="O8">
        <f t="shared" si="1"/>
        <v>8.2198818391985614E-3</v>
      </c>
    </row>
    <row r="9" spans="1:15" ht="15" thickBot="1">
      <c r="A9" s="3" t="s">
        <v>218</v>
      </c>
      <c r="B9" s="3" t="s">
        <v>19</v>
      </c>
      <c r="C9" s="4">
        <v>57</v>
      </c>
      <c r="E9" s="8" t="s">
        <v>22</v>
      </c>
      <c r="F9">
        <v>729</v>
      </c>
      <c r="G9">
        <v>3893</v>
      </c>
      <c r="H9">
        <f t="shared" si="0"/>
        <v>0.18725918314924223</v>
      </c>
      <c r="K9" t="s">
        <v>138</v>
      </c>
      <c r="M9">
        <f>819+79</f>
        <v>898</v>
      </c>
      <c r="N9">
        <v>3893</v>
      </c>
      <c r="O9">
        <f t="shared" si="1"/>
        <v>0.23067043411250962</v>
      </c>
    </row>
    <row r="10" spans="1:15" ht="15" thickBot="1">
      <c r="A10" s="3" t="s">
        <v>405</v>
      </c>
      <c r="B10" s="3" t="s">
        <v>118</v>
      </c>
      <c r="C10" s="4">
        <v>29</v>
      </c>
      <c r="E10" s="8" t="s">
        <v>125</v>
      </c>
      <c r="F10">
        <v>1792</v>
      </c>
      <c r="G10">
        <v>3893</v>
      </c>
      <c r="H10">
        <f t="shared" si="0"/>
        <v>0.46031338299511942</v>
      </c>
    </row>
    <row r="11" spans="1:15" ht="15" thickBot="1">
      <c r="A11" s="3" t="s">
        <v>593</v>
      </c>
      <c r="B11" s="3" t="s">
        <v>19</v>
      </c>
      <c r="C11" s="4">
        <v>73</v>
      </c>
      <c r="E11" s="8" t="s">
        <v>1806</v>
      </c>
      <c r="F11">
        <v>1</v>
      </c>
      <c r="G11">
        <v>3893</v>
      </c>
      <c r="H11">
        <f t="shared" si="0"/>
        <v>2.5687130747495504E-4</v>
      </c>
    </row>
    <row r="12" spans="1:15" ht="15" thickBot="1">
      <c r="A12" s="3" t="s">
        <v>143</v>
      </c>
      <c r="B12" s="3" t="s">
        <v>26</v>
      </c>
      <c r="C12" s="4">
        <v>110</v>
      </c>
      <c r="E12" s="8" t="s">
        <v>1807</v>
      </c>
      <c r="F12">
        <v>10</v>
      </c>
      <c r="G12">
        <v>3893</v>
      </c>
      <c r="H12">
        <f t="shared" si="0"/>
        <v>2.5687130747495505E-3</v>
      </c>
    </row>
    <row r="13" spans="1:15" ht="15" thickBot="1">
      <c r="A13" s="3" t="s">
        <v>1324</v>
      </c>
      <c r="B13" s="3" t="s">
        <v>138</v>
      </c>
      <c r="C13" s="4">
        <v>57</v>
      </c>
      <c r="E13" s="8" t="s">
        <v>1808</v>
      </c>
      <c r="F13">
        <v>1</v>
      </c>
      <c r="G13">
        <v>3893</v>
      </c>
      <c r="H13">
        <f t="shared" si="0"/>
        <v>2.5687130747495504E-4</v>
      </c>
    </row>
    <row r="14" spans="1:15" ht="15" thickBot="1">
      <c r="A14" s="3" t="s">
        <v>661</v>
      </c>
      <c r="B14" s="3" t="s">
        <v>138</v>
      </c>
      <c r="C14" s="4">
        <v>125</v>
      </c>
      <c r="E14" s="8" t="s">
        <v>1805</v>
      </c>
      <c r="F14">
        <v>31</v>
      </c>
      <c r="G14">
        <v>3893</v>
      </c>
      <c r="H14">
        <f t="shared" si="0"/>
        <v>7.9630105317236057E-3</v>
      </c>
    </row>
    <row r="15" spans="1:15" ht="15" thickBot="1">
      <c r="A15" s="3" t="s">
        <v>555</v>
      </c>
      <c r="B15" s="3" t="s">
        <v>118</v>
      </c>
      <c r="C15" s="4">
        <v>139</v>
      </c>
      <c r="E15" s="8" t="s">
        <v>1809</v>
      </c>
      <c r="F15">
        <v>3</v>
      </c>
      <c r="G15">
        <v>3893</v>
      </c>
      <c r="H15">
        <f t="shared" si="0"/>
        <v>7.7061392242486519E-4</v>
      </c>
    </row>
    <row r="16" spans="1:15" ht="15" thickBot="1">
      <c r="A16" s="3" t="s">
        <v>230</v>
      </c>
      <c r="B16" s="3" t="s">
        <v>61</v>
      </c>
      <c r="C16" s="4">
        <v>48</v>
      </c>
      <c r="E16" s="8" t="s">
        <v>1802</v>
      </c>
      <c r="F16">
        <v>2963</v>
      </c>
      <c r="G16">
        <v>3893</v>
      </c>
      <c r="H16">
        <f t="shared" si="0"/>
        <v>0.76110968404829182</v>
      </c>
    </row>
    <row r="17" spans="1:8" ht="15" thickBot="1">
      <c r="A17" s="3" t="s">
        <v>1027</v>
      </c>
      <c r="B17" s="3" t="s">
        <v>1802</v>
      </c>
      <c r="C17" s="4">
        <v>14</v>
      </c>
      <c r="E17" s="8" t="s">
        <v>1810</v>
      </c>
      <c r="F17">
        <v>299</v>
      </c>
      <c r="G17">
        <v>3893</v>
      </c>
      <c r="H17">
        <f t="shared" si="0"/>
        <v>7.6804520935011555E-2</v>
      </c>
    </row>
    <row r="18" spans="1:8" ht="15" thickBot="1">
      <c r="A18" s="3" t="s">
        <v>1030</v>
      </c>
      <c r="B18" s="3" t="s">
        <v>61</v>
      </c>
      <c r="C18" s="4">
        <v>4</v>
      </c>
      <c r="E18" s="8" t="s">
        <v>32</v>
      </c>
      <c r="F18">
        <v>79</v>
      </c>
      <c r="G18">
        <v>3893</v>
      </c>
      <c r="H18">
        <f t="shared" si="0"/>
        <v>2.029283329052145E-2</v>
      </c>
    </row>
    <row r="19" spans="1:8" ht="15" thickBot="1">
      <c r="A19" s="3" t="s">
        <v>282</v>
      </c>
      <c r="B19" s="3" t="s">
        <v>22</v>
      </c>
      <c r="C19" s="4">
        <v>61</v>
      </c>
      <c r="E19" s="8" t="s">
        <v>34</v>
      </c>
      <c r="F19">
        <v>1789</v>
      </c>
      <c r="G19">
        <v>3893</v>
      </c>
      <c r="H19">
        <f t="shared" si="0"/>
        <v>0.45954276907269459</v>
      </c>
    </row>
    <row r="20" spans="1:8" ht="15" thickBot="1">
      <c r="A20" s="3" t="s">
        <v>124</v>
      </c>
      <c r="B20" s="3" t="s">
        <v>125</v>
      </c>
      <c r="C20" s="4">
        <v>242</v>
      </c>
      <c r="E20" s="8" t="s">
        <v>138</v>
      </c>
      <c r="F20">
        <v>819</v>
      </c>
      <c r="G20">
        <v>3893</v>
      </c>
      <c r="H20">
        <f t="shared" si="0"/>
        <v>0.2103776008219882</v>
      </c>
    </row>
    <row r="21" spans="1:8" ht="15" thickBot="1">
      <c r="A21" s="3" t="s">
        <v>1770</v>
      </c>
      <c r="B21" s="3" t="s">
        <v>61</v>
      </c>
      <c r="C21" s="4">
        <v>3</v>
      </c>
      <c r="E21" s="8" t="s">
        <v>12</v>
      </c>
      <c r="F21">
        <v>10558</v>
      </c>
      <c r="G21">
        <v>3893</v>
      </c>
      <c r="H21">
        <f t="shared" si="0"/>
        <v>2.7120472643205753</v>
      </c>
    </row>
    <row r="22" spans="1:8" ht="15" thickBot="1">
      <c r="A22" s="3" t="s">
        <v>302</v>
      </c>
      <c r="B22" s="3" t="s">
        <v>34</v>
      </c>
      <c r="C22" s="4">
        <v>81</v>
      </c>
      <c r="G22">
        <v>3893</v>
      </c>
      <c r="H22">
        <f t="shared" si="0"/>
        <v>0</v>
      </c>
    </row>
    <row r="23" spans="1:8" ht="15" thickBot="1">
      <c r="A23" s="3" t="s">
        <v>474</v>
      </c>
      <c r="B23" s="3" t="s">
        <v>26</v>
      </c>
      <c r="C23" s="4">
        <v>61</v>
      </c>
      <c r="G23">
        <v>3893</v>
      </c>
      <c r="H23">
        <f t="shared" si="0"/>
        <v>0</v>
      </c>
    </row>
    <row r="24" spans="1:8" ht="15" thickBot="1">
      <c r="A24" s="3" t="s">
        <v>1506</v>
      </c>
      <c r="B24" s="3" t="s">
        <v>22</v>
      </c>
      <c r="C24" s="4">
        <v>13</v>
      </c>
      <c r="G24">
        <v>3893</v>
      </c>
      <c r="H24">
        <f t="shared" si="0"/>
        <v>0</v>
      </c>
    </row>
    <row r="25" spans="1:8" ht="15" thickBot="1">
      <c r="A25" s="3" t="s">
        <v>1811</v>
      </c>
      <c r="B25" s="3" t="s">
        <v>125</v>
      </c>
      <c r="C25" s="4">
        <v>2</v>
      </c>
      <c r="G25">
        <v>3893</v>
      </c>
      <c r="H25">
        <f t="shared" si="0"/>
        <v>0</v>
      </c>
    </row>
    <row r="26" spans="1:8" ht="15" thickBot="1">
      <c r="A26" s="3" t="s">
        <v>27</v>
      </c>
      <c r="B26" s="3" t="s">
        <v>19</v>
      </c>
      <c r="C26" s="4">
        <v>71</v>
      </c>
      <c r="G26">
        <v>3893</v>
      </c>
      <c r="H26">
        <f t="shared" si="0"/>
        <v>0</v>
      </c>
    </row>
    <row r="27" spans="1:8" ht="15" thickBot="1">
      <c r="A27" s="3" t="s">
        <v>647</v>
      </c>
      <c r="B27" s="3" t="s">
        <v>22</v>
      </c>
      <c r="C27" s="4">
        <v>16</v>
      </c>
      <c r="G27">
        <v>3893</v>
      </c>
      <c r="H27">
        <f t="shared" si="0"/>
        <v>0</v>
      </c>
    </row>
    <row r="28" spans="1:8" ht="15" thickBot="1">
      <c r="A28" s="3" t="s">
        <v>179</v>
      </c>
      <c r="B28" s="3" t="s">
        <v>1802</v>
      </c>
      <c r="C28" s="4">
        <v>63</v>
      </c>
      <c r="G28">
        <v>3893</v>
      </c>
      <c r="H28">
        <f t="shared" si="0"/>
        <v>0</v>
      </c>
    </row>
    <row r="29" spans="1:8" ht="15" thickBot="1">
      <c r="A29" s="3" t="s">
        <v>987</v>
      </c>
      <c r="B29" s="3" t="s">
        <v>26</v>
      </c>
      <c r="C29" s="4">
        <v>10</v>
      </c>
      <c r="G29">
        <v>3893</v>
      </c>
      <c r="H29">
        <f t="shared" si="0"/>
        <v>0</v>
      </c>
    </row>
    <row r="30" spans="1:8" ht="15" thickBot="1">
      <c r="A30" s="3" t="s">
        <v>1812</v>
      </c>
      <c r="B30" s="3" t="s">
        <v>26</v>
      </c>
      <c r="C30" s="4">
        <v>1</v>
      </c>
      <c r="G30">
        <v>3893</v>
      </c>
      <c r="H30">
        <f t="shared" si="0"/>
        <v>0</v>
      </c>
    </row>
    <row r="31" spans="1:8" ht="15" thickBot="1">
      <c r="A31" s="3" t="s">
        <v>977</v>
      </c>
      <c r="B31" s="3" t="s">
        <v>1802</v>
      </c>
      <c r="C31" s="4">
        <v>27</v>
      </c>
      <c r="G31">
        <v>3893</v>
      </c>
      <c r="H31">
        <f t="shared" si="0"/>
        <v>0</v>
      </c>
    </row>
    <row r="32" spans="1:8" ht="15" thickBot="1">
      <c r="A32" s="3" t="s">
        <v>817</v>
      </c>
      <c r="B32" s="3" t="s">
        <v>118</v>
      </c>
      <c r="C32" s="4">
        <v>26</v>
      </c>
      <c r="G32">
        <v>3893</v>
      </c>
      <c r="H32">
        <f t="shared" si="0"/>
        <v>0</v>
      </c>
    </row>
    <row r="33" spans="1:8" ht="15" thickBot="1">
      <c r="A33" s="3" t="s">
        <v>1813</v>
      </c>
      <c r="B33" s="3" t="s">
        <v>26</v>
      </c>
      <c r="C33" s="4">
        <v>3</v>
      </c>
      <c r="G33">
        <v>3893</v>
      </c>
      <c r="H33">
        <f t="shared" si="0"/>
        <v>0</v>
      </c>
    </row>
    <row r="34" spans="1:8" ht="15" thickBot="1">
      <c r="A34" s="3" t="s">
        <v>231</v>
      </c>
      <c r="B34" s="3" t="s">
        <v>1802</v>
      </c>
      <c r="C34" s="4">
        <v>86</v>
      </c>
      <c r="G34">
        <v>3893</v>
      </c>
      <c r="H34">
        <f t="shared" si="0"/>
        <v>0</v>
      </c>
    </row>
    <row r="35" spans="1:8" ht="15" thickBot="1">
      <c r="A35" s="3" t="s">
        <v>56</v>
      </c>
      <c r="B35" s="3" t="s">
        <v>1814</v>
      </c>
      <c r="C35" s="4">
        <v>59</v>
      </c>
      <c r="G35">
        <v>3893</v>
      </c>
      <c r="H35">
        <f t="shared" si="0"/>
        <v>0</v>
      </c>
    </row>
    <row r="36" spans="1:8" ht="15" thickBot="1">
      <c r="A36" s="3" t="s">
        <v>103</v>
      </c>
      <c r="B36" s="3" t="s">
        <v>125</v>
      </c>
      <c r="C36" s="4">
        <v>360</v>
      </c>
      <c r="G36">
        <v>3893</v>
      </c>
      <c r="H36">
        <f t="shared" si="0"/>
        <v>0</v>
      </c>
    </row>
    <row r="37" spans="1:8" ht="15" thickBot="1">
      <c r="A37" s="3" t="s">
        <v>572</v>
      </c>
      <c r="B37" s="3" t="s">
        <v>19</v>
      </c>
      <c r="C37" s="4">
        <v>46</v>
      </c>
      <c r="G37">
        <v>3893</v>
      </c>
      <c r="H37">
        <f t="shared" si="0"/>
        <v>0</v>
      </c>
    </row>
    <row r="38" spans="1:8" ht="15" thickBot="1">
      <c r="A38" s="3" t="s">
        <v>1815</v>
      </c>
      <c r="B38" s="3" t="s">
        <v>22</v>
      </c>
      <c r="C38" s="4">
        <v>6</v>
      </c>
      <c r="G38">
        <v>3893</v>
      </c>
      <c r="H38">
        <f t="shared" si="0"/>
        <v>0</v>
      </c>
    </row>
    <row r="39" spans="1:8" ht="15" thickBot="1">
      <c r="A39" s="3" t="s">
        <v>130</v>
      </c>
      <c r="B39" s="3" t="s">
        <v>64</v>
      </c>
      <c r="C39" s="4">
        <v>187</v>
      </c>
      <c r="G39">
        <v>3893</v>
      </c>
      <c r="H39">
        <f t="shared" si="0"/>
        <v>0</v>
      </c>
    </row>
    <row r="40" spans="1:8" ht="15" thickBot="1">
      <c r="A40" s="3" t="s">
        <v>132</v>
      </c>
      <c r="B40" s="3" t="s">
        <v>1802</v>
      </c>
      <c r="C40" s="4">
        <v>121</v>
      </c>
      <c r="G40">
        <v>3893</v>
      </c>
      <c r="H40">
        <f t="shared" si="0"/>
        <v>0</v>
      </c>
    </row>
    <row r="41" spans="1:8" ht="15" thickBot="1">
      <c r="A41" s="3" t="s">
        <v>23</v>
      </c>
      <c r="B41" s="3" t="s">
        <v>22</v>
      </c>
      <c r="C41" s="4">
        <v>11</v>
      </c>
      <c r="G41">
        <v>3893</v>
      </c>
      <c r="H41">
        <f t="shared" si="0"/>
        <v>0</v>
      </c>
    </row>
    <row r="42" spans="1:8" ht="15" thickBot="1">
      <c r="A42" s="3" t="s">
        <v>133</v>
      </c>
      <c r="B42" s="3" t="s">
        <v>1802</v>
      </c>
      <c r="C42" s="4">
        <v>400</v>
      </c>
      <c r="G42">
        <v>3893</v>
      </c>
      <c r="H42">
        <f t="shared" si="0"/>
        <v>0</v>
      </c>
    </row>
    <row r="43" spans="1:8" ht="15" thickBot="1">
      <c r="A43" s="3" t="s">
        <v>176</v>
      </c>
      <c r="B43" s="3" t="s">
        <v>34</v>
      </c>
      <c r="C43" s="4">
        <v>146</v>
      </c>
      <c r="G43">
        <v>3893</v>
      </c>
      <c r="H43">
        <f t="shared" si="0"/>
        <v>0</v>
      </c>
    </row>
    <row r="44" spans="1:8" ht="15" thickBot="1">
      <c r="A44" s="3" t="s">
        <v>94</v>
      </c>
      <c r="B44" s="3" t="s">
        <v>1802</v>
      </c>
      <c r="C44" s="4">
        <v>103</v>
      </c>
      <c r="G44">
        <v>3893</v>
      </c>
      <c r="H44">
        <f t="shared" si="0"/>
        <v>0</v>
      </c>
    </row>
    <row r="45" spans="1:8" ht="15" thickBot="1">
      <c r="A45" s="3" t="s">
        <v>1816</v>
      </c>
      <c r="B45" s="3" t="s">
        <v>1814</v>
      </c>
      <c r="C45" s="4">
        <v>1</v>
      </c>
      <c r="G45">
        <v>3893</v>
      </c>
      <c r="H45">
        <f t="shared" si="0"/>
        <v>0</v>
      </c>
    </row>
    <row r="46" spans="1:8" ht="15" thickBot="1">
      <c r="A46" s="3" t="s">
        <v>178</v>
      </c>
      <c r="B46" s="3" t="s">
        <v>1802</v>
      </c>
      <c r="C46" s="4">
        <v>93</v>
      </c>
      <c r="G46">
        <v>3893</v>
      </c>
      <c r="H46">
        <f t="shared" si="0"/>
        <v>0</v>
      </c>
    </row>
    <row r="47" spans="1:8" ht="15" thickBot="1">
      <c r="A47" s="3" t="s">
        <v>74</v>
      </c>
      <c r="B47" s="3" t="s">
        <v>1802</v>
      </c>
      <c r="C47" s="4">
        <v>73</v>
      </c>
      <c r="G47">
        <v>3893</v>
      </c>
      <c r="H47">
        <f t="shared" si="0"/>
        <v>0</v>
      </c>
    </row>
    <row r="48" spans="1:8" ht="15" thickBot="1">
      <c r="A48" s="3" t="s">
        <v>1082</v>
      </c>
      <c r="B48" s="3" t="s">
        <v>1814</v>
      </c>
      <c r="C48" s="4">
        <v>6</v>
      </c>
      <c r="G48">
        <v>3893</v>
      </c>
      <c r="H48">
        <f t="shared" si="0"/>
        <v>0</v>
      </c>
    </row>
    <row r="49" spans="1:8" ht="15" thickBot="1">
      <c r="A49" s="3" t="s">
        <v>279</v>
      </c>
      <c r="B49" s="3" t="s">
        <v>560</v>
      </c>
      <c r="C49" s="4">
        <v>77</v>
      </c>
      <c r="G49">
        <v>3893</v>
      </c>
      <c r="H49">
        <f t="shared" si="0"/>
        <v>0</v>
      </c>
    </row>
    <row r="50" spans="1:8" ht="15" thickBot="1">
      <c r="A50" s="3" t="s">
        <v>1817</v>
      </c>
      <c r="B50" s="3" t="s">
        <v>560</v>
      </c>
      <c r="C50" s="4">
        <v>38</v>
      </c>
    </row>
    <row r="51" spans="1:8" ht="15" thickBot="1">
      <c r="A51" s="3" t="s">
        <v>1818</v>
      </c>
      <c r="B51" s="3" t="s">
        <v>22</v>
      </c>
      <c r="C51" s="4">
        <v>3</v>
      </c>
    </row>
    <row r="52" spans="1:8" ht="15" thickBot="1">
      <c r="A52" s="3" t="s">
        <v>1819</v>
      </c>
      <c r="B52" s="3" t="s">
        <v>26</v>
      </c>
      <c r="C52" s="4">
        <v>10</v>
      </c>
    </row>
    <row r="53" spans="1:8" ht="15" thickBot="1">
      <c r="A53" s="3" t="s">
        <v>779</v>
      </c>
      <c r="B53" s="3" t="s">
        <v>115</v>
      </c>
      <c r="C53" s="4">
        <v>6</v>
      </c>
    </row>
    <row r="54" spans="1:8" ht="15" thickBot="1">
      <c r="A54" s="3" t="s">
        <v>1820</v>
      </c>
      <c r="B54" s="3" t="s">
        <v>64</v>
      </c>
      <c r="C54" s="4">
        <v>4</v>
      </c>
    </row>
    <row r="55" spans="1:8" ht="15" thickBot="1">
      <c r="A55" s="3" t="s">
        <v>112</v>
      </c>
      <c r="B55" s="3" t="s">
        <v>1798</v>
      </c>
      <c r="C55" s="4">
        <v>42</v>
      </c>
    </row>
    <row r="56" spans="1:8" ht="15" thickBot="1">
      <c r="A56" s="3" t="s">
        <v>362</v>
      </c>
      <c r="B56" s="3" t="s">
        <v>125</v>
      </c>
      <c r="C56" s="4">
        <v>8</v>
      </c>
    </row>
    <row r="57" spans="1:8" ht="15" thickBot="1">
      <c r="A57" s="3" t="s">
        <v>1116</v>
      </c>
      <c r="B57" s="3" t="s">
        <v>34</v>
      </c>
      <c r="C57" s="4">
        <v>13</v>
      </c>
    </row>
    <row r="58" spans="1:8" ht="15" thickBot="1">
      <c r="A58" s="3" t="s">
        <v>868</v>
      </c>
      <c r="B58" s="3" t="s">
        <v>138</v>
      </c>
      <c r="C58" s="4">
        <v>8</v>
      </c>
    </row>
    <row r="59" spans="1:8" ht="15" thickBot="1">
      <c r="A59" s="3" t="s">
        <v>844</v>
      </c>
      <c r="B59" s="3" t="s">
        <v>1802</v>
      </c>
      <c r="C59" s="4">
        <v>17</v>
      </c>
    </row>
    <row r="60" spans="1:8" ht="15" thickBot="1">
      <c r="A60" s="3" t="s">
        <v>385</v>
      </c>
      <c r="B60" s="3" t="s">
        <v>61</v>
      </c>
      <c r="C60" s="4">
        <v>120</v>
      </c>
    </row>
    <row r="61" spans="1:8" ht="15" thickBot="1">
      <c r="A61" s="3" t="s">
        <v>570</v>
      </c>
      <c r="B61" s="3" t="s">
        <v>19</v>
      </c>
      <c r="C61" s="4">
        <v>223</v>
      </c>
    </row>
    <row r="62" spans="1:8" ht="15" thickBot="1">
      <c r="A62" s="3" t="s">
        <v>935</v>
      </c>
      <c r="B62" s="3" t="s">
        <v>138</v>
      </c>
      <c r="C62" s="4">
        <v>3</v>
      </c>
    </row>
    <row r="63" spans="1:8" ht="15" thickBot="1">
      <c r="A63" s="3" t="s">
        <v>1258</v>
      </c>
      <c r="B63" s="3" t="s">
        <v>125</v>
      </c>
      <c r="C63" s="4">
        <v>12</v>
      </c>
    </row>
    <row r="64" spans="1:8" ht="15" thickBot="1">
      <c r="A64" s="3" t="s">
        <v>307</v>
      </c>
      <c r="B64" s="3" t="s">
        <v>22</v>
      </c>
      <c r="C64" s="4">
        <v>25</v>
      </c>
    </row>
    <row r="65" spans="1:3" ht="15" thickBot="1">
      <c r="A65" s="3" t="s">
        <v>558</v>
      </c>
      <c r="B65" s="3" t="s">
        <v>560</v>
      </c>
      <c r="C65" s="4">
        <v>18</v>
      </c>
    </row>
    <row r="66" spans="1:3" ht="15" thickBot="1">
      <c r="A66" s="3" t="s">
        <v>328</v>
      </c>
      <c r="B66" s="3" t="s">
        <v>19</v>
      </c>
      <c r="C66" s="4">
        <v>96</v>
      </c>
    </row>
    <row r="67" spans="1:3" ht="15" thickBot="1">
      <c r="A67" s="3" t="s">
        <v>233</v>
      </c>
      <c r="B67" s="3" t="s">
        <v>19</v>
      </c>
      <c r="C67" s="4">
        <v>305</v>
      </c>
    </row>
    <row r="68" spans="1:3" ht="15" thickBot="1">
      <c r="A68" s="3" t="s">
        <v>97</v>
      </c>
      <c r="B68" s="3" t="s">
        <v>125</v>
      </c>
      <c r="C68" s="4">
        <v>181</v>
      </c>
    </row>
    <row r="69" spans="1:3" ht="15" thickBot="1">
      <c r="A69" s="3" t="s">
        <v>1821</v>
      </c>
      <c r="B69" s="3" t="s">
        <v>26</v>
      </c>
      <c r="C69" s="4">
        <v>20</v>
      </c>
    </row>
    <row r="70" spans="1:3" ht="15" thickBot="1">
      <c r="A70" s="3" t="s">
        <v>576</v>
      </c>
      <c r="B70" s="3" t="s">
        <v>34</v>
      </c>
      <c r="C70" s="4">
        <v>24</v>
      </c>
    </row>
    <row r="71" spans="1:3" ht="15" thickBot="1">
      <c r="A71" s="3" t="s">
        <v>157</v>
      </c>
      <c r="B71" s="3" t="s">
        <v>26</v>
      </c>
      <c r="C71" s="4">
        <v>133</v>
      </c>
    </row>
    <row r="72" spans="1:3" ht="15" thickBot="1">
      <c r="A72" s="3" t="s">
        <v>25</v>
      </c>
      <c r="B72" s="3" t="s">
        <v>26</v>
      </c>
      <c r="C72" s="4">
        <v>296</v>
      </c>
    </row>
    <row r="73" spans="1:3" ht="15" thickBot="1">
      <c r="A73" s="3" t="s">
        <v>874</v>
      </c>
      <c r="B73" s="3" t="s">
        <v>22</v>
      </c>
      <c r="C73" s="4">
        <v>4</v>
      </c>
    </row>
    <row r="74" spans="1:3" ht="15" thickBot="1">
      <c r="A74" s="3" t="s">
        <v>305</v>
      </c>
      <c r="B74" s="3" t="s">
        <v>1802</v>
      </c>
      <c r="C74" s="4">
        <v>53</v>
      </c>
    </row>
    <row r="75" spans="1:3" ht="15" thickBot="1">
      <c r="A75" s="3" t="s">
        <v>17</v>
      </c>
      <c r="B75" s="3" t="s">
        <v>1814</v>
      </c>
      <c r="C75" s="4">
        <v>70</v>
      </c>
    </row>
    <row r="76" spans="1:3" ht="15" thickBot="1">
      <c r="A76" s="3" t="s">
        <v>1822</v>
      </c>
      <c r="B76" s="3" t="s">
        <v>98</v>
      </c>
      <c r="C76" s="4">
        <v>11</v>
      </c>
    </row>
    <row r="77" spans="1:3" ht="15" thickBot="1">
      <c r="A77" s="3" t="s">
        <v>699</v>
      </c>
      <c r="B77" s="6" t="s">
        <v>1823</v>
      </c>
      <c r="C77" s="4">
        <v>54</v>
      </c>
    </row>
    <row r="78" spans="1:3" ht="15" thickBot="1">
      <c r="A78" s="3" t="s">
        <v>662</v>
      </c>
      <c r="B78" s="3" t="s">
        <v>410</v>
      </c>
      <c r="C78" s="4">
        <v>25</v>
      </c>
    </row>
    <row r="79" spans="1:3" ht="15" thickBot="1">
      <c r="A79" s="3" t="s">
        <v>163</v>
      </c>
      <c r="B79" s="3" t="s">
        <v>61</v>
      </c>
      <c r="C79" s="4">
        <v>100</v>
      </c>
    </row>
    <row r="80" spans="1:3" ht="15" thickBot="1">
      <c r="A80" s="3" t="s">
        <v>675</v>
      </c>
      <c r="B80" s="3" t="s">
        <v>19</v>
      </c>
      <c r="C80" s="4">
        <v>64</v>
      </c>
    </row>
    <row r="81" spans="1:3" ht="15" thickBot="1">
      <c r="A81" s="3" t="s">
        <v>102</v>
      </c>
      <c r="B81" s="3" t="s">
        <v>125</v>
      </c>
      <c r="C81" s="4">
        <v>89</v>
      </c>
    </row>
    <row r="82" spans="1:3" ht="15" thickBot="1">
      <c r="A82" s="3" t="s">
        <v>1261</v>
      </c>
      <c r="B82" s="3" t="s">
        <v>1802</v>
      </c>
      <c r="C82" s="4">
        <v>11</v>
      </c>
    </row>
    <row r="83" spans="1:3" ht="15" thickBot="1">
      <c r="A83" s="3" t="s">
        <v>86</v>
      </c>
      <c r="B83" s="3" t="s">
        <v>26</v>
      </c>
      <c r="C83" s="4">
        <v>136</v>
      </c>
    </row>
    <row r="84" spans="1:3" ht="15" thickBot="1">
      <c r="A84" s="3" t="s">
        <v>564</v>
      </c>
      <c r="B84" s="3" t="s">
        <v>1802</v>
      </c>
      <c r="C84" s="4">
        <v>3</v>
      </c>
    </row>
    <row r="85" spans="1:3" ht="15" thickBot="1">
      <c r="A85" s="3" t="s">
        <v>460</v>
      </c>
      <c r="B85" s="3" t="s">
        <v>1798</v>
      </c>
      <c r="C85" s="4">
        <v>9</v>
      </c>
    </row>
    <row r="86" spans="1:3" ht="15" thickBot="1">
      <c r="A86" s="3" t="s">
        <v>193</v>
      </c>
      <c r="B86" s="3" t="s">
        <v>64</v>
      </c>
      <c r="C86" s="4">
        <v>19</v>
      </c>
    </row>
    <row r="87" spans="1:3" ht="15" thickBot="1">
      <c r="A87" s="3" t="s">
        <v>271</v>
      </c>
      <c r="B87" s="3" t="s">
        <v>125</v>
      </c>
      <c r="C87" s="4">
        <v>19</v>
      </c>
    </row>
    <row r="88" spans="1:3" ht="15" thickBot="1">
      <c r="A88" s="3" t="s">
        <v>784</v>
      </c>
      <c r="B88" s="3" t="s">
        <v>1802</v>
      </c>
      <c r="C88" s="4">
        <v>41</v>
      </c>
    </row>
    <row r="89" spans="1:3" ht="15" thickBot="1">
      <c r="A89" s="3" t="s">
        <v>212</v>
      </c>
      <c r="B89" s="3" t="s">
        <v>1814</v>
      </c>
      <c r="C89" s="4">
        <v>178</v>
      </c>
    </row>
    <row r="90" spans="1:3" ht="15" thickBot="1">
      <c r="A90" s="3" t="s">
        <v>71</v>
      </c>
      <c r="B90" s="3" t="s">
        <v>34</v>
      </c>
      <c r="C90" s="4">
        <v>278</v>
      </c>
    </row>
    <row r="91" spans="1:3" ht="15" thickBot="1">
      <c r="A91" s="3" t="s">
        <v>152</v>
      </c>
      <c r="B91" s="3" t="s">
        <v>1802</v>
      </c>
      <c r="C91" s="4">
        <v>49</v>
      </c>
    </row>
    <row r="92" spans="1:3" ht="15" thickBot="1">
      <c r="A92" s="3" t="s">
        <v>148</v>
      </c>
      <c r="B92" s="3" t="s">
        <v>24</v>
      </c>
      <c r="C92" s="4">
        <v>96</v>
      </c>
    </row>
    <row r="93" spans="1:3" ht="15" thickBot="1">
      <c r="A93" s="3" t="s">
        <v>808</v>
      </c>
      <c r="B93" s="3" t="s">
        <v>1810</v>
      </c>
      <c r="C93" s="4">
        <v>13</v>
      </c>
    </row>
    <row r="94" spans="1:3" ht="15" thickBot="1">
      <c r="A94" s="3" t="s">
        <v>605</v>
      </c>
      <c r="B94" s="3" t="s">
        <v>1802</v>
      </c>
      <c r="C94" s="4">
        <v>58</v>
      </c>
    </row>
    <row r="95" spans="1:3" ht="15" thickBot="1">
      <c r="A95" s="3" t="s">
        <v>748</v>
      </c>
      <c r="B95" s="3" t="s">
        <v>1810</v>
      </c>
      <c r="C95" s="4">
        <v>15</v>
      </c>
    </row>
    <row r="96" spans="1:3" ht="15" thickBot="1">
      <c r="A96" s="3" t="s">
        <v>306</v>
      </c>
      <c r="B96" s="3" t="s">
        <v>1814</v>
      </c>
      <c r="C96" s="4">
        <v>18</v>
      </c>
    </row>
    <row r="97" spans="1:3" ht="15" thickBot="1">
      <c r="A97" s="3" t="s">
        <v>294</v>
      </c>
      <c r="B97" s="3" t="s">
        <v>1814</v>
      </c>
      <c r="C97" s="4">
        <v>107</v>
      </c>
    </row>
    <row r="98" spans="1:3" ht="15" thickBot="1">
      <c r="A98" s="3" t="s">
        <v>35</v>
      </c>
      <c r="B98" s="3" t="s">
        <v>1802</v>
      </c>
      <c r="C98" s="4">
        <v>140</v>
      </c>
    </row>
    <row r="99" spans="1:3" ht="15" thickBot="1">
      <c r="A99" s="3" t="s">
        <v>203</v>
      </c>
      <c r="B99" s="3" t="s">
        <v>1802</v>
      </c>
      <c r="C99" s="4">
        <v>29</v>
      </c>
    </row>
    <row r="100" spans="1:3" ht="15" thickBot="1">
      <c r="A100" s="3" t="s">
        <v>1375</v>
      </c>
      <c r="B100" s="3" t="s">
        <v>24</v>
      </c>
      <c r="C100" s="4">
        <v>1</v>
      </c>
    </row>
    <row r="101" spans="1:3" ht="15" thickBot="1">
      <c r="A101" s="3" t="s">
        <v>127</v>
      </c>
      <c r="B101" s="3" t="s">
        <v>64</v>
      </c>
      <c r="C101" s="4">
        <v>129</v>
      </c>
    </row>
    <row r="102" spans="1:3" ht="15" thickBot="1">
      <c r="A102" s="3" t="s">
        <v>169</v>
      </c>
      <c r="B102" s="3" t="s">
        <v>1802</v>
      </c>
      <c r="C102" s="4">
        <v>48</v>
      </c>
    </row>
    <row r="103" spans="1:3" ht="15" thickBot="1">
      <c r="A103" s="3" t="s">
        <v>714</v>
      </c>
      <c r="B103" s="3" t="s">
        <v>138</v>
      </c>
      <c r="C103" s="4">
        <v>9</v>
      </c>
    </row>
    <row r="104" spans="1:3" ht="15" thickBot="1">
      <c r="A104" s="3" t="s">
        <v>1824</v>
      </c>
      <c r="B104" s="3" t="s">
        <v>1814</v>
      </c>
      <c r="C104" s="4">
        <v>1</v>
      </c>
    </row>
    <row r="105" spans="1:3" ht="15" thickBot="1">
      <c r="A105" s="3" t="s">
        <v>697</v>
      </c>
      <c r="B105" s="3" t="s">
        <v>22</v>
      </c>
      <c r="C105" s="4">
        <v>21</v>
      </c>
    </row>
    <row r="106" spans="1:3" ht="15" thickBot="1">
      <c r="A106" s="3" t="s">
        <v>1308</v>
      </c>
      <c r="B106" s="3" t="s">
        <v>1798</v>
      </c>
      <c r="C106" s="4">
        <v>2</v>
      </c>
    </row>
    <row r="107" spans="1:3" ht="15" thickBot="1">
      <c r="A107" s="3" t="s">
        <v>747</v>
      </c>
      <c r="B107" s="3" t="s">
        <v>64</v>
      </c>
      <c r="C107" s="4">
        <v>6</v>
      </c>
    </row>
    <row r="108" spans="1:3" ht="15" thickBot="1">
      <c r="A108" s="3" t="s">
        <v>1825</v>
      </c>
      <c r="B108" s="3" t="s">
        <v>64</v>
      </c>
      <c r="C108" s="4">
        <v>1</v>
      </c>
    </row>
    <row r="109" spans="1:3" ht="15" thickBot="1">
      <c r="A109" s="3" t="s">
        <v>704</v>
      </c>
      <c r="B109" s="3" t="s">
        <v>64</v>
      </c>
      <c r="C109" s="4">
        <v>33</v>
      </c>
    </row>
    <row r="110" spans="1:3" ht="15" thickBot="1">
      <c r="A110" s="3" t="s">
        <v>1380</v>
      </c>
      <c r="B110" s="3" t="s">
        <v>26</v>
      </c>
      <c r="C110" s="4">
        <v>28</v>
      </c>
    </row>
    <row r="111" spans="1:3" ht="15" thickBot="1">
      <c r="A111" s="3" t="s">
        <v>946</v>
      </c>
      <c r="B111" s="3" t="s">
        <v>1802</v>
      </c>
      <c r="C111" s="4">
        <v>1</v>
      </c>
    </row>
    <row r="112" spans="1:3" ht="15" thickBot="1">
      <c r="A112" s="3" t="s">
        <v>1826</v>
      </c>
      <c r="B112" s="3" t="s">
        <v>138</v>
      </c>
      <c r="C112" s="4">
        <v>1</v>
      </c>
    </row>
    <row r="113" spans="1:3" ht="15" thickBot="1">
      <c r="A113" s="3" t="s">
        <v>355</v>
      </c>
      <c r="B113" s="3" t="s">
        <v>1814</v>
      </c>
      <c r="C113" s="4">
        <v>18</v>
      </c>
    </row>
    <row r="114" spans="1:3" ht="15" thickBot="1">
      <c r="A114" s="3" t="s">
        <v>1033</v>
      </c>
      <c r="B114" s="3" t="s">
        <v>26</v>
      </c>
      <c r="C114" s="4">
        <v>41</v>
      </c>
    </row>
    <row r="115" spans="1:3" ht="15" thickBot="1">
      <c r="A115" s="3" t="s">
        <v>1827</v>
      </c>
      <c r="B115" s="3" t="s">
        <v>1802</v>
      </c>
      <c r="C115" s="4">
        <v>4</v>
      </c>
    </row>
    <row r="116" spans="1:3" ht="15" thickBot="1">
      <c r="A116" s="3" t="s">
        <v>1828</v>
      </c>
      <c r="B116" s="3" t="s">
        <v>1798</v>
      </c>
      <c r="C116" s="4">
        <v>1</v>
      </c>
    </row>
    <row r="117" spans="1:3" ht="15" thickBot="1">
      <c r="A117" s="3" t="s">
        <v>710</v>
      </c>
      <c r="B117" s="3" t="s">
        <v>1810</v>
      </c>
      <c r="C117" s="4">
        <v>11</v>
      </c>
    </row>
    <row r="118" spans="1:3" ht="15" thickBot="1">
      <c r="A118" s="3" t="s">
        <v>1829</v>
      </c>
      <c r="B118" s="3" t="s">
        <v>61</v>
      </c>
      <c r="C118" s="4">
        <v>3</v>
      </c>
    </row>
    <row r="119" spans="1:3" ht="15" thickBot="1">
      <c r="A119" s="3" t="s">
        <v>162</v>
      </c>
      <c r="B119" s="3" t="s">
        <v>64</v>
      </c>
      <c r="C119" s="4">
        <v>82</v>
      </c>
    </row>
    <row r="120" spans="1:3" ht="15" thickBot="1">
      <c r="A120" s="3" t="s">
        <v>168</v>
      </c>
      <c r="B120" s="3" t="s">
        <v>61</v>
      </c>
      <c r="C120" s="4">
        <v>45</v>
      </c>
    </row>
    <row r="121" spans="1:3" ht="15" thickBot="1">
      <c r="A121" s="3" t="s">
        <v>1830</v>
      </c>
      <c r="B121" s="3" t="s">
        <v>138</v>
      </c>
      <c r="C121" s="4">
        <v>2</v>
      </c>
    </row>
    <row r="122" spans="1:3" ht="15" thickBot="1">
      <c r="A122" s="3" t="s">
        <v>498</v>
      </c>
      <c r="B122" s="3" t="s">
        <v>1798</v>
      </c>
      <c r="C122" s="4">
        <v>49</v>
      </c>
    </row>
    <row r="123" spans="1:3" ht="15" thickBot="1">
      <c r="A123" s="3" t="s">
        <v>154</v>
      </c>
      <c r="B123" s="3" t="s">
        <v>98</v>
      </c>
      <c r="C123" s="4">
        <v>132</v>
      </c>
    </row>
    <row r="124" spans="1:3" ht="15" thickBot="1">
      <c r="A124" s="3" t="s">
        <v>422</v>
      </c>
      <c r="B124" s="3" t="s">
        <v>115</v>
      </c>
      <c r="C124" s="4">
        <v>57</v>
      </c>
    </row>
    <row r="125" spans="1:3" ht="15" thickBot="1">
      <c r="A125" s="3" t="s">
        <v>569</v>
      </c>
      <c r="B125" s="3" t="s">
        <v>24</v>
      </c>
      <c r="C125" s="4">
        <v>54</v>
      </c>
    </row>
    <row r="126" spans="1:3" ht="15" thickBot="1">
      <c r="A126" s="3" t="s">
        <v>357</v>
      </c>
      <c r="B126" s="3" t="s">
        <v>125</v>
      </c>
      <c r="C126" s="4">
        <v>12</v>
      </c>
    </row>
    <row r="127" spans="1:3" ht="15" thickBot="1">
      <c r="A127" s="3" t="s">
        <v>824</v>
      </c>
      <c r="B127" s="3" t="s">
        <v>64</v>
      </c>
      <c r="C127" s="4">
        <v>13</v>
      </c>
    </row>
    <row r="128" spans="1:3" ht="15" thickBot="1">
      <c r="A128" s="3" t="s">
        <v>354</v>
      </c>
      <c r="B128" s="3" t="s">
        <v>26</v>
      </c>
      <c r="C128" s="4">
        <v>11</v>
      </c>
    </row>
    <row r="129" spans="1:3" ht="15" thickBot="1">
      <c r="A129" s="3" t="s">
        <v>723</v>
      </c>
      <c r="B129" s="3" t="s">
        <v>26</v>
      </c>
      <c r="C129" s="4">
        <v>9</v>
      </c>
    </row>
    <row r="130" spans="1:3" ht="15" thickBot="1">
      <c r="A130" s="3" t="s">
        <v>1831</v>
      </c>
      <c r="B130" s="3" t="s">
        <v>64</v>
      </c>
      <c r="C130" s="4">
        <v>2</v>
      </c>
    </row>
    <row r="131" spans="1:3" ht="15" thickBot="1">
      <c r="A131" s="3" t="s">
        <v>90</v>
      </c>
      <c r="B131" s="3" t="s">
        <v>61</v>
      </c>
      <c r="C131" s="4">
        <v>83</v>
      </c>
    </row>
    <row r="132" spans="1:3" ht="15" thickBot="1">
      <c r="A132" s="3" t="s">
        <v>181</v>
      </c>
      <c r="B132" s="3" t="s">
        <v>1802</v>
      </c>
      <c r="C132" s="4">
        <v>34</v>
      </c>
    </row>
    <row r="133" spans="1:3" ht="15" thickBot="1">
      <c r="A133" s="3" t="s">
        <v>1832</v>
      </c>
      <c r="B133" s="3" t="s">
        <v>1814</v>
      </c>
      <c r="C133" s="4">
        <v>15</v>
      </c>
    </row>
    <row r="134" spans="1:3" ht="15" thickBot="1">
      <c r="A134" s="3" t="s">
        <v>196</v>
      </c>
      <c r="B134" s="3" t="s">
        <v>115</v>
      </c>
      <c r="C134" s="4">
        <v>10</v>
      </c>
    </row>
    <row r="135" spans="1:3" ht="15" thickBot="1">
      <c r="A135" s="3" t="s">
        <v>219</v>
      </c>
      <c r="B135" s="3" t="s">
        <v>19</v>
      </c>
      <c r="C135" s="4">
        <v>218</v>
      </c>
    </row>
    <row r="136" spans="1:3" ht="15" thickBot="1">
      <c r="A136" s="3" t="s">
        <v>1512</v>
      </c>
      <c r="B136" s="3" t="s">
        <v>34</v>
      </c>
      <c r="C136" s="4">
        <v>3</v>
      </c>
    </row>
    <row r="137" spans="1:3" ht="15" thickBot="1">
      <c r="A137" s="3" t="s">
        <v>201</v>
      </c>
      <c r="B137" s="3" t="s">
        <v>1802</v>
      </c>
      <c r="C137" s="4">
        <v>135</v>
      </c>
    </row>
    <row r="138" spans="1:3" ht="15" thickBot="1">
      <c r="A138" s="3" t="s">
        <v>1833</v>
      </c>
      <c r="B138" s="3" t="s">
        <v>19</v>
      </c>
      <c r="C138" s="4">
        <v>2</v>
      </c>
    </row>
    <row r="139" spans="1:3" ht="15" thickBot="1">
      <c r="A139" s="3" t="s">
        <v>68</v>
      </c>
      <c r="B139" s="3" t="s">
        <v>1802</v>
      </c>
      <c r="C139" s="4">
        <v>36</v>
      </c>
    </row>
    <row r="140" spans="1:3" ht="15" thickBot="1">
      <c r="A140" s="3" t="s">
        <v>969</v>
      </c>
      <c r="B140" s="3" t="s">
        <v>34</v>
      </c>
      <c r="C140" s="4">
        <v>39</v>
      </c>
    </row>
    <row r="141" spans="1:3" ht="15" thickBot="1">
      <c r="A141" s="3" t="s">
        <v>237</v>
      </c>
      <c r="B141" s="3" t="s">
        <v>26</v>
      </c>
      <c r="C141" s="4">
        <v>11</v>
      </c>
    </row>
    <row r="142" spans="1:3" ht="15" thickBot="1">
      <c r="A142" s="3" t="s">
        <v>566</v>
      </c>
      <c r="B142" s="3" t="s">
        <v>34</v>
      </c>
      <c r="C142" s="4">
        <v>155</v>
      </c>
    </row>
    <row r="143" spans="1:3" ht="15" thickBot="1">
      <c r="A143" s="3" t="s">
        <v>1834</v>
      </c>
      <c r="B143" s="3" t="s">
        <v>64</v>
      </c>
      <c r="C143" s="4">
        <v>2</v>
      </c>
    </row>
    <row r="144" spans="1:3" ht="15" thickBot="1">
      <c r="A144" s="3" t="s">
        <v>209</v>
      </c>
      <c r="B144" s="3" t="s">
        <v>26</v>
      </c>
      <c r="C144" s="4">
        <v>95</v>
      </c>
    </row>
    <row r="145" spans="1:3" ht="15" thickBot="1">
      <c r="A145" s="3" t="s">
        <v>1835</v>
      </c>
      <c r="B145" s="3" t="s">
        <v>138</v>
      </c>
      <c r="C145" s="4">
        <v>7</v>
      </c>
    </row>
    <row r="146" spans="1:3" ht="15" thickBot="1">
      <c r="A146" s="3" t="s">
        <v>756</v>
      </c>
      <c r="B146" s="3" t="s">
        <v>61</v>
      </c>
      <c r="C146" s="4">
        <v>54</v>
      </c>
    </row>
    <row r="147" spans="1:3" ht="15" thickBot="1">
      <c r="A147" s="3" t="s">
        <v>459</v>
      </c>
      <c r="B147" s="3" t="s">
        <v>1798</v>
      </c>
      <c r="C147" s="4">
        <v>7</v>
      </c>
    </row>
    <row r="148" spans="1:3" ht="15" thickBot="1">
      <c r="A148" s="3" t="s">
        <v>581</v>
      </c>
      <c r="B148" s="3" t="s">
        <v>560</v>
      </c>
      <c r="C148" s="4">
        <v>62</v>
      </c>
    </row>
    <row r="149" spans="1:3" ht="15" thickBot="1">
      <c r="A149" s="3" t="s">
        <v>490</v>
      </c>
      <c r="B149" s="3" t="s">
        <v>115</v>
      </c>
      <c r="C149" s="4">
        <v>8</v>
      </c>
    </row>
    <row r="150" spans="1:3" ht="15" thickBot="1">
      <c r="A150" s="3" t="s">
        <v>804</v>
      </c>
      <c r="B150" s="3" t="s">
        <v>115</v>
      </c>
      <c r="C150" s="4">
        <v>24</v>
      </c>
    </row>
    <row r="151" spans="1:3" ht="15" thickBot="1">
      <c r="A151" s="3" t="s">
        <v>486</v>
      </c>
      <c r="B151" s="3" t="s">
        <v>560</v>
      </c>
      <c r="C151" s="4">
        <v>57</v>
      </c>
    </row>
    <row r="152" spans="1:3" ht="15" thickBot="1">
      <c r="A152" s="3" t="s">
        <v>853</v>
      </c>
      <c r="B152" s="3" t="s">
        <v>19</v>
      </c>
      <c r="C152" s="4">
        <v>28</v>
      </c>
    </row>
    <row r="153" spans="1:3" ht="15" thickBot="1">
      <c r="A153" s="3" t="s">
        <v>698</v>
      </c>
      <c r="B153" s="3" t="s">
        <v>138</v>
      </c>
      <c r="C153" s="4">
        <v>41</v>
      </c>
    </row>
    <row r="154" spans="1:3" ht="15" thickBot="1">
      <c r="A154" s="3" t="s">
        <v>628</v>
      </c>
      <c r="B154" s="3" t="s">
        <v>138</v>
      </c>
      <c r="C154" s="4">
        <v>96</v>
      </c>
    </row>
    <row r="155" spans="1:3" ht="15" thickBot="1">
      <c r="A155" s="3" t="s">
        <v>1836</v>
      </c>
      <c r="B155" s="3" t="s">
        <v>1814</v>
      </c>
      <c r="C155" s="4">
        <v>18</v>
      </c>
    </row>
    <row r="156" spans="1:3" ht="15" thickBot="1">
      <c r="A156" s="3" t="s">
        <v>342</v>
      </c>
      <c r="B156" s="3" t="s">
        <v>19</v>
      </c>
      <c r="C156" s="4">
        <v>127</v>
      </c>
    </row>
    <row r="157" spans="1:3" ht="15" thickBot="1">
      <c r="A157" s="3" t="s">
        <v>28</v>
      </c>
      <c r="B157" s="3" t="s">
        <v>22</v>
      </c>
      <c r="C157" s="4">
        <v>56</v>
      </c>
    </row>
    <row r="158" spans="1:3" ht="15" thickBot="1">
      <c r="A158" s="3" t="s">
        <v>286</v>
      </c>
      <c r="B158" s="3" t="s">
        <v>118</v>
      </c>
      <c r="C158" s="4">
        <v>35</v>
      </c>
    </row>
    <row r="159" spans="1:3" ht="15" thickBot="1">
      <c r="A159" s="3" t="s">
        <v>494</v>
      </c>
      <c r="B159" s="3" t="s">
        <v>138</v>
      </c>
      <c r="C159" s="4">
        <v>19</v>
      </c>
    </row>
    <row r="160" spans="1:3" ht="15" thickBot="1">
      <c r="A160" s="3" t="s">
        <v>1241</v>
      </c>
      <c r="B160" s="3" t="s">
        <v>138</v>
      </c>
      <c r="C160" s="4">
        <v>24</v>
      </c>
    </row>
    <row r="161" spans="1:3" ht="15" thickBot="1">
      <c r="A161" s="3" t="s">
        <v>83</v>
      </c>
      <c r="B161" s="3" t="s">
        <v>61</v>
      </c>
      <c r="C161" s="4">
        <v>152</v>
      </c>
    </row>
    <row r="162" spans="1:3" ht="15" thickBot="1">
      <c r="A162" s="3" t="s">
        <v>330</v>
      </c>
      <c r="B162" s="3" t="s">
        <v>61</v>
      </c>
      <c r="C162" s="4">
        <v>81</v>
      </c>
    </row>
    <row r="163" spans="1:3" ht="15" thickBot="1">
      <c r="A163" s="3" t="s">
        <v>371</v>
      </c>
      <c r="B163" s="3" t="s">
        <v>34</v>
      </c>
      <c r="C163" s="4">
        <v>100</v>
      </c>
    </row>
    <row r="164" spans="1:3" ht="15" thickBot="1">
      <c r="A164" s="3" t="s">
        <v>656</v>
      </c>
      <c r="B164" s="3" t="s">
        <v>560</v>
      </c>
      <c r="C164" s="4">
        <v>36</v>
      </c>
    </row>
    <row r="165" spans="1:3" ht="15" thickBot="1">
      <c r="A165" s="3" t="s">
        <v>274</v>
      </c>
      <c r="B165" s="3" t="s">
        <v>118</v>
      </c>
      <c r="C165" s="4">
        <v>43</v>
      </c>
    </row>
    <row r="166" spans="1:3" ht="15" thickBot="1">
      <c r="A166" s="3" t="s">
        <v>177</v>
      </c>
      <c r="B166" s="3" t="s">
        <v>1814</v>
      </c>
      <c r="C166" s="4">
        <v>126</v>
      </c>
    </row>
    <row r="167" spans="1:3" ht="15" thickBot="1">
      <c r="A167" s="3" t="s">
        <v>672</v>
      </c>
      <c r="B167" s="3" t="s">
        <v>22</v>
      </c>
      <c r="C167" s="4">
        <v>47</v>
      </c>
    </row>
    <row r="168" spans="1:3" ht="15" thickBot="1">
      <c r="A168" s="3" t="s">
        <v>1304</v>
      </c>
      <c r="B168" s="3" t="s">
        <v>138</v>
      </c>
      <c r="C168" s="4">
        <v>24</v>
      </c>
    </row>
    <row r="169" spans="1:3" ht="15" thickBot="1">
      <c r="A169" s="3" t="s">
        <v>1539</v>
      </c>
      <c r="B169" s="3" t="s">
        <v>138</v>
      </c>
      <c r="C169" s="4">
        <v>19</v>
      </c>
    </row>
    <row r="170" spans="1:3" ht="15" thickBot="1">
      <c r="A170" s="3" t="s">
        <v>687</v>
      </c>
      <c r="B170" s="3" t="s">
        <v>34</v>
      </c>
      <c r="C170" s="4">
        <v>56</v>
      </c>
    </row>
    <row r="171" spans="1:3" ht="15" thickBot="1">
      <c r="A171" s="3" t="s">
        <v>447</v>
      </c>
      <c r="B171" s="3" t="s">
        <v>26</v>
      </c>
      <c r="C171" s="4">
        <v>57</v>
      </c>
    </row>
    <row r="172" spans="1:3" ht="15" thickBot="1">
      <c r="A172" s="3" t="s">
        <v>965</v>
      </c>
      <c r="B172" s="3" t="s">
        <v>61</v>
      </c>
      <c r="C172" s="4">
        <v>86</v>
      </c>
    </row>
    <row r="173" spans="1:3" ht="15" thickBot="1">
      <c r="A173" s="3" t="s">
        <v>1837</v>
      </c>
      <c r="B173" s="3" t="s">
        <v>22</v>
      </c>
      <c r="C173" s="4">
        <v>21</v>
      </c>
    </row>
    <row r="174" spans="1:3" ht="15" thickBot="1">
      <c r="A174" s="3" t="s">
        <v>135</v>
      </c>
      <c r="B174" s="3" t="s">
        <v>64</v>
      </c>
      <c r="C174" s="4">
        <v>65</v>
      </c>
    </row>
    <row r="175" spans="1:3" ht="15" thickBot="1">
      <c r="A175" s="3" t="s">
        <v>1222</v>
      </c>
      <c r="B175" s="3" t="s">
        <v>1814</v>
      </c>
      <c r="C175" s="4">
        <v>22</v>
      </c>
    </row>
    <row r="176" spans="1:3" ht="15" thickBot="1">
      <c r="A176" s="3" t="s">
        <v>1838</v>
      </c>
      <c r="B176" s="3" t="s">
        <v>1802</v>
      </c>
      <c r="C176" s="4">
        <v>3</v>
      </c>
    </row>
    <row r="177" spans="1:3" ht="15" thickBot="1">
      <c r="A177" s="3" t="s">
        <v>703</v>
      </c>
      <c r="B177" s="3" t="s">
        <v>125</v>
      </c>
      <c r="C177" s="4">
        <v>22</v>
      </c>
    </row>
    <row r="178" spans="1:3" ht="15" thickBot="1">
      <c r="A178" s="3" t="s">
        <v>331</v>
      </c>
      <c r="B178" s="3" t="s">
        <v>61</v>
      </c>
      <c r="C178" s="4">
        <v>15</v>
      </c>
    </row>
    <row r="179" spans="1:3" ht="15" thickBot="1">
      <c r="A179" s="3" t="s">
        <v>1433</v>
      </c>
      <c r="B179" s="3" t="s">
        <v>61</v>
      </c>
      <c r="C179" s="4">
        <v>3</v>
      </c>
    </row>
    <row r="180" spans="1:3" ht="15" thickBot="1">
      <c r="A180" s="3" t="s">
        <v>214</v>
      </c>
      <c r="B180" s="3" t="s">
        <v>1798</v>
      </c>
      <c r="C180" s="4">
        <v>37</v>
      </c>
    </row>
    <row r="181" spans="1:3" ht="15" thickBot="1">
      <c r="A181" s="3" t="s">
        <v>627</v>
      </c>
      <c r="B181" s="3" t="s">
        <v>560</v>
      </c>
      <c r="C181" s="4">
        <v>53</v>
      </c>
    </row>
    <row r="182" spans="1:3" ht="15" thickBot="1">
      <c r="A182" s="3" t="s">
        <v>200</v>
      </c>
      <c r="B182" s="3" t="s">
        <v>125</v>
      </c>
      <c r="C182" s="4">
        <v>96</v>
      </c>
    </row>
    <row r="183" spans="1:3" ht="15" thickBot="1">
      <c r="A183" s="3" t="s">
        <v>604</v>
      </c>
      <c r="B183" s="3" t="s">
        <v>1802</v>
      </c>
      <c r="C183" s="4">
        <v>16</v>
      </c>
    </row>
    <row r="184" spans="1:3" ht="15" thickBot="1">
      <c r="A184" s="3" t="s">
        <v>151</v>
      </c>
      <c r="B184" s="3" t="s">
        <v>1802</v>
      </c>
      <c r="C184" s="4">
        <v>60</v>
      </c>
    </row>
    <row r="185" spans="1:3" ht="15" thickBot="1">
      <c r="A185" s="3" t="s">
        <v>204</v>
      </c>
      <c r="B185" s="3" t="s">
        <v>1802</v>
      </c>
      <c r="C185" s="4">
        <v>20</v>
      </c>
    </row>
    <row r="186" spans="1:3" ht="15" thickBot="1">
      <c r="A186" s="3" t="s">
        <v>1211</v>
      </c>
      <c r="B186" s="3" t="s">
        <v>125</v>
      </c>
      <c r="C186" s="4">
        <v>5</v>
      </c>
    </row>
    <row r="187" spans="1:3" ht="15" thickBot="1">
      <c r="A187" s="3" t="s">
        <v>210</v>
      </c>
      <c r="B187" s="3" t="s">
        <v>410</v>
      </c>
      <c r="C187" s="4">
        <v>23</v>
      </c>
    </row>
    <row r="188" spans="1:3" ht="15" thickBot="1">
      <c r="A188" s="3" t="s">
        <v>121</v>
      </c>
      <c r="B188" s="3" t="s">
        <v>34</v>
      </c>
      <c r="C188" s="4">
        <v>49</v>
      </c>
    </row>
    <row r="189" spans="1:3" ht="15" thickBot="1">
      <c r="A189" s="3" t="s">
        <v>77</v>
      </c>
      <c r="B189" s="3" t="s">
        <v>22</v>
      </c>
      <c r="C189" s="4">
        <v>110</v>
      </c>
    </row>
    <row r="190" spans="1:3" ht="15" thickBot="1">
      <c r="A190" s="3" t="s">
        <v>1315</v>
      </c>
      <c r="B190" s="3" t="s">
        <v>560</v>
      </c>
      <c r="C190" s="4">
        <v>33</v>
      </c>
    </row>
    <row r="191" spans="1:3" ht="15" thickBot="1">
      <c r="A191" s="3" t="s">
        <v>638</v>
      </c>
      <c r="B191" s="3" t="s">
        <v>1802</v>
      </c>
      <c r="C191" s="4">
        <v>17</v>
      </c>
    </row>
    <row r="192" spans="1:3" ht="15" thickBot="1">
      <c r="A192" s="3" t="s">
        <v>46</v>
      </c>
      <c r="B192" s="3" t="s">
        <v>1814</v>
      </c>
      <c r="C192" s="4">
        <v>38</v>
      </c>
    </row>
    <row r="193" spans="1:3" ht="15" thickBot="1">
      <c r="A193" s="3" t="s">
        <v>1738</v>
      </c>
      <c r="B193" s="3" t="s">
        <v>64</v>
      </c>
      <c r="C193" s="4">
        <v>11</v>
      </c>
    </row>
    <row r="194" spans="1:3" ht="15" thickBot="1">
      <c r="A194" s="3" t="s">
        <v>348</v>
      </c>
      <c r="B194" s="3" t="s">
        <v>26</v>
      </c>
      <c r="C194" s="4">
        <v>49</v>
      </c>
    </row>
    <row r="195" spans="1:3" ht="15" thickBot="1">
      <c r="A195" s="3" t="s">
        <v>1460</v>
      </c>
      <c r="B195" s="3" t="s">
        <v>115</v>
      </c>
      <c r="C195" s="4">
        <v>2</v>
      </c>
    </row>
    <row r="196" spans="1:3" ht="15" thickBot="1">
      <c r="A196" s="3" t="s">
        <v>206</v>
      </c>
      <c r="B196" s="3" t="s">
        <v>1798</v>
      </c>
      <c r="C196" s="4">
        <v>18</v>
      </c>
    </row>
    <row r="197" spans="1:3" ht="15" thickBot="1">
      <c r="A197" s="3" t="s">
        <v>637</v>
      </c>
      <c r="B197" s="3" t="s">
        <v>34</v>
      </c>
      <c r="C197" s="4">
        <v>3</v>
      </c>
    </row>
    <row r="198" spans="1:3" ht="15" thickBot="1">
      <c r="A198" s="3" t="s">
        <v>238</v>
      </c>
      <c r="B198" s="3" t="s">
        <v>61</v>
      </c>
      <c r="C198" s="4">
        <v>40</v>
      </c>
    </row>
    <row r="199" spans="1:3" ht="15" thickBot="1">
      <c r="A199" s="3" t="s">
        <v>215</v>
      </c>
      <c r="B199" s="3" t="s">
        <v>115</v>
      </c>
      <c r="C199" s="4">
        <v>27</v>
      </c>
    </row>
    <row r="200" spans="1:3" ht="15" thickBot="1">
      <c r="A200" s="3" t="s">
        <v>223</v>
      </c>
      <c r="B200" s="3" t="s">
        <v>34</v>
      </c>
      <c r="C200" s="4">
        <v>17</v>
      </c>
    </row>
    <row r="201" spans="1:3" ht="15" thickBot="1">
      <c r="A201" s="3" t="s">
        <v>739</v>
      </c>
      <c r="B201" s="3" t="s">
        <v>22</v>
      </c>
      <c r="C201" s="4">
        <v>17</v>
      </c>
    </row>
    <row r="202" spans="1:3" ht="15" thickBot="1">
      <c r="A202" s="3" t="s">
        <v>1839</v>
      </c>
      <c r="B202" s="3" t="s">
        <v>24</v>
      </c>
      <c r="C202" s="4">
        <v>3</v>
      </c>
    </row>
    <row r="203" spans="1:3" ht="15" thickBot="1">
      <c r="A203" s="3" t="s">
        <v>262</v>
      </c>
      <c r="B203" s="3" t="s">
        <v>26</v>
      </c>
      <c r="C203" s="4">
        <v>84</v>
      </c>
    </row>
    <row r="204" spans="1:3" ht="15" thickBot="1">
      <c r="A204" s="3" t="s">
        <v>861</v>
      </c>
      <c r="B204" s="3" t="s">
        <v>22</v>
      </c>
      <c r="C204" s="4">
        <v>24</v>
      </c>
    </row>
    <row r="205" spans="1:3" ht="15" thickBot="1">
      <c r="A205" s="3" t="s">
        <v>1505</v>
      </c>
      <c r="B205" s="3" t="s">
        <v>24</v>
      </c>
      <c r="C205" s="4">
        <v>7</v>
      </c>
    </row>
    <row r="206" spans="1:3" ht="15" thickBot="1">
      <c r="A206" s="3" t="s">
        <v>665</v>
      </c>
      <c r="B206" s="3" t="s">
        <v>61</v>
      </c>
      <c r="C206" s="4">
        <v>13</v>
      </c>
    </row>
    <row r="207" spans="1:3" ht="15" thickBot="1">
      <c r="A207" s="3" t="s">
        <v>583</v>
      </c>
      <c r="B207" s="3" t="s">
        <v>1814</v>
      </c>
      <c r="C207" s="4">
        <v>104</v>
      </c>
    </row>
    <row r="208" spans="1:3" ht="15" thickBot="1">
      <c r="A208" s="3" t="s">
        <v>737</v>
      </c>
      <c r="B208" s="3" t="s">
        <v>1802</v>
      </c>
      <c r="C208" s="4">
        <v>20</v>
      </c>
    </row>
    <row r="209" spans="1:3" ht="15" thickBot="1">
      <c r="A209" s="3" t="s">
        <v>455</v>
      </c>
      <c r="B209" s="3" t="s">
        <v>26</v>
      </c>
      <c r="C209" s="4">
        <v>117</v>
      </c>
    </row>
    <row r="210" spans="1:3" ht="15" thickBot="1">
      <c r="A210" s="3" t="s">
        <v>456</v>
      </c>
      <c r="B210" s="3" t="s">
        <v>64</v>
      </c>
      <c r="C210" s="4">
        <v>2</v>
      </c>
    </row>
    <row r="211" spans="1:3" ht="15" thickBot="1">
      <c r="A211" s="3" t="s">
        <v>869</v>
      </c>
      <c r="B211" s="3" t="s">
        <v>560</v>
      </c>
      <c r="C211" s="4">
        <v>11</v>
      </c>
    </row>
    <row r="212" spans="1:3" ht="15" thickBot="1">
      <c r="A212" s="3" t="s">
        <v>731</v>
      </c>
      <c r="B212" s="3" t="s">
        <v>1814</v>
      </c>
      <c r="C212" s="4">
        <v>7</v>
      </c>
    </row>
    <row r="213" spans="1:3" ht="15" thickBot="1">
      <c r="A213" s="3" t="s">
        <v>161</v>
      </c>
      <c r="B213" s="3" t="s">
        <v>125</v>
      </c>
      <c r="C213" s="4">
        <v>39</v>
      </c>
    </row>
    <row r="214" spans="1:3" ht="15" thickBot="1">
      <c r="A214" s="3" t="s">
        <v>607</v>
      </c>
      <c r="B214" s="3" t="s">
        <v>118</v>
      </c>
      <c r="C214" s="4">
        <v>23</v>
      </c>
    </row>
    <row r="215" spans="1:3" ht="15" thickBot="1">
      <c r="A215" s="3" t="s">
        <v>186</v>
      </c>
      <c r="B215" s="3" t="s">
        <v>34</v>
      </c>
      <c r="C215" s="4">
        <v>44</v>
      </c>
    </row>
    <row r="216" spans="1:3" ht="15" thickBot="1">
      <c r="A216" s="3" t="s">
        <v>430</v>
      </c>
      <c r="B216" s="3" t="s">
        <v>1802</v>
      </c>
      <c r="C216" s="4">
        <v>11</v>
      </c>
    </row>
    <row r="217" spans="1:3" ht="15" thickBot="1">
      <c r="A217" s="3" t="s">
        <v>1840</v>
      </c>
      <c r="B217" s="3" t="s">
        <v>22</v>
      </c>
      <c r="C217" s="4">
        <v>6</v>
      </c>
    </row>
    <row r="218" spans="1:3" ht="15" thickBot="1">
      <c r="A218" s="3" t="s">
        <v>876</v>
      </c>
      <c r="B218" s="3" t="s">
        <v>34</v>
      </c>
      <c r="C218" s="4">
        <v>30</v>
      </c>
    </row>
    <row r="219" spans="1:3" ht="15" thickBot="1">
      <c r="A219" s="3" t="s">
        <v>194</v>
      </c>
      <c r="B219" s="3" t="s">
        <v>118</v>
      </c>
      <c r="C219" s="4">
        <v>33</v>
      </c>
    </row>
    <row r="220" spans="1:3" ht="15" thickBot="1">
      <c r="A220" s="3" t="s">
        <v>100</v>
      </c>
      <c r="B220" s="3" t="s">
        <v>125</v>
      </c>
      <c r="C220" s="4">
        <v>36</v>
      </c>
    </row>
    <row r="221" spans="1:3" ht="15" thickBot="1">
      <c r="A221" s="3" t="s">
        <v>1470</v>
      </c>
      <c r="B221" s="3" t="s">
        <v>1810</v>
      </c>
      <c r="C221" s="4">
        <v>27</v>
      </c>
    </row>
    <row r="222" spans="1:3" ht="15" thickBot="1">
      <c r="A222" s="3" t="s">
        <v>1192</v>
      </c>
      <c r="B222" s="3" t="s">
        <v>560</v>
      </c>
      <c r="C222" s="4">
        <v>20</v>
      </c>
    </row>
    <row r="223" spans="1:3" ht="15" thickBot="1">
      <c r="A223" s="3" t="s">
        <v>1841</v>
      </c>
      <c r="B223" s="3" t="s">
        <v>19</v>
      </c>
      <c r="C223" s="4">
        <v>3</v>
      </c>
    </row>
    <row r="224" spans="1:3" ht="15" thickBot="1">
      <c r="A224" s="3" t="s">
        <v>234</v>
      </c>
      <c r="B224" s="3" t="s">
        <v>560</v>
      </c>
      <c r="C224" s="4">
        <v>7</v>
      </c>
    </row>
    <row r="225" spans="1:3" ht="15" thickBot="1">
      <c r="A225" s="3" t="s">
        <v>304</v>
      </c>
      <c r="B225" s="3" t="s">
        <v>125</v>
      </c>
      <c r="C225" s="4">
        <v>3</v>
      </c>
    </row>
    <row r="226" spans="1:3" ht="15" thickBot="1">
      <c r="A226" s="3" t="s">
        <v>1842</v>
      </c>
      <c r="B226" s="6" t="s">
        <v>1823</v>
      </c>
      <c r="C226" s="4">
        <v>2</v>
      </c>
    </row>
    <row r="227" spans="1:3" ht="15" thickBot="1">
      <c r="A227" s="3" t="s">
        <v>930</v>
      </c>
      <c r="B227" s="3" t="s">
        <v>560</v>
      </c>
      <c r="C227" s="4">
        <v>12</v>
      </c>
    </row>
    <row r="228" spans="1:3" ht="15" thickBot="1">
      <c r="A228" s="3" t="s">
        <v>1751</v>
      </c>
      <c r="B228" s="3" t="s">
        <v>1802</v>
      </c>
      <c r="C228" s="4">
        <v>5</v>
      </c>
    </row>
    <row r="229" spans="1:3" ht="15" thickBot="1">
      <c r="A229" s="3" t="s">
        <v>872</v>
      </c>
      <c r="B229" s="3" t="s">
        <v>22</v>
      </c>
      <c r="C229" s="4">
        <v>6</v>
      </c>
    </row>
    <row r="230" spans="1:3" ht="15" thickBot="1">
      <c r="A230" s="3" t="s">
        <v>153</v>
      </c>
      <c r="B230" s="3" t="s">
        <v>1802</v>
      </c>
      <c r="C230" s="4">
        <v>9</v>
      </c>
    </row>
    <row r="231" spans="1:3" ht="15" thickBot="1">
      <c r="A231" s="3" t="s">
        <v>1271</v>
      </c>
      <c r="B231" s="3" t="s">
        <v>26</v>
      </c>
      <c r="C231" s="4">
        <v>2</v>
      </c>
    </row>
    <row r="232" spans="1:3" ht="15" thickBot="1">
      <c r="A232" s="3" t="s">
        <v>321</v>
      </c>
      <c r="B232" s="3" t="s">
        <v>34</v>
      </c>
      <c r="C232" s="4">
        <v>28</v>
      </c>
    </row>
    <row r="233" spans="1:3" ht="15" thickBot="1">
      <c r="A233" s="3" t="s">
        <v>1843</v>
      </c>
      <c r="B233" s="3" t="s">
        <v>64</v>
      </c>
      <c r="C233" s="4">
        <v>2</v>
      </c>
    </row>
    <row r="234" spans="1:3" ht="15" thickBot="1">
      <c r="A234" s="3" t="s">
        <v>436</v>
      </c>
      <c r="B234" s="3" t="s">
        <v>1814</v>
      </c>
      <c r="C234" s="4">
        <v>16</v>
      </c>
    </row>
    <row r="235" spans="1:3" ht="15" thickBot="1">
      <c r="A235" s="3" t="s">
        <v>477</v>
      </c>
      <c r="B235" s="3" t="s">
        <v>1814</v>
      </c>
      <c r="C235" s="4">
        <v>25</v>
      </c>
    </row>
    <row r="236" spans="1:3" ht="15" thickBot="1">
      <c r="A236" s="3" t="s">
        <v>175</v>
      </c>
      <c r="B236" s="3" t="s">
        <v>26</v>
      </c>
      <c r="C236" s="4">
        <v>116</v>
      </c>
    </row>
    <row r="237" spans="1:3" ht="15" thickBot="1">
      <c r="A237" s="3" t="s">
        <v>1844</v>
      </c>
      <c r="B237" s="3" t="s">
        <v>26</v>
      </c>
      <c r="C237" s="4">
        <v>1</v>
      </c>
    </row>
    <row r="238" spans="1:3" ht="15" thickBot="1">
      <c r="A238" s="3" t="s">
        <v>1845</v>
      </c>
      <c r="B238" s="3" t="s">
        <v>22</v>
      </c>
      <c r="C238" s="4">
        <v>2</v>
      </c>
    </row>
    <row r="239" spans="1:3" ht="15" thickBot="1">
      <c r="A239" s="3" t="s">
        <v>931</v>
      </c>
      <c r="B239" s="3" t="s">
        <v>138</v>
      </c>
      <c r="C239" s="4">
        <v>63</v>
      </c>
    </row>
    <row r="240" spans="1:3" ht="15" thickBot="1">
      <c r="A240" s="3" t="s">
        <v>562</v>
      </c>
      <c r="B240" s="3" t="s">
        <v>64</v>
      </c>
      <c r="C240" s="4">
        <v>12</v>
      </c>
    </row>
    <row r="241" spans="1:3" ht="15" thickBot="1">
      <c r="A241" s="3" t="s">
        <v>336</v>
      </c>
      <c r="B241" s="3" t="s">
        <v>1814</v>
      </c>
      <c r="C241" s="4">
        <v>55</v>
      </c>
    </row>
    <row r="242" spans="1:3" ht="15" thickBot="1">
      <c r="A242" s="3" t="s">
        <v>692</v>
      </c>
      <c r="B242" s="3" t="s">
        <v>61</v>
      </c>
      <c r="C242" s="4">
        <v>49</v>
      </c>
    </row>
    <row r="243" spans="1:3" ht="15" thickBot="1">
      <c r="A243" s="3" t="s">
        <v>190</v>
      </c>
      <c r="B243" s="3" t="s">
        <v>61</v>
      </c>
      <c r="C243" s="4">
        <v>47</v>
      </c>
    </row>
    <row r="244" spans="1:3" ht="15" thickBot="1">
      <c r="A244" s="3" t="s">
        <v>1616</v>
      </c>
      <c r="B244" s="3" t="s">
        <v>34</v>
      </c>
      <c r="C244" s="4">
        <v>3</v>
      </c>
    </row>
    <row r="245" spans="1:3" ht="15" thickBot="1">
      <c r="A245" s="3" t="s">
        <v>1846</v>
      </c>
      <c r="B245" s="3" t="s">
        <v>26</v>
      </c>
      <c r="C245" s="4">
        <v>5</v>
      </c>
    </row>
    <row r="246" spans="1:3" ht="15" thickBot="1">
      <c r="A246" s="3" t="s">
        <v>1847</v>
      </c>
      <c r="B246" s="3" t="s">
        <v>64</v>
      </c>
      <c r="C246" s="4">
        <v>26</v>
      </c>
    </row>
    <row r="247" spans="1:3" ht="15" thickBot="1">
      <c r="A247" s="3" t="s">
        <v>679</v>
      </c>
      <c r="B247" s="3" t="s">
        <v>1802</v>
      </c>
      <c r="C247" s="4">
        <v>43</v>
      </c>
    </row>
    <row r="248" spans="1:3" ht="15" thickBot="1">
      <c r="A248" s="3" t="s">
        <v>1848</v>
      </c>
      <c r="B248" s="3" t="s">
        <v>560</v>
      </c>
      <c r="C248" s="4">
        <v>5</v>
      </c>
    </row>
    <row r="249" spans="1:3" ht="15" thickBot="1">
      <c r="A249" s="3" t="s">
        <v>1849</v>
      </c>
      <c r="B249" s="3" t="s">
        <v>1802</v>
      </c>
      <c r="C249" s="4">
        <v>1</v>
      </c>
    </row>
    <row r="250" spans="1:3" ht="15" thickBot="1">
      <c r="A250" s="3" t="s">
        <v>170</v>
      </c>
      <c r="B250" s="3" t="s">
        <v>26</v>
      </c>
      <c r="C250" s="4">
        <v>34</v>
      </c>
    </row>
    <row r="251" spans="1:3" ht="15" thickBot="1">
      <c r="A251" s="3" t="s">
        <v>390</v>
      </c>
      <c r="B251" s="3" t="s">
        <v>61</v>
      </c>
      <c r="C251" s="4">
        <v>20</v>
      </c>
    </row>
    <row r="252" spans="1:3" ht="15" thickBot="1">
      <c r="A252" s="3" t="s">
        <v>624</v>
      </c>
      <c r="B252" s="3" t="s">
        <v>22</v>
      </c>
      <c r="C252" s="4">
        <v>74</v>
      </c>
    </row>
    <row r="253" spans="1:3" ht="15" thickBot="1">
      <c r="A253" s="3" t="s">
        <v>1850</v>
      </c>
      <c r="B253" s="3" t="s">
        <v>34</v>
      </c>
      <c r="C253" s="4">
        <v>1</v>
      </c>
    </row>
    <row r="254" spans="1:3" ht="15" thickBot="1">
      <c r="A254" s="3" t="s">
        <v>207</v>
      </c>
      <c r="B254" s="3" t="s">
        <v>64</v>
      </c>
      <c r="C254" s="4">
        <v>51</v>
      </c>
    </row>
    <row r="255" spans="1:3" ht="15" thickBot="1">
      <c r="A255" s="3" t="s">
        <v>1076</v>
      </c>
      <c r="B255" s="3" t="s">
        <v>26</v>
      </c>
      <c r="C255" s="4">
        <v>17</v>
      </c>
    </row>
    <row r="256" spans="1:3" ht="15" thickBot="1">
      <c r="A256" s="3" t="s">
        <v>119</v>
      </c>
      <c r="B256" s="3" t="s">
        <v>22</v>
      </c>
      <c r="C256" s="4">
        <v>19</v>
      </c>
    </row>
    <row r="257" spans="1:3" ht="15" thickBot="1">
      <c r="A257" s="3" t="s">
        <v>1326</v>
      </c>
      <c r="B257" s="3" t="s">
        <v>125</v>
      </c>
      <c r="C257" s="4">
        <v>48</v>
      </c>
    </row>
    <row r="258" spans="1:3" ht="15" thickBot="1">
      <c r="A258" s="3" t="s">
        <v>1851</v>
      </c>
      <c r="B258" s="3" t="s">
        <v>1810</v>
      </c>
      <c r="C258" s="4">
        <v>1</v>
      </c>
    </row>
    <row r="259" spans="1:3" ht="15" thickBot="1">
      <c r="A259" s="3" t="s">
        <v>199</v>
      </c>
      <c r="B259" s="3" t="s">
        <v>1810</v>
      </c>
      <c r="C259" s="4">
        <v>2</v>
      </c>
    </row>
    <row r="260" spans="1:3" ht="15" thickBot="1">
      <c r="A260" s="3" t="s">
        <v>1852</v>
      </c>
      <c r="B260" s="3" t="s">
        <v>61</v>
      </c>
      <c r="C260" s="4">
        <v>1</v>
      </c>
    </row>
    <row r="261" spans="1:3" ht="15" thickBot="1">
      <c r="A261" s="3" t="s">
        <v>1853</v>
      </c>
      <c r="B261" s="3" t="s">
        <v>19</v>
      </c>
      <c r="C261" s="4">
        <v>9</v>
      </c>
    </row>
    <row r="262" spans="1:3" ht="15" thickBot="1">
      <c r="A262" s="3" t="s">
        <v>184</v>
      </c>
      <c r="B262" s="3" t="s">
        <v>1798</v>
      </c>
      <c r="C262" s="4">
        <v>18</v>
      </c>
    </row>
    <row r="263" spans="1:3" ht="15" thickBot="1">
      <c r="A263" s="3" t="s">
        <v>241</v>
      </c>
      <c r="B263" s="3" t="s">
        <v>1802</v>
      </c>
      <c r="C263" s="4">
        <v>15</v>
      </c>
    </row>
    <row r="264" spans="1:3" ht="15" thickBot="1">
      <c r="A264" s="3" t="s">
        <v>1854</v>
      </c>
      <c r="B264" s="3" t="s">
        <v>64</v>
      </c>
      <c r="C264" s="4">
        <v>1</v>
      </c>
    </row>
    <row r="265" spans="1:3" ht="15" thickBot="1">
      <c r="A265" s="3" t="s">
        <v>122</v>
      </c>
      <c r="B265" s="3" t="s">
        <v>1798</v>
      </c>
      <c r="C265" s="4">
        <v>35</v>
      </c>
    </row>
    <row r="266" spans="1:3" ht="15" thickBot="1">
      <c r="A266" s="3" t="s">
        <v>1416</v>
      </c>
      <c r="B266" s="3" t="s">
        <v>1802</v>
      </c>
      <c r="C266" s="4">
        <v>15</v>
      </c>
    </row>
    <row r="267" spans="1:3" ht="15" thickBot="1">
      <c r="A267" s="3" t="s">
        <v>458</v>
      </c>
      <c r="B267" s="3" t="s">
        <v>61</v>
      </c>
      <c r="C267" s="4">
        <v>25</v>
      </c>
    </row>
    <row r="268" spans="1:3" ht="15" thickBot="1">
      <c r="A268" s="3" t="s">
        <v>381</v>
      </c>
      <c r="B268" s="3" t="s">
        <v>19</v>
      </c>
      <c r="C268" s="4">
        <v>51</v>
      </c>
    </row>
    <row r="269" spans="1:3" ht="15" thickBot="1">
      <c r="A269" s="3" t="s">
        <v>1855</v>
      </c>
      <c r="B269" s="3" t="s">
        <v>1814</v>
      </c>
      <c r="C269" s="4">
        <v>3</v>
      </c>
    </row>
    <row r="270" spans="1:3" ht="15" thickBot="1">
      <c r="A270" s="3" t="s">
        <v>708</v>
      </c>
      <c r="B270" s="3" t="s">
        <v>1814</v>
      </c>
      <c r="C270" s="4">
        <v>58</v>
      </c>
    </row>
    <row r="271" spans="1:3" ht="15" thickBot="1">
      <c r="A271" s="3" t="s">
        <v>1476</v>
      </c>
      <c r="B271" s="3" t="s">
        <v>61</v>
      </c>
      <c r="C271" s="4">
        <v>9</v>
      </c>
    </row>
    <row r="272" spans="1:3" ht="15" thickBot="1">
      <c r="A272" s="3" t="s">
        <v>1856</v>
      </c>
      <c r="B272" s="3" t="s">
        <v>61</v>
      </c>
      <c r="C272" s="4">
        <v>2</v>
      </c>
    </row>
    <row r="273" spans="1:3" ht="15" thickBot="1">
      <c r="A273" s="3" t="s">
        <v>412</v>
      </c>
      <c r="B273" s="3" t="s">
        <v>61</v>
      </c>
      <c r="C273" s="4">
        <v>5</v>
      </c>
    </row>
    <row r="274" spans="1:3" ht="15" thickBot="1">
      <c r="A274" s="3" t="s">
        <v>646</v>
      </c>
      <c r="B274" s="3" t="s">
        <v>61</v>
      </c>
      <c r="C274" s="4">
        <v>1</v>
      </c>
    </row>
    <row r="275" spans="1:3" ht="15" thickBot="1">
      <c r="A275" s="3" t="s">
        <v>388</v>
      </c>
      <c r="B275" s="3" t="s">
        <v>61</v>
      </c>
      <c r="C275" s="4">
        <v>1</v>
      </c>
    </row>
    <row r="276" spans="1:3" ht="15" thickBot="1">
      <c r="A276" s="3" t="s">
        <v>1857</v>
      </c>
      <c r="B276" s="3" t="s">
        <v>22</v>
      </c>
      <c r="C276" s="4">
        <v>6</v>
      </c>
    </row>
    <row r="277" spans="1:3" ht="15" thickBot="1">
      <c r="A277" s="3" t="s">
        <v>1322</v>
      </c>
      <c r="B277" s="3" t="s">
        <v>22</v>
      </c>
      <c r="C277" s="4">
        <v>5</v>
      </c>
    </row>
    <row r="278" spans="1:3" ht="15" thickBot="1">
      <c r="A278" s="3" t="s">
        <v>293</v>
      </c>
      <c r="B278" s="3" t="s">
        <v>22</v>
      </c>
      <c r="C278" s="4">
        <v>11</v>
      </c>
    </row>
    <row r="279" spans="1:3" ht="15" thickBot="1">
      <c r="A279" s="3" t="s">
        <v>1576</v>
      </c>
      <c r="B279" s="3" t="s">
        <v>26</v>
      </c>
      <c r="C279" s="4">
        <v>27</v>
      </c>
    </row>
    <row r="280" spans="1:3" ht="15" thickBot="1">
      <c r="A280" s="3" t="s">
        <v>1858</v>
      </c>
      <c r="B280" s="3" t="s">
        <v>26</v>
      </c>
      <c r="C280" s="4">
        <v>4</v>
      </c>
    </row>
    <row r="281" spans="1:3" ht="15" thickBot="1">
      <c r="A281" s="3" t="s">
        <v>1859</v>
      </c>
      <c r="B281" s="3" t="s">
        <v>26</v>
      </c>
      <c r="C281" s="4">
        <v>5</v>
      </c>
    </row>
    <row r="282" spans="1:3" ht="15" thickBot="1">
      <c r="A282" s="3" t="s">
        <v>1283</v>
      </c>
      <c r="B282" s="3" t="s">
        <v>125</v>
      </c>
      <c r="C282" s="4">
        <v>2</v>
      </c>
    </row>
    <row r="283" spans="1:3" ht="15" thickBot="1">
      <c r="A283" s="3" t="s">
        <v>1860</v>
      </c>
      <c r="B283" s="3" t="s">
        <v>1814</v>
      </c>
      <c r="C283" s="4">
        <v>6</v>
      </c>
    </row>
    <row r="284" spans="1:3" ht="15" thickBot="1">
      <c r="A284" s="3" t="s">
        <v>1861</v>
      </c>
      <c r="B284" s="3" t="s">
        <v>1810</v>
      </c>
      <c r="C284" s="4">
        <v>1</v>
      </c>
    </row>
    <row r="285" spans="1:3" ht="15" thickBot="1">
      <c r="A285" s="3" t="s">
        <v>1862</v>
      </c>
      <c r="B285" s="3" t="s">
        <v>138</v>
      </c>
      <c r="C285" s="4">
        <v>4</v>
      </c>
    </row>
    <row r="286" spans="1:3" ht="15" thickBot="1">
      <c r="A286" s="3" t="s">
        <v>565</v>
      </c>
      <c r="B286" s="3" t="s">
        <v>118</v>
      </c>
      <c r="C286" s="4">
        <v>3</v>
      </c>
    </row>
    <row r="287" spans="1:3" ht="15" thickBot="1">
      <c r="A287" s="3" t="s">
        <v>1863</v>
      </c>
      <c r="B287" s="3" t="s">
        <v>64</v>
      </c>
      <c r="C287" s="4">
        <v>1</v>
      </c>
    </row>
    <row r="288" spans="1:3" ht="15" thickBot="1">
      <c r="A288" s="3" t="s">
        <v>1864</v>
      </c>
      <c r="B288" s="3" t="s">
        <v>26</v>
      </c>
      <c r="C288" s="4">
        <v>4</v>
      </c>
    </row>
    <row r="289" spans="1:3" ht="15" thickBot="1">
      <c r="A289" s="3" t="s">
        <v>146</v>
      </c>
      <c r="B289" s="3" t="s">
        <v>64</v>
      </c>
      <c r="C289" s="4">
        <v>38</v>
      </c>
    </row>
    <row r="290" spans="1:3" ht="15" thickBot="1">
      <c r="A290" s="3" t="s">
        <v>855</v>
      </c>
      <c r="B290" s="3" t="s">
        <v>1802</v>
      </c>
      <c r="C290" s="4">
        <v>4</v>
      </c>
    </row>
    <row r="291" spans="1:3" ht="15" thickBot="1">
      <c r="A291" s="3" t="s">
        <v>664</v>
      </c>
      <c r="B291" s="3" t="s">
        <v>138</v>
      </c>
      <c r="C291" s="4">
        <v>7</v>
      </c>
    </row>
    <row r="292" spans="1:3" ht="15" thickBot="1">
      <c r="A292" s="3" t="s">
        <v>666</v>
      </c>
      <c r="B292" s="3" t="s">
        <v>138</v>
      </c>
      <c r="C292" s="4">
        <v>6</v>
      </c>
    </row>
    <row r="293" spans="1:3" ht="15" thickBot="1">
      <c r="A293" s="3" t="s">
        <v>192</v>
      </c>
      <c r="B293" s="3" t="s">
        <v>1802</v>
      </c>
      <c r="C293" s="4">
        <v>44</v>
      </c>
    </row>
    <row r="294" spans="1:3" ht="15" thickBot="1">
      <c r="A294" s="3" t="s">
        <v>1163</v>
      </c>
      <c r="B294" s="3" t="s">
        <v>1802</v>
      </c>
      <c r="C294" s="4">
        <v>10</v>
      </c>
    </row>
    <row r="295" spans="1:3" ht="15" thickBot="1">
      <c r="A295" s="3" t="s">
        <v>1865</v>
      </c>
      <c r="B295" s="3" t="s">
        <v>1802</v>
      </c>
      <c r="C295" s="4">
        <v>19</v>
      </c>
    </row>
    <row r="296" spans="1:3" ht="15" thickBot="1">
      <c r="A296" s="3" t="s">
        <v>1866</v>
      </c>
      <c r="B296" s="3" t="s">
        <v>1802</v>
      </c>
      <c r="C296" s="4">
        <v>2</v>
      </c>
    </row>
    <row r="297" spans="1:3" ht="15" thickBot="1">
      <c r="A297" s="3" t="s">
        <v>1867</v>
      </c>
      <c r="B297" s="3" t="s">
        <v>61</v>
      </c>
      <c r="C297" s="4">
        <v>4</v>
      </c>
    </row>
    <row r="298" spans="1:3" ht="15" thickBot="1">
      <c r="A298" s="3" t="s">
        <v>1868</v>
      </c>
      <c r="B298" s="3" t="s">
        <v>61</v>
      </c>
      <c r="C298" s="4">
        <v>6</v>
      </c>
    </row>
    <row r="299" spans="1:3" ht="15" thickBot="1">
      <c r="A299" s="3" t="s">
        <v>996</v>
      </c>
      <c r="B299" s="3" t="s">
        <v>61</v>
      </c>
      <c r="C299" s="4">
        <v>5</v>
      </c>
    </row>
    <row r="300" spans="1:3" ht="15" thickBot="1">
      <c r="A300" s="3" t="s">
        <v>216</v>
      </c>
      <c r="B300" s="3" t="s">
        <v>19</v>
      </c>
      <c r="C300" s="4">
        <v>47</v>
      </c>
    </row>
    <row r="301" spans="1:3" ht="15" thickBot="1">
      <c r="A301" s="3" t="s">
        <v>1869</v>
      </c>
      <c r="B301" s="3" t="s">
        <v>26</v>
      </c>
      <c r="C301" s="4">
        <v>5</v>
      </c>
    </row>
    <row r="302" spans="1:3" ht="15" thickBot="1">
      <c r="A302" s="3" t="s">
        <v>1870</v>
      </c>
      <c r="B302" s="3" t="s">
        <v>64</v>
      </c>
      <c r="C302" s="4">
        <v>1</v>
      </c>
    </row>
    <row r="303" spans="1:3" ht="15" thickBot="1">
      <c r="A303" s="3" t="s">
        <v>309</v>
      </c>
      <c r="B303" s="3" t="s">
        <v>34</v>
      </c>
      <c r="C303" s="4">
        <v>13</v>
      </c>
    </row>
    <row r="304" spans="1:3" ht="15" thickBot="1">
      <c r="A304" s="3" t="s">
        <v>1871</v>
      </c>
      <c r="B304" s="3" t="s">
        <v>1802</v>
      </c>
      <c r="C304" s="4">
        <v>1</v>
      </c>
    </row>
    <row r="305" spans="1:3" ht="15" thickBot="1">
      <c r="A305" s="3" t="s">
        <v>379</v>
      </c>
      <c r="B305" s="3" t="s">
        <v>1802</v>
      </c>
      <c r="C305" s="4">
        <v>5</v>
      </c>
    </row>
    <row r="306" spans="1:3" ht="15" thickBot="1">
      <c r="A306" s="3" t="s">
        <v>1872</v>
      </c>
      <c r="B306" s="3" t="s">
        <v>34</v>
      </c>
      <c r="C306" s="4">
        <v>1</v>
      </c>
    </row>
    <row r="307" spans="1:3" ht="15" thickBot="1">
      <c r="A307" s="3" t="s">
        <v>139</v>
      </c>
      <c r="B307" s="3" t="s">
        <v>1810</v>
      </c>
      <c r="C307" s="4">
        <v>47</v>
      </c>
    </row>
    <row r="308" spans="1:3" ht="15" thickBot="1">
      <c r="A308" s="3" t="s">
        <v>1478</v>
      </c>
      <c r="B308" s="3" t="s">
        <v>34</v>
      </c>
      <c r="C308" s="4">
        <v>38</v>
      </c>
    </row>
    <row r="309" spans="1:3" ht="15" thickBot="1">
      <c r="A309" s="3" t="s">
        <v>1873</v>
      </c>
      <c r="B309" s="3" t="s">
        <v>19</v>
      </c>
      <c r="C309" s="4">
        <v>2</v>
      </c>
    </row>
    <row r="310" spans="1:3" ht="15" thickBot="1">
      <c r="A310" s="3" t="s">
        <v>505</v>
      </c>
      <c r="B310" s="3" t="s">
        <v>61</v>
      </c>
      <c r="C310" s="4">
        <v>24</v>
      </c>
    </row>
    <row r="311" spans="1:3" ht="15" thickBot="1">
      <c r="A311" s="3" t="s">
        <v>1299</v>
      </c>
      <c r="B311" s="3" t="s">
        <v>98</v>
      </c>
      <c r="C311" s="4">
        <v>8</v>
      </c>
    </row>
    <row r="312" spans="1:3" ht="15" thickBot="1">
      <c r="A312" s="3" t="s">
        <v>840</v>
      </c>
      <c r="B312" s="3" t="s">
        <v>26</v>
      </c>
      <c r="C312" s="4">
        <v>5</v>
      </c>
    </row>
    <row r="313" spans="1:3" ht="15" thickBot="1">
      <c r="A313" s="3" t="s">
        <v>149</v>
      </c>
      <c r="B313" s="3" t="s">
        <v>34</v>
      </c>
      <c r="C313" s="4">
        <v>12</v>
      </c>
    </row>
    <row r="314" spans="1:3" ht="15" thickBot="1">
      <c r="A314" s="3" t="s">
        <v>1096</v>
      </c>
      <c r="B314" s="3" t="s">
        <v>125</v>
      </c>
      <c r="C314" s="4">
        <v>5</v>
      </c>
    </row>
    <row r="315" spans="1:3" ht="15" thickBot="1">
      <c r="A315" s="3" t="s">
        <v>280</v>
      </c>
      <c r="B315" s="3" t="s">
        <v>560</v>
      </c>
      <c r="C315" s="4">
        <v>18</v>
      </c>
    </row>
    <row r="316" spans="1:3" ht="15" thickBot="1">
      <c r="A316" s="3" t="s">
        <v>1874</v>
      </c>
      <c r="B316" s="3" t="s">
        <v>1814</v>
      </c>
      <c r="C316" s="4">
        <v>1</v>
      </c>
    </row>
    <row r="317" spans="1:3" ht="15" thickBot="1">
      <c r="A317" s="3" t="s">
        <v>1527</v>
      </c>
      <c r="B317" s="3" t="s">
        <v>138</v>
      </c>
      <c r="C317" s="4">
        <v>9</v>
      </c>
    </row>
    <row r="318" spans="1:3" ht="15" thickBot="1">
      <c r="A318" s="3" t="s">
        <v>1747</v>
      </c>
      <c r="B318" s="3" t="s">
        <v>1802</v>
      </c>
      <c r="C318" s="4">
        <v>4</v>
      </c>
    </row>
    <row r="319" spans="1:3" ht="15" thickBot="1">
      <c r="A319" s="3" t="s">
        <v>1875</v>
      </c>
      <c r="B319" s="3" t="s">
        <v>495</v>
      </c>
      <c r="C319" s="4">
        <v>4</v>
      </c>
    </row>
    <row r="320" spans="1:3" ht="15" thickBot="1">
      <c r="A320" s="3" t="s">
        <v>688</v>
      </c>
      <c r="B320" s="3" t="s">
        <v>1810</v>
      </c>
      <c r="C320" s="4">
        <v>3</v>
      </c>
    </row>
    <row r="321" spans="1:3" ht="15" thickBot="1">
      <c r="A321" s="3" t="s">
        <v>225</v>
      </c>
      <c r="B321" s="3" t="s">
        <v>4</v>
      </c>
      <c r="C321" s="4">
        <v>5</v>
      </c>
    </row>
    <row r="322" spans="1:3" ht="15" thickBot="1">
      <c r="A322" s="3" t="s">
        <v>610</v>
      </c>
      <c r="B322" s="3" t="s">
        <v>34</v>
      </c>
      <c r="C322" s="4">
        <v>5</v>
      </c>
    </row>
    <row r="323" spans="1:3" ht="15" thickBot="1">
      <c r="A323" s="3" t="s">
        <v>222</v>
      </c>
      <c r="B323" s="3" t="s">
        <v>34</v>
      </c>
      <c r="C323" s="4">
        <v>3</v>
      </c>
    </row>
    <row r="324" spans="1:3" ht="15" thickBot="1">
      <c r="A324" s="3" t="s">
        <v>191</v>
      </c>
      <c r="B324" s="3" t="s">
        <v>125</v>
      </c>
      <c r="C324" s="4">
        <v>41</v>
      </c>
    </row>
    <row r="325" spans="1:3" ht="15" thickBot="1">
      <c r="A325" s="3" t="s">
        <v>582</v>
      </c>
      <c r="B325" s="3" t="s">
        <v>19</v>
      </c>
      <c r="C325" s="4">
        <v>6</v>
      </c>
    </row>
    <row r="326" spans="1:3" ht="15" thickBot="1">
      <c r="A326" s="3" t="s">
        <v>1876</v>
      </c>
      <c r="B326" s="3" t="s">
        <v>19</v>
      </c>
      <c r="C326" s="4">
        <v>8</v>
      </c>
    </row>
    <row r="327" spans="1:3" ht="15" thickBot="1">
      <c r="A327" s="3" t="s">
        <v>1877</v>
      </c>
      <c r="B327" s="3" t="s">
        <v>4</v>
      </c>
      <c r="C327" s="4">
        <v>3</v>
      </c>
    </row>
    <row r="328" spans="1:3" ht="15" thickBot="1">
      <c r="A328" s="3" t="s">
        <v>285</v>
      </c>
      <c r="B328" s="3" t="s">
        <v>560</v>
      </c>
      <c r="C328" s="4">
        <v>22</v>
      </c>
    </row>
    <row r="329" spans="1:3" ht="15" thickBot="1">
      <c r="A329" s="3" t="s">
        <v>1708</v>
      </c>
      <c r="B329" s="3" t="s">
        <v>26</v>
      </c>
      <c r="C329" s="4">
        <v>15</v>
      </c>
    </row>
    <row r="330" spans="1:3" ht="15" thickBot="1">
      <c r="A330" s="3" t="s">
        <v>1878</v>
      </c>
      <c r="B330" s="3" t="s">
        <v>115</v>
      </c>
      <c r="C330" s="4">
        <v>6</v>
      </c>
    </row>
    <row r="331" spans="1:3" ht="15" thickBot="1">
      <c r="A331" s="3" t="s">
        <v>733</v>
      </c>
      <c r="B331" s="3" t="s">
        <v>1802</v>
      </c>
      <c r="C331" s="4">
        <v>6</v>
      </c>
    </row>
    <row r="332" spans="1:3" ht="15" thickBot="1">
      <c r="A332" s="3" t="s">
        <v>1335</v>
      </c>
      <c r="B332" s="3" t="s">
        <v>125</v>
      </c>
      <c r="C332" s="4">
        <v>7</v>
      </c>
    </row>
    <row r="333" spans="1:3" ht="15" thickBot="1">
      <c r="A333" s="3" t="s">
        <v>1879</v>
      </c>
      <c r="B333" s="3" t="s">
        <v>1802</v>
      </c>
      <c r="C333" s="4">
        <v>1</v>
      </c>
    </row>
    <row r="334" spans="1:3" ht="15" thickBot="1">
      <c r="A334" s="3" t="s">
        <v>858</v>
      </c>
      <c r="B334" s="3" t="s">
        <v>1802</v>
      </c>
      <c r="C334" s="4">
        <v>7</v>
      </c>
    </row>
    <row r="335" spans="1:3" ht="15" thickBot="1">
      <c r="A335" s="3" t="s">
        <v>69</v>
      </c>
      <c r="B335" s="3" t="s">
        <v>1802</v>
      </c>
      <c r="C335" s="4">
        <v>5</v>
      </c>
    </row>
    <row r="336" spans="1:3" ht="15" thickBot="1">
      <c r="A336" s="3" t="s">
        <v>344</v>
      </c>
      <c r="B336" s="3" t="s">
        <v>1802</v>
      </c>
      <c r="C336" s="4">
        <v>12</v>
      </c>
    </row>
    <row r="337" spans="1:3" ht="15" thickBot="1">
      <c r="A337" s="3" t="s">
        <v>1880</v>
      </c>
      <c r="B337" s="3" t="s">
        <v>1802</v>
      </c>
      <c r="C337" s="4">
        <v>1</v>
      </c>
    </row>
    <row r="338" spans="1:3" ht="15" thickBot="1">
      <c r="A338" s="3" t="s">
        <v>819</v>
      </c>
      <c r="B338" s="3" t="s">
        <v>26</v>
      </c>
      <c r="C338" s="4">
        <v>11</v>
      </c>
    </row>
    <row r="339" spans="1:3" ht="15" thickBot="1">
      <c r="A339" s="3" t="s">
        <v>1881</v>
      </c>
      <c r="B339" s="3" t="s">
        <v>1802</v>
      </c>
      <c r="C339" s="4">
        <v>3</v>
      </c>
    </row>
    <row r="340" spans="1:3" ht="15" thickBot="1">
      <c r="A340" s="3" t="s">
        <v>228</v>
      </c>
      <c r="B340" s="3" t="s">
        <v>118</v>
      </c>
      <c r="C340" s="4">
        <v>14</v>
      </c>
    </row>
    <row r="341" spans="1:3" ht="15" thickBot="1">
      <c r="A341" s="3" t="s">
        <v>1882</v>
      </c>
      <c r="B341" s="3" t="s">
        <v>4</v>
      </c>
      <c r="C341" s="4">
        <v>4</v>
      </c>
    </row>
    <row r="342" spans="1:3" ht="15" thickBot="1">
      <c r="A342" s="3" t="s">
        <v>1516</v>
      </c>
      <c r="B342" s="3" t="s">
        <v>125</v>
      </c>
      <c r="C342" s="4">
        <v>11</v>
      </c>
    </row>
    <row r="343" spans="1:3" ht="15" thickBot="1">
      <c r="A343" s="3" t="s">
        <v>815</v>
      </c>
      <c r="B343" s="3" t="s">
        <v>26</v>
      </c>
      <c r="C343" s="4">
        <v>12</v>
      </c>
    </row>
    <row r="344" spans="1:3" ht="15" thickBot="1">
      <c r="A344" s="3" t="s">
        <v>1883</v>
      </c>
      <c r="B344" s="3" t="s">
        <v>125</v>
      </c>
      <c r="C344" s="4">
        <v>6</v>
      </c>
    </row>
    <row r="345" spans="1:3" ht="15" thickBot="1">
      <c r="A345" s="3" t="s">
        <v>1016</v>
      </c>
      <c r="B345" s="3" t="s">
        <v>1802</v>
      </c>
      <c r="C345" s="4">
        <v>15</v>
      </c>
    </row>
    <row r="346" spans="1:3" ht="15" thickBot="1">
      <c r="A346" s="3" t="s">
        <v>1884</v>
      </c>
      <c r="B346" s="3" t="s">
        <v>26</v>
      </c>
      <c r="C346" s="4">
        <v>4</v>
      </c>
    </row>
    <row r="347" spans="1:3" ht="15" thickBot="1">
      <c r="A347" s="3" t="s">
        <v>1885</v>
      </c>
      <c r="B347" s="3" t="s">
        <v>1810</v>
      </c>
      <c r="C347" s="4">
        <v>7</v>
      </c>
    </row>
    <row r="348" spans="1:3" ht="15" thickBot="1">
      <c r="A348" s="3" t="s">
        <v>136</v>
      </c>
      <c r="B348" s="3" t="s">
        <v>1810</v>
      </c>
      <c r="C348" s="4">
        <v>23</v>
      </c>
    </row>
    <row r="349" spans="1:3" ht="15" thickBot="1">
      <c r="A349" s="3" t="s">
        <v>504</v>
      </c>
      <c r="B349" s="3" t="s">
        <v>138</v>
      </c>
      <c r="C349" s="4">
        <v>10</v>
      </c>
    </row>
    <row r="350" spans="1:3" ht="15" thickBot="1">
      <c r="A350" s="3" t="s">
        <v>1886</v>
      </c>
      <c r="B350" s="3" t="s">
        <v>4</v>
      </c>
      <c r="C350" s="4">
        <v>5</v>
      </c>
    </row>
    <row r="351" spans="1:3" ht="15" thickBot="1">
      <c r="A351" s="3" t="s">
        <v>1887</v>
      </c>
      <c r="B351" s="3" t="s">
        <v>115</v>
      </c>
      <c r="C351" s="4">
        <v>10</v>
      </c>
    </row>
    <row r="352" spans="1:3" ht="15" thickBot="1">
      <c r="A352" s="3" t="s">
        <v>99</v>
      </c>
      <c r="B352" s="3" t="s">
        <v>125</v>
      </c>
      <c r="C352" s="4">
        <v>28</v>
      </c>
    </row>
    <row r="353" spans="1:3" ht="15" thickBot="1">
      <c r="A353" s="3" t="s">
        <v>847</v>
      </c>
      <c r="B353" s="3" t="s">
        <v>64</v>
      </c>
      <c r="C353" s="4">
        <v>12</v>
      </c>
    </row>
    <row r="354" spans="1:3" ht="15" thickBot="1">
      <c r="A354" s="3" t="s">
        <v>1888</v>
      </c>
      <c r="B354" s="3" t="s">
        <v>115</v>
      </c>
      <c r="C354" s="4">
        <v>3</v>
      </c>
    </row>
    <row r="355" spans="1:3" ht="15" thickBot="1">
      <c r="A355" s="3" t="s">
        <v>802</v>
      </c>
      <c r="B355" s="3" t="s">
        <v>64</v>
      </c>
      <c r="C355" s="4">
        <v>9</v>
      </c>
    </row>
    <row r="356" spans="1:3" ht="15" thickBot="1">
      <c r="A356" s="3" t="s">
        <v>1889</v>
      </c>
      <c r="B356" s="3" t="s">
        <v>560</v>
      </c>
      <c r="C356" s="4">
        <v>1</v>
      </c>
    </row>
    <row r="357" spans="1:3" ht="15" thickBot="1">
      <c r="A357" s="3" t="s">
        <v>997</v>
      </c>
      <c r="B357" s="3" t="s">
        <v>138</v>
      </c>
      <c r="C357" s="4">
        <v>2</v>
      </c>
    </row>
    <row r="358" spans="1:3" ht="15" thickBot="1">
      <c r="A358" s="3" t="s">
        <v>1890</v>
      </c>
      <c r="B358" s="3" t="s">
        <v>22</v>
      </c>
      <c r="C358" s="4">
        <v>1</v>
      </c>
    </row>
    <row r="359" spans="1:3" ht="15" thickBot="1">
      <c r="A359" s="3" t="s">
        <v>1891</v>
      </c>
      <c r="B359" s="3" t="s">
        <v>138</v>
      </c>
      <c r="C359" s="4">
        <v>1</v>
      </c>
    </row>
    <row r="360" spans="1:3" ht="15" thickBot="1">
      <c r="A360" s="3" t="s">
        <v>425</v>
      </c>
      <c r="B360" s="3" t="s">
        <v>22</v>
      </c>
      <c r="C360" s="4">
        <v>8</v>
      </c>
    </row>
    <row r="361" spans="1:3" ht="15" thickBot="1">
      <c r="A361" s="3" t="s">
        <v>1115</v>
      </c>
      <c r="B361" s="3" t="s">
        <v>61</v>
      </c>
      <c r="C361" s="4">
        <v>2</v>
      </c>
    </row>
    <row r="362" spans="1:3" ht="15" thickBot="1">
      <c r="A362" s="3" t="s">
        <v>620</v>
      </c>
      <c r="B362" s="3" t="s">
        <v>26</v>
      </c>
      <c r="C362" s="4">
        <v>1</v>
      </c>
    </row>
    <row r="363" spans="1:3" ht="15" thickBot="1">
      <c r="A363" s="3" t="s">
        <v>1892</v>
      </c>
      <c r="B363" s="3" t="s">
        <v>61</v>
      </c>
      <c r="C363" s="4">
        <v>1</v>
      </c>
    </row>
    <row r="364" spans="1:3" ht="15" thickBot="1">
      <c r="A364" s="3" t="s">
        <v>943</v>
      </c>
      <c r="B364" s="3" t="s">
        <v>64</v>
      </c>
      <c r="C364" s="4">
        <v>5</v>
      </c>
    </row>
    <row r="365" spans="1:3" ht="15" thickBot="1">
      <c r="A365" s="3" t="s">
        <v>1083</v>
      </c>
      <c r="B365" s="3" t="s">
        <v>24</v>
      </c>
      <c r="C365" s="4">
        <v>10</v>
      </c>
    </row>
    <row r="366" spans="1:3" ht="15" thickBot="1">
      <c r="A366" s="3" t="s">
        <v>563</v>
      </c>
      <c r="B366" s="3" t="s">
        <v>61</v>
      </c>
      <c r="C366" s="4">
        <v>6</v>
      </c>
    </row>
    <row r="367" spans="1:3" ht="15" thickBot="1">
      <c r="A367" s="3" t="s">
        <v>1659</v>
      </c>
      <c r="B367" s="3" t="s">
        <v>61</v>
      </c>
      <c r="C367" s="4">
        <v>13</v>
      </c>
    </row>
    <row r="368" spans="1:3" ht="15" thickBot="1">
      <c r="A368" s="3" t="s">
        <v>1893</v>
      </c>
      <c r="B368" s="3" t="s">
        <v>1814</v>
      </c>
      <c r="C368" s="4">
        <v>1</v>
      </c>
    </row>
    <row r="369" spans="1:3" ht="15" thickBot="1">
      <c r="A369" s="3" t="s">
        <v>449</v>
      </c>
      <c r="B369" s="3" t="s">
        <v>26</v>
      </c>
      <c r="C369" s="4">
        <v>16</v>
      </c>
    </row>
    <row r="370" spans="1:3" ht="15" thickBot="1">
      <c r="A370" s="3" t="s">
        <v>253</v>
      </c>
      <c r="B370" s="3" t="s">
        <v>138</v>
      </c>
      <c r="C370" s="4">
        <v>90</v>
      </c>
    </row>
    <row r="371" spans="1:3" ht="15" thickBot="1">
      <c r="A371" s="3" t="s">
        <v>105</v>
      </c>
      <c r="B371" s="3" t="s">
        <v>19</v>
      </c>
      <c r="C371" s="4">
        <v>15</v>
      </c>
    </row>
    <row r="372" spans="1:3" ht="15" thickBot="1">
      <c r="A372" s="3" t="s">
        <v>1894</v>
      </c>
      <c r="B372" s="3" t="s">
        <v>64</v>
      </c>
      <c r="C372" s="4">
        <v>16</v>
      </c>
    </row>
    <row r="373" spans="1:3" ht="15" thickBot="1">
      <c r="A373" s="3" t="s">
        <v>1895</v>
      </c>
      <c r="B373" s="3" t="s">
        <v>1814</v>
      </c>
      <c r="C373" s="4">
        <v>1</v>
      </c>
    </row>
    <row r="374" spans="1:3" ht="15" thickBot="1">
      <c r="A374" s="3" t="s">
        <v>1896</v>
      </c>
      <c r="B374" s="3" t="s">
        <v>118</v>
      </c>
      <c r="C374" s="4">
        <v>1</v>
      </c>
    </row>
    <row r="375" spans="1:3" ht="15" thickBot="1">
      <c r="A375" s="3" t="s">
        <v>1897</v>
      </c>
      <c r="B375" s="3" t="s">
        <v>24</v>
      </c>
      <c r="C375" s="4">
        <v>1</v>
      </c>
    </row>
    <row r="376" spans="1:3" ht="15" thickBot="1">
      <c r="A376" s="3" t="s">
        <v>1898</v>
      </c>
      <c r="B376" s="3" t="s">
        <v>98</v>
      </c>
      <c r="C376" s="4">
        <v>1</v>
      </c>
    </row>
    <row r="377" spans="1:3" ht="15" thickBot="1">
      <c r="A377" s="3" t="s">
        <v>269</v>
      </c>
      <c r="B377" s="3" t="s">
        <v>495</v>
      </c>
      <c r="C377" s="4">
        <v>12</v>
      </c>
    </row>
    <row r="378" spans="1:3" ht="15" thickBot="1">
      <c r="A378" s="3" t="s">
        <v>594</v>
      </c>
      <c r="B378" s="3" t="s">
        <v>19</v>
      </c>
      <c r="C378" s="4">
        <v>44</v>
      </c>
    </row>
    <row r="379" spans="1:3" ht="15" thickBot="1">
      <c r="A379" s="3" t="s">
        <v>596</v>
      </c>
      <c r="B379" s="3" t="s">
        <v>19</v>
      </c>
      <c r="C379" s="4">
        <v>6</v>
      </c>
    </row>
    <row r="380" spans="1:3" ht="15" thickBot="1">
      <c r="A380" s="3" t="s">
        <v>1899</v>
      </c>
      <c r="B380" s="3" t="s">
        <v>24</v>
      </c>
      <c r="C380" s="4">
        <v>2</v>
      </c>
    </row>
    <row r="381" spans="1:3" ht="15" thickBot="1">
      <c r="A381" s="3" t="s">
        <v>43</v>
      </c>
      <c r="B381" s="3" t="s">
        <v>19</v>
      </c>
      <c r="C381" s="4">
        <v>3</v>
      </c>
    </row>
    <row r="382" spans="1:3" ht="15" thickBot="1">
      <c r="A382" s="3" t="s">
        <v>1426</v>
      </c>
      <c r="B382" s="3" t="s">
        <v>26</v>
      </c>
      <c r="C382" s="4">
        <v>1</v>
      </c>
    </row>
    <row r="383" spans="1:3" ht="15" thickBot="1">
      <c r="A383" s="3" t="s">
        <v>1900</v>
      </c>
      <c r="B383" s="3" t="s">
        <v>410</v>
      </c>
      <c r="C383" s="4">
        <v>2</v>
      </c>
    </row>
    <row r="384" spans="1:3" ht="15" thickBot="1">
      <c r="A384" s="3" t="s">
        <v>588</v>
      </c>
      <c r="B384" s="3" t="s">
        <v>19</v>
      </c>
      <c r="C384" s="4">
        <v>4</v>
      </c>
    </row>
    <row r="385" spans="1:3" ht="15" thickBot="1">
      <c r="A385" s="3" t="s">
        <v>713</v>
      </c>
      <c r="B385" s="3" t="s">
        <v>125</v>
      </c>
      <c r="C385" s="4">
        <v>7</v>
      </c>
    </row>
    <row r="386" spans="1:3" ht="15" thickBot="1">
      <c r="A386" s="3" t="s">
        <v>1135</v>
      </c>
      <c r="B386" s="3" t="s">
        <v>125</v>
      </c>
      <c r="C386" s="4">
        <v>2</v>
      </c>
    </row>
    <row r="387" spans="1:3" ht="15" thickBot="1">
      <c r="A387" s="3" t="s">
        <v>1901</v>
      </c>
      <c r="B387" s="3" t="s">
        <v>125</v>
      </c>
      <c r="C387" s="4">
        <v>1</v>
      </c>
    </row>
    <row r="388" spans="1:3" ht="15" thickBot="1">
      <c r="A388" s="3" t="s">
        <v>1902</v>
      </c>
      <c r="B388" s="3" t="s">
        <v>24</v>
      </c>
      <c r="C388" s="4">
        <v>9</v>
      </c>
    </row>
    <row r="389" spans="1:3" ht="15" thickBot="1">
      <c r="A389" s="3" t="s">
        <v>249</v>
      </c>
      <c r="B389" s="3" t="s">
        <v>19</v>
      </c>
      <c r="C389" s="4">
        <v>11</v>
      </c>
    </row>
    <row r="390" spans="1:3" ht="15" thickBot="1">
      <c r="A390" s="3" t="s">
        <v>893</v>
      </c>
      <c r="B390" s="3" t="s">
        <v>24</v>
      </c>
      <c r="C390" s="4">
        <v>15</v>
      </c>
    </row>
    <row r="391" spans="1:3" ht="15" thickBot="1">
      <c r="A391" s="3" t="s">
        <v>18</v>
      </c>
      <c r="B391" s="3" t="s">
        <v>19</v>
      </c>
      <c r="C391" s="4">
        <v>2</v>
      </c>
    </row>
    <row r="392" spans="1:3" ht="15" thickBot="1">
      <c r="A392" s="3" t="s">
        <v>481</v>
      </c>
      <c r="B392" s="3" t="s">
        <v>560</v>
      </c>
      <c r="C392" s="4">
        <v>11</v>
      </c>
    </row>
    <row r="393" spans="1:3" ht="15" thickBot="1">
      <c r="A393" s="3" t="s">
        <v>1903</v>
      </c>
      <c r="B393" s="3" t="s">
        <v>125</v>
      </c>
      <c r="C393" s="4">
        <v>1</v>
      </c>
    </row>
    <row r="394" spans="1:3" ht="15" thickBot="1">
      <c r="A394" s="3" t="s">
        <v>1904</v>
      </c>
      <c r="B394" s="3" t="s">
        <v>19</v>
      </c>
      <c r="C394" s="4">
        <v>1</v>
      </c>
    </row>
    <row r="395" spans="1:3" ht="15" thickBot="1">
      <c r="A395" s="3" t="s">
        <v>589</v>
      </c>
      <c r="B395" s="3" t="s">
        <v>19</v>
      </c>
      <c r="C395" s="4">
        <v>14</v>
      </c>
    </row>
    <row r="396" spans="1:3" ht="15" thickBot="1">
      <c r="A396" s="3" t="s">
        <v>1552</v>
      </c>
      <c r="B396" s="3" t="s">
        <v>115</v>
      </c>
      <c r="C396" s="4">
        <v>4</v>
      </c>
    </row>
    <row r="397" spans="1:3" ht="15" thickBot="1">
      <c r="A397" s="3" t="s">
        <v>1905</v>
      </c>
      <c r="B397" s="3" t="s">
        <v>34</v>
      </c>
      <c r="C397" s="4">
        <v>3</v>
      </c>
    </row>
    <row r="398" spans="1:3" ht="15" thickBot="1">
      <c r="A398" s="3" t="s">
        <v>155</v>
      </c>
      <c r="B398" s="3" t="s">
        <v>125</v>
      </c>
      <c r="C398" s="4">
        <v>15</v>
      </c>
    </row>
    <row r="399" spans="1:3" ht="15" thickBot="1">
      <c r="A399" s="3" t="s">
        <v>1906</v>
      </c>
      <c r="B399" s="3" t="s">
        <v>1802</v>
      </c>
      <c r="C399" s="4">
        <v>4</v>
      </c>
    </row>
    <row r="400" spans="1:3" ht="15" thickBot="1">
      <c r="A400" s="3" t="s">
        <v>918</v>
      </c>
      <c r="B400" s="3" t="s">
        <v>1810</v>
      </c>
      <c r="C400" s="4">
        <v>3</v>
      </c>
    </row>
    <row r="401" spans="1:3" ht="15" thickBot="1">
      <c r="A401" s="3" t="s">
        <v>1347</v>
      </c>
      <c r="B401" s="3" t="s">
        <v>125</v>
      </c>
      <c r="C401" s="4">
        <v>5</v>
      </c>
    </row>
    <row r="402" spans="1:3" ht="15" thickBot="1">
      <c r="A402" s="3" t="s">
        <v>1907</v>
      </c>
      <c r="B402" s="3" t="s">
        <v>22</v>
      </c>
      <c r="C402" s="4">
        <v>5</v>
      </c>
    </row>
    <row r="403" spans="1:3" ht="15" thickBot="1">
      <c r="A403" s="3" t="s">
        <v>413</v>
      </c>
      <c r="B403" s="3" t="s">
        <v>26</v>
      </c>
      <c r="C403" s="4">
        <v>36</v>
      </c>
    </row>
    <row r="404" spans="1:3" ht="15" thickBot="1">
      <c r="A404" s="3" t="s">
        <v>1109</v>
      </c>
      <c r="B404" s="3" t="s">
        <v>61</v>
      </c>
      <c r="C404" s="4">
        <v>12</v>
      </c>
    </row>
    <row r="405" spans="1:3" ht="15" thickBot="1">
      <c r="A405" s="3" t="s">
        <v>1908</v>
      </c>
      <c r="B405" s="3" t="s">
        <v>1814</v>
      </c>
      <c r="C405" s="4">
        <v>5</v>
      </c>
    </row>
    <row r="406" spans="1:3" ht="15" thickBot="1">
      <c r="A406" s="3" t="s">
        <v>1909</v>
      </c>
      <c r="B406" s="3" t="s">
        <v>26</v>
      </c>
      <c r="C406" s="4">
        <v>4</v>
      </c>
    </row>
    <row r="407" spans="1:3" ht="15" thickBot="1">
      <c r="A407" s="3" t="s">
        <v>1910</v>
      </c>
      <c r="B407" s="3" t="s">
        <v>1810</v>
      </c>
      <c r="C407" s="4">
        <v>3</v>
      </c>
    </row>
    <row r="408" spans="1:3" ht="15" thickBot="1">
      <c r="A408" s="3" t="s">
        <v>793</v>
      </c>
      <c r="B408" s="3" t="s">
        <v>1810</v>
      </c>
      <c r="C408" s="4">
        <v>3</v>
      </c>
    </row>
    <row r="409" spans="1:3" ht="15" thickBot="1">
      <c r="A409" s="3" t="s">
        <v>606</v>
      </c>
      <c r="B409" s="3" t="s">
        <v>34</v>
      </c>
      <c r="C409" s="4">
        <v>11</v>
      </c>
    </row>
    <row r="410" spans="1:3" ht="15" thickBot="1">
      <c r="A410" s="3" t="s">
        <v>740</v>
      </c>
      <c r="B410" s="3" t="s">
        <v>22</v>
      </c>
      <c r="C410" s="4">
        <v>1</v>
      </c>
    </row>
    <row r="411" spans="1:3" ht="15" thickBot="1">
      <c r="A411" s="3" t="s">
        <v>370</v>
      </c>
      <c r="B411" s="3" t="s">
        <v>61</v>
      </c>
      <c r="C411" s="4">
        <v>20</v>
      </c>
    </row>
    <row r="412" spans="1:3" ht="15" thickBot="1">
      <c r="A412" s="3" t="s">
        <v>1079</v>
      </c>
      <c r="B412" s="3" t="s">
        <v>26</v>
      </c>
      <c r="C412" s="4">
        <v>1</v>
      </c>
    </row>
    <row r="413" spans="1:3" ht="15" thickBot="1">
      <c r="A413" s="3" t="s">
        <v>957</v>
      </c>
      <c r="B413" s="3" t="s">
        <v>24</v>
      </c>
      <c r="C413" s="4">
        <v>1</v>
      </c>
    </row>
    <row r="414" spans="1:3" ht="15" thickBot="1">
      <c r="A414" s="3" t="s">
        <v>764</v>
      </c>
      <c r="B414" s="3" t="s">
        <v>138</v>
      </c>
      <c r="C414" s="4">
        <v>9</v>
      </c>
    </row>
    <row r="415" spans="1:3" ht="15" thickBot="1">
      <c r="A415" s="3" t="s">
        <v>325</v>
      </c>
      <c r="B415" s="3" t="s">
        <v>61</v>
      </c>
      <c r="C415" s="4">
        <v>7</v>
      </c>
    </row>
    <row r="416" spans="1:3" ht="15" thickBot="1">
      <c r="A416" s="3" t="s">
        <v>1911</v>
      </c>
      <c r="B416" s="3" t="s">
        <v>1814</v>
      </c>
      <c r="C416" s="4">
        <v>3</v>
      </c>
    </row>
    <row r="417" spans="1:3" ht="15" thickBot="1">
      <c r="A417" s="3" t="s">
        <v>1362</v>
      </c>
      <c r="B417" s="3" t="s">
        <v>1802</v>
      </c>
      <c r="C417" s="4">
        <v>27</v>
      </c>
    </row>
    <row r="418" spans="1:3" ht="15" thickBot="1">
      <c r="A418" s="3" t="s">
        <v>1912</v>
      </c>
      <c r="B418" s="3" t="s">
        <v>1802</v>
      </c>
      <c r="C418" s="4">
        <v>5</v>
      </c>
    </row>
    <row r="419" spans="1:3" ht="15" thickBot="1">
      <c r="A419" s="3" t="s">
        <v>1696</v>
      </c>
      <c r="B419" s="3" t="s">
        <v>19</v>
      </c>
      <c r="C419" s="4">
        <v>3</v>
      </c>
    </row>
    <row r="420" spans="1:3" ht="15" thickBot="1">
      <c r="A420" s="3" t="s">
        <v>1515</v>
      </c>
      <c r="B420" s="3" t="s">
        <v>64</v>
      </c>
      <c r="C420" s="4">
        <v>6</v>
      </c>
    </row>
    <row r="421" spans="1:3" ht="15" thickBot="1">
      <c r="A421" s="3" t="s">
        <v>1913</v>
      </c>
      <c r="B421" s="3" t="s">
        <v>64</v>
      </c>
      <c r="C421" s="4">
        <v>1</v>
      </c>
    </row>
    <row r="422" spans="1:3" ht="15" thickBot="1">
      <c r="A422" s="3" t="s">
        <v>1914</v>
      </c>
      <c r="B422" s="3" t="s">
        <v>64</v>
      </c>
      <c r="C422" s="4">
        <v>1</v>
      </c>
    </row>
    <row r="423" spans="1:3" ht="15" thickBot="1">
      <c r="A423" s="3" t="s">
        <v>678</v>
      </c>
      <c r="B423" s="3" t="s">
        <v>495</v>
      </c>
      <c r="C423" s="4">
        <v>25</v>
      </c>
    </row>
    <row r="424" spans="1:3" ht="15" thickBot="1">
      <c r="A424" s="3" t="s">
        <v>973</v>
      </c>
      <c r="B424" s="3" t="s">
        <v>560</v>
      </c>
      <c r="C424" s="4">
        <v>6</v>
      </c>
    </row>
    <row r="425" spans="1:3" ht="15" thickBot="1">
      <c r="A425" s="3" t="s">
        <v>1063</v>
      </c>
      <c r="B425" s="3" t="s">
        <v>34</v>
      </c>
      <c r="C425" s="4">
        <v>7</v>
      </c>
    </row>
    <row r="426" spans="1:3" ht="15" thickBot="1">
      <c r="A426" s="3" t="s">
        <v>1295</v>
      </c>
      <c r="B426" s="3" t="s">
        <v>61</v>
      </c>
      <c r="C426" s="4">
        <v>3</v>
      </c>
    </row>
    <row r="427" spans="1:3" ht="15" thickBot="1">
      <c r="A427" s="3" t="s">
        <v>1915</v>
      </c>
      <c r="B427" s="3" t="s">
        <v>34</v>
      </c>
      <c r="C427" s="4">
        <v>11</v>
      </c>
    </row>
    <row r="428" spans="1:3" ht="15" thickBot="1">
      <c r="A428" s="3" t="s">
        <v>1916</v>
      </c>
      <c r="B428" s="3" t="s">
        <v>1802</v>
      </c>
      <c r="C428" s="4">
        <v>8</v>
      </c>
    </row>
    <row r="429" spans="1:3" ht="15" thickBot="1">
      <c r="A429" s="3" t="s">
        <v>291</v>
      </c>
      <c r="B429" s="3" t="s">
        <v>134</v>
      </c>
      <c r="C429" s="4">
        <v>16</v>
      </c>
    </row>
    <row r="430" spans="1:3" ht="15" thickBot="1">
      <c r="A430" s="3" t="s">
        <v>1917</v>
      </c>
      <c r="B430" s="3" t="s">
        <v>1814</v>
      </c>
      <c r="C430" s="4">
        <v>12</v>
      </c>
    </row>
    <row r="431" spans="1:3" ht="15" thickBot="1">
      <c r="A431" s="3" t="s">
        <v>1528</v>
      </c>
      <c r="B431" s="3" t="s">
        <v>1802</v>
      </c>
      <c r="C431" s="4">
        <v>2</v>
      </c>
    </row>
    <row r="432" spans="1:3" ht="15" thickBot="1">
      <c r="A432" s="3" t="s">
        <v>1246</v>
      </c>
      <c r="B432" s="3" t="s">
        <v>1802</v>
      </c>
      <c r="C432" s="4">
        <v>20</v>
      </c>
    </row>
    <row r="433" spans="1:3" ht="15" thickBot="1">
      <c r="A433" s="3" t="s">
        <v>408</v>
      </c>
      <c r="B433" s="3" t="s">
        <v>61</v>
      </c>
      <c r="C433" s="4">
        <v>57</v>
      </c>
    </row>
    <row r="434" spans="1:3" ht="15" thickBot="1">
      <c r="A434" s="3" t="s">
        <v>873</v>
      </c>
      <c r="B434" s="3" t="s">
        <v>560</v>
      </c>
      <c r="C434" s="4">
        <v>9</v>
      </c>
    </row>
    <row r="435" spans="1:3" ht="15" thickBot="1">
      <c r="A435" s="3" t="s">
        <v>952</v>
      </c>
      <c r="B435" s="3" t="s">
        <v>26</v>
      </c>
      <c r="C435" s="4">
        <v>25</v>
      </c>
    </row>
    <row r="436" spans="1:3" ht="15" thickBot="1">
      <c r="A436" s="3" t="s">
        <v>1918</v>
      </c>
      <c r="B436" s="3" t="s">
        <v>26</v>
      </c>
      <c r="C436" s="4">
        <v>5</v>
      </c>
    </row>
    <row r="437" spans="1:3" ht="15" thickBot="1">
      <c r="A437" s="3" t="s">
        <v>766</v>
      </c>
      <c r="B437" s="3" t="s">
        <v>22</v>
      </c>
      <c r="C437" s="4">
        <v>16</v>
      </c>
    </row>
    <row r="438" spans="1:3" ht="15" thickBot="1">
      <c r="A438" s="3" t="s">
        <v>220</v>
      </c>
      <c r="B438" s="3" t="s">
        <v>1802</v>
      </c>
      <c r="C438" s="4">
        <v>10</v>
      </c>
    </row>
    <row r="439" spans="1:3" ht="15" thickBot="1">
      <c r="A439" s="3" t="s">
        <v>322</v>
      </c>
      <c r="B439" s="3" t="s">
        <v>1814</v>
      </c>
      <c r="C439" s="4">
        <v>9</v>
      </c>
    </row>
    <row r="440" spans="1:3" ht="15" thickBot="1">
      <c r="A440" s="3" t="s">
        <v>1168</v>
      </c>
      <c r="B440" s="3" t="s">
        <v>125</v>
      </c>
      <c r="C440" s="4">
        <v>11</v>
      </c>
    </row>
    <row r="441" spans="1:3" ht="15" thickBot="1">
      <c r="A441" s="3" t="s">
        <v>851</v>
      </c>
      <c r="B441" s="3" t="s">
        <v>64</v>
      </c>
      <c r="C441" s="4">
        <v>5</v>
      </c>
    </row>
    <row r="442" spans="1:3" ht="15" thickBot="1">
      <c r="A442" s="3" t="s">
        <v>1919</v>
      </c>
      <c r="B442" s="3" t="s">
        <v>64</v>
      </c>
      <c r="C442" s="4">
        <v>3</v>
      </c>
    </row>
    <row r="443" spans="1:3" ht="15" thickBot="1">
      <c r="A443" s="3" t="s">
        <v>1920</v>
      </c>
      <c r="B443" s="3" t="s">
        <v>138</v>
      </c>
      <c r="C443" s="4">
        <v>7</v>
      </c>
    </row>
    <row r="444" spans="1:3" ht="15" thickBot="1">
      <c r="A444" s="3" t="s">
        <v>1921</v>
      </c>
      <c r="B444" s="3" t="s">
        <v>138</v>
      </c>
      <c r="C444" s="4">
        <v>4</v>
      </c>
    </row>
    <row r="445" spans="1:3" ht="15" thickBot="1">
      <c r="A445" s="3" t="s">
        <v>1922</v>
      </c>
      <c r="B445" s="3" t="s">
        <v>125</v>
      </c>
      <c r="C445" s="4">
        <v>5</v>
      </c>
    </row>
    <row r="446" spans="1:3" ht="15" thickBot="1">
      <c r="A446" s="3" t="s">
        <v>1201</v>
      </c>
      <c r="B446" s="3" t="s">
        <v>1798</v>
      </c>
      <c r="C446" s="4">
        <v>3</v>
      </c>
    </row>
    <row r="447" spans="1:3" ht="15" thickBot="1">
      <c r="A447" s="3" t="s">
        <v>1923</v>
      </c>
      <c r="B447" s="3" t="s">
        <v>1814</v>
      </c>
      <c r="C447" s="4">
        <v>3</v>
      </c>
    </row>
    <row r="448" spans="1:3" ht="15" thickBot="1">
      <c r="A448" s="3" t="s">
        <v>393</v>
      </c>
      <c r="B448" s="3" t="s">
        <v>560</v>
      </c>
      <c r="C448" s="4">
        <v>39</v>
      </c>
    </row>
    <row r="449" spans="1:3" ht="15" thickBot="1">
      <c r="A449" s="3" t="s">
        <v>1266</v>
      </c>
      <c r="B449" s="3" t="s">
        <v>125</v>
      </c>
      <c r="C449" s="4">
        <v>5</v>
      </c>
    </row>
    <row r="450" spans="1:3" ht="15" thickBot="1">
      <c r="A450" s="3" t="s">
        <v>1924</v>
      </c>
      <c r="B450" s="3" t="s">
        <v>125</v>
      </c>
      <c r="C450" s="4">
        <v>3</v>
      </c>
    </row>
    <row r="451" spans="1:3" ht="15" thickBot="1">
      <c r="A451" s="3" t="s">
        <v>1593</v>
      </c>
      <c r="B451" s="3" t="s">
        <v>125</v>
      </c>
      <c r="C451" s="4">
        <v>3</v>
      </c>
    </row>
    <row r="452" spans="1:3" ht="15" thickBot="1">
      <c r="A452" s="3" t="s">
        <v>881</v>
      </c>
      <c r="B452" s="3" t="s">
        <v>125</v>
      </c>
      <c r="C452" s="4">
        <v>5</v>
      </c>
    </row>
    <row r="453" spans="1:3" ht="15" thickBot="1">
      <c r="A453" s="3" t="s">
        <v>1330</v>
      </c>
      <c r="B453" s="3" t="s">
        <v>26</v>
      </c>
      <c r="C453" s="4">
        <v>3</v>
      </c>
    </row>
    <row r="454" spans="1:3" ht="15" thickBot="1">
      <c r="A454" s="3" t="s">
        <v>1925</v>
      </c>
      <c r="B454" s="3" t="s">
        <v>26</v>
      </c>
      <c r="C454" s="4">
        <v>4</v>
      </c>
    </row>
    <row r="455" spans="1:3" ht="15" thickBot="1">
      <c r="A455" s="3" t="s">
        <v>1926</v>
      </c>
      <c r="B455" s="3" t="s">
        <v>1814</v>
      </c>
      <c r="C455" s="4">
        <v>5</v>
      </c>
    </row>
    <row r="456" spans="1:3" ht="15" thickBot="1">
      <c r="A456" s="3" t="s">
        <v>1600</v>
      </c>
      <c r="B456" s="3" t="s">
        <v>34</v>
      </c>
      <c r="C456" s="4">
        <v>2</v>
      </c>
    </row>
    <row r="457" spans="1:3" ht="15" thickBot="1">
      <c r="A457" s="3" t="s">
        <v>1268</v>
      </c>
      <c r="B457" s="3" t="s">
        <v>560</v>
      </c>
      <c r="C457" s="4">
        <v>4</v>
      </c>
    </row>
    <row r="458" spans="1:3" ht="15" thickBot="1">
      <c r="A458" s="3" t="s">
        <v>1021</v>
      </c>
      <c r="B458" s="3" t="s">
        <v>138</v>
      </c>
      <c r="C458" s="4">
        <v>12</v>
      </c>
    </row>
    <row r="459" spans="1:3" ht="15" thickBot="1">
      <c r="A459" s="3" t="s">
        <v>426</v>
      </c>
      <c r="B459" s="3" t="s">
        <v>4</v>
      </c>
      <c r="C459" s="4">
        <v>17</v>
      </c>
    </row>
    <row r="460" spans="1:3" ht="15" thickBot="1">
      <c r="A460" s="3" t="s">
        <v>1927</v>
      </c>
      <c r="B460" s="3" t="s">
        <v>138</v>
      </c>
      <c r="C460" s="4">
        <v>2</v>
      </c>
    </row>
    <row r="461" spans="1:3" ht="15" thickBot="1">
      <c r="A461" s="3" t="s">
        <v>1355</v>
      </c>
      <c r="B461" s="3" t="s">
        <v>4</v>
      </c>
      <c r="C461" s="4">
        <v>2</v>
      </c>
    </row>
    <row r="462" spans="1:3" ht="15" thickBot="1">
      <c r="A462" s="3" t="s">
        <v>1688</v>
      </c>
      <c r="B462" s="3" t="s">
        <v>138</v>
      </c>
      <c r="C462" s="4">
        <v>3</v>
      </c>
    </row>
    <row r="463" spans="1:3" ht="15" thickBot="1">
      <c r="A463" s="3" t="s">
        <v>1928</v>
      </c>
      <c r="B463" s="3" t="s">
        <v>64</v>
      </c>
      <c r="C463" s="4">
        <v>2</v>
      </c>
    </row>
    <row r="464" spans="1:3" ht="15" thickBot="1">
      <c r="A464" s="3" t="s">
        <v>1929</v>
      </c>
      <c r="B464" s="3" t="s">
        <v>61</v>
      </c>
      <c r="C464" s="4">
        <v>10</v>
      </c>
    </row>
    <row r="465" spans="1:3" ht="15" thickBot="1">
      <c r="A465" s="3" t="s">
        <v>440</v>
      </c>
      <c r="B465" s="3" t="s">
        <v>19</v>
      </c>
      <c r="C465" s="4">
        <v>31</v>
      </c>
    </row>
    <row r="466" spans="1:3" ht="15" thickBot="1">
      <c r="A466" s="3" t="s">
        <v>573</v>
      </c>
      <c r="B466" s="3" t="s">
        <v>1814</v>
      </c>
      <c r="C466" s="4">
        <v>9</v>
      </c>
    </row>
    <row r="467" spans="1:3" ht="15" thickBot="1">
      <c r="A467" s="3" t="s">
        <v>1930</v>
      </c>
      <c r="B467" s="3" t="s">
        <v>495</v>
      </c>
      <c r="C467" s="4">
        <v>1</v>
      </c>
    </row>
    <row r="468" spans="1:3" ht="15" thickBot="1">
      <c r="A468" s="3" t="s">
        <v>580</v>
      </c>
      <c r="B468" s="3" t="s">
        <v>560</v>
      </c>
      <c r="C468" s="4">
        <v>19</v>
      </c>
    </row>
    <row r="469" spans="1:3" ht="15" thickBot="1">
      <c r="A469" s="3" t="s">
        <v>1931</v>
      </c>
      <c r="B469" s="3" t="s">
        <v>61</v>
      </c>
      <c r="C469" s="4">
        <v>3</v>
      </c>
    </row>
    <row r="470" spans="1:3" ht="15" thickBot="1">
      <c r="A470" s="3" t="s">
        <v>1932</v>
      </c>
      <c r="B470" s="3" t="s">
        <v>34</v>
      </c>
      <c r="C470" s="4">
        <v>1</v>
      </c>
    </row>
    <row r="471" spans="1:3" ht="15" thickBot="1">
      <c r="A471" s="3" t="s">
        <v>1424</v>
      </c>
      <c r="B471" s="3" t="s">
        <v>34</v>
      </c>
      <c r="C471" s="4">
        <v>24</v>
      </c>
    </row>
    <row r="472" spans="1:3" ht="15" thickBot="1">
      <c r="A472" s="3" t="s">
        <v>1933</v>
      </c>
      <c r="B472" s="3" t="s">
        <v>19</v>
      </c>
      <c r="C472" s="4">
        <v>1</v>
      </c>
    </row>
    <row r="473" spans="1:3" ht="15" thickBot="1">
      <c r="A473" s="3" t="s">
        <v>798</v>
      </c>
      <c r="B473" s="3" t="s">
        <v>115</v>
      </c>
      <c r="C473" s="4">
        <v>5</v>
      </c>
    </row>
    <row r="474" spans="1:3" ht="15" thickBot="1">
      <c r="A474" s="3" t="s">
        <v>81</v>
      </c>
      <c r="B474" s="3" t="s">
        <v>64</v>
      </c>
      <c r="C474" s="4">
        <v>21</v>
      </c>
    </row>
    <row r="475" spans="1:3" ht="15" thickBot="1">
      <c r="A475" s="3" t="s">
        <v>1934</v>
      </c>
      <c r="B475" s="3" t="s">
        <v>64</v>
      </c>
      <c r="C475" s="4">
        <v>2</v>
      </c>
    </row>
    <row r="476" spans="1:3" ht="15" thickBot="1">
      <c r="A476" s="3" t="s">
        <v>800</v>
      </c>
      <c r="B476" s="3" t="s">
        <v>1802</v>
      </c>
      <c r="C476" s="4">
        <v>9</v>
      </c>
    </row>
    <row r="477" spans="1:3" ht="15" thickBot="1">
      <c r="A477" s="3" t="s">
        <v>1307</v>
      </c>
      <c r="B477" s="3" t="s">
        <v>115</v>
      </c>
      <c r="C477" s="4">
        <v>2</v>
      </c>
    </row>
    <row r="478" spans="1:3" ht="15" thickBot="1">
      <c r="A478" s="3" t="s">
        <v>916</v>
      </c>
      <c r="B478" s="3" t="s">
        <v>34</v>
      </c>
      <c r="C478" s="4">
        <v>31</v>
      </c>
    </row>
    <row r="479" spans="1:3" ht="15" thickBot="1">
      <c r="A479" s="3" t="s">
        <v>1481</v>
      </c>
      <c r="B479" s="3" t="s">
        <v>1814</v>
      </c>
      <c r="C479" s="4">
        <v>6</v>
      </c>
    </row>
    <row r="480" spans="1:3" ht="15" thickBot="1">
      <c r="A480" s="3" t="s">
        <v>1482</v>
      </c>
      <c r="B480" s="3" t="s">
        <v>1814</v>
      </c>
      <c r="C480" s="4">
        <v>6</v>
      </c>
    </row>
    <row r="481" spans="1:3" ht="15" thickBot="1">
      <c r="A481" s="3" t="s">
        <v>470</v>
      </c>
      <c r="B481" s="3" t="s">
        <v>1810</v>
      </c>
      <c r="C481" s="4">
        <v>3</v>
      </c>
    </row>
    <row r="482" spans="1:3" ht="15" thickBot="1">
      <c r="A482" s="3" t="s">
        <v>1737</v>
      </c>
      <c r="B482" s="3" t="s">
        <v>26</v>
      </c>
      <c r="C482" s="4">
        <v>3</v>
      </c>
    </row>
    <row r="483" spans="1:3" ht="15" thickBot="1">
      <c r="A483" s="3" t="s">
        <v>770</v>
      </c>
      <c r="B483" s="3" t="s">
        <v>1810</v>
      </c>
      <c r="C483" s="4">
        <v>7</v>
      </c>
    </row>
    <row r="484" spans="1:3" ht="15" thickBot="1">
      <c r="A484" s="3" t="s">
        <v>324</v>
      </c>
      <c r="B484" s="3" t="s">
        <v>34</v>
      </c>
      <c r="C484" s="4">
        <v>16</v>
      </c>
    </row>
    <row r="485" spans="1:3" ht="15" thickBot="1">
      <c r="A485" s="3" t="s">
        <v>482</v>
      </c>
      <c r="B485" s="3" t="s">
        <v>118</v>
      </c>
      <c r="C485" s="4">
        <v>10</v>
      </c>
    </row>
    <row r="486" spans="1:3" ht="15" thickBot="1">
      <c r="A486" s="3" t="s">
        <v>360</v>
      </c>
      <c r="B486" s="3" t="s">
        <v>495</v>
      </c>
      <c r="C486" s="4">
        <v>22</v>
      </c>
    </row>
    <row r="487" spans="1:3" ht="15" thickBot="1">
      <c r="A487" s="3" t="s">
        <v>1731</v>
      </c>
      <c r="B487" s="3" t="s">
        <v>1814</v>
      </c>
      <c r="C487" s="4">
        <v>7</v>
      </c>
    </row>
    <row r="488" spans="1:3" ht="15" thickBot="1">
      <c r="A488" s="3" t="s">
        <v>974</v>
      </c>
      <c r="B488" s="3" t="s">
        <v>34</v>
      </c>
      <c r="C488" s="4">
        <v>26</v>
      </c>
    </row>
    <row r="489" spans="1:3" ht="15" thickBot="1">
      <c r="A489" s="3" t="s">
        <v>575</v>
      </c>
      <c r="B489" s="3" t="s">
        <v>118</v>
      </c>
      <c r="C489" s="4">
        <v>4</v>
      </c>
    </row>
    <row r="490" spans="1:3" ht="15" thickBot="1">
      <c r="A490" s="3" t="s">
        <v>432</v>
      </c>
      <c r="B490" s="3" t="s">
        <v>1814</v>
      </c>
      <c r="C490" s="4">
        <v>28</v>
      </c>
    </row>
    <row r="491" spans="1:3" ht="15" thickBot="1">
      <c r="A491" s="3" t="s">
        <v>1935</v>
      </c>
      <c r="B491" s="3" t="s">
        <v>34</v>
      </c>
      <c r="C491" s="4">
        <v>1</v>
      </c>
    </row>
    <row r="492" spans="1:3" ht="15" thickBot="1">
      <c r="A492" s="3" t="s">
        <v>1369</v>
      </c>
      <c r="B492" s="3" t="s">
        <v>26</v>
      </c>
      <c r="C492" s="4">
        <v>8</v>
      </c>
    </row>
    <row r="493" spans="1:3" ht="15" thickBot="1">
      <c r="A493" s="3" t="s">
        <v>1151</v>
      </c>
      <c r="B493" s="3" t="s">
        <v>26</v>
      </c>
      <c r="C493" s="4">
        <v>3</v>
      </c>
    </row>
    <row r="494" spans="1:3" ht="15" thickBot="1">
      <c r="A494" s="3" t="s">
        <v>1334</v>
      </c>
      <c r="B494" s="3" t="s">
        <v>125</v>
      </c>
      <c r="C494" s="4">
        <v>3</v>
      </c>
    </row>
    <row r="495" spans="1:3" ht="15" thickBot="1">
      <c r="A495" s="3" t="s">
        <v>1936</v>
      </c>
      <c r="B495" s="3" t="s">
        <v>1798</v>
      </c>
      <c r="C495" s="4">
        <v>2</v>
      </c>
    </row>
    <row r="496" spans="1:3" ht="15" thickBot="1">
      <c r="A496" s="3" t="s">
        <v>1937</v>
      </c>
      <c r="B496" s="3" t="s">
        <v>64</v>
      </c>
      <c r="C496" s="4">
        <v>2</v>
      </c>
    </row>
    <row r="497" spans="1:3" ht="15" thickBot="1">
      <c r="A497" s="3" t="s">
        <v>1704</v>
      </c>
      <c r="B497" s="3" t="s">
        <v>1798</v>
      </c>
      <c r="C497" s="4">
        <v>2</v>
      </c>
    </row>
    <row r="498" spans="1:3" ht="15" thickBot="1">
      <c r="A498" s="3" t="s">
        <v>1938</v>
      </c>
      <c r="B498" s="3" t="s">
        <v>1798</v>
      </c>
      <c r="C498" s="4">
        <v>2</v>
      </c>
    </row>
    <row r="499" spans="1:3" ht="15" thickBot="1">
      <c r="A499" s="3" t="s">
        <v>1281</v>
      </c>
      <c r="B499" s="3" t="s">
        <v>1814</v>
      </c>
      <c r="C499" s="4">
        <v>2</v>
      </c>
    </row>
    <row r="500" spans="1:3" ht="15" thickBot="1">
      <c r="A500" s="3" t="s">
        <v>920</v>
      </c>
      <c r="B500" s="3" t="s">
        <v>1814</v>
      </c>
      <c r="C500" s="4">
        <v>33</v>
      </c>
    </row>
    <row r="501" spans="1:3" ht="15" thickBot="1">
      <c r="A501" s="3" t="s">
        <v>92</v>
      </c>
      <c r="B501" s="3" t="s">
        <v>1802</v>
      </c>
      <c r="C501" s="4">
        <v>37</v>
      </c>
    </row>
    <row r="502" spans="1:3" ht="15" thickBot="1">
      <c r="A502" s="3" t="s">
        <v>1939</v>
      </c>
      <c r="B502" s="3" t="s">
        <v>19</v>
      </c>
      <c r="C502" s="4">
        <v>3</v>
      </c>
    </row>
    <row r="503" spans="1:3" ht="15" thickBot="1">
      <c r="A503" s="3" t="s">
        <v>650</v>
      </c>
      <c r="B503" s="3" t="s">
        <v>1814</v>
      </c>
      <c r="C503" s="4">
        <v>7</v>
      </c>
    </row>
    <row r="504" spans="1:3" ht="15" thickBot="1">
      <c r="A504" s="3" t="s">
        <v>609</v>
      </c>
      <c r="B504" s="3" t="s">
        <v>19</v>
      </c>
      <c r="C504" s="4">
        <v>6</v>
      </c>
    </row>
    <row r="505" spans="1:3" ht="15" thickBot="1">
      <c r="A505" s="3" t="s">
        <v>173</v>
      </c>
      <c r="B505" s="3" t="s">
        <v>138</v>
      </c>
      <c r="C505" s="4">
        <v>17</v>
      </c>
    </row>
    <row r="506" spans="1:3" ht="15" thickBot="1">
      <c r="A506" s="3" t="s">
        <v>376</v>
      </c>
      <c r="B506" s="3" t="s">
        <v>34</v>
      </c>
      <c r="C506" s="4">
        <v>20</v>
      </c>
    </row>
    <row r="507" spans="1:3" ht="15" thickBot="1">
      <c r="A507" s="3" t="s">
        <v>1504</v>
      </c>
      <c r="B507" s="3" t="s">
        <v>34</v>
      </c>
      <c r="C507" s="4">
        <v>21</v>
      </c>
    </row>
    <row r="508" spans="1:3" ht="15" thickBot="1">
      <c r="A508" s="3" t="s">
        <v>75</v>
      </c>
      <c r="B508" s="3" t="s">
        <v>26</v>
      </c>
      <c r="C508" s="4">
        <v>3</v>
      </c>
    </row>
    <row r="509" spans="1:3" ht="15" thickBot="1">
      <c r="A509" s="3" t="s">
        <v>1940</v>
      </c>
      <c r="B509" s="3" t="s">
        <v>34</v>
      </c>
      <c r="C509" s="4">
        <v>1</v>
      </c>
    </row>
    <row r="510" spans="1:3" ht="15" thickBot="1">
      <c r="A510" s="3" t="s">
        <v>290</v>
      </c>
      <c r="B510" s="3" t="s">
        <v>22</v>
      </c>
      <c r="C510" s="4">
        <v>9</v>
      </c>
    </row>
    <row r="511" spans="1:3" ht="15" thickBot="1">
      <c r="A511" s="3" t="s">
        <v>1126</v>
      </c>
      <c r="B511" s="3" t="s">
        <v>61</v>
      </c>
      <c r="C511" s="4">
        <v>4</v>
      </c>
    </row>
    <row r="512" spans="1:3" ht="15" thickBot="1">
      <c r="A512" s="3" t="s">
        <v>1230</v>
      </c>
      <c r="B512" s="3" t="s">
        <v>34</v>
      </c>
      <c r="C512" s="4">
        <v>25</v>
      </c>
    </row>
    <row r="513" spans="1:3" ht="15" thickBot="1">
      <c r="A513" s="3" t="s">
        <v>493</v>
      </c>
      <c r="B513" s="3" t="s">
        <v>495</v>
      </c>
      <c r="C513" s="4">
        <v>21</v>
      </c>
    </row>
    <row r="514" spans="1:3" ht="15" thickBot="1">
      <c r="A514" s="3" t="s">
        <v>1941</v>
      </c>
      <c r="B514" s="3" t="s">
        <v>26</v>
      </c>
      <c r="C514" s="4">
        <v>2</v>
      </c>
    </row>
    <row r="515" spans="1:3" ht="15" thickBot="1">
      <c r="A515" s="3" t="s">
        <v>1110</v>
      </c>
      <c r="B515" s="3" t="s">
        <v>4</v>
      </c>
      <c r="C515" s="4">
        <v>8</v>
      </c>
    </row>
    <row r="516" spans="1:3" ht="15" thickBot="1">
      <c r="A516" s="3" t="s">
        <v>729</v>
      </c>
      <c r="B516" s="3" t="s">
        <v>495</v>
      </c>
      <c r="C516" s="4">
        <v>3</v>
      </c>
    </row>
    <row r="517" spans="1:3" ht="15" thickBot="1">
      <c r="A517" s="3" t="s">
        <v>1430</v>
      </c>
      <c r="B517" s="3" t="s">
        <v>61</v>
      </c>
      <c r="C517" s="4">
        <v>5</v>
      </c>
    </row>
    <row r="518" spans="1:3" ht="15" thickBot="1">
      <c r="A518" s="3" t="s">
        <v>368</v>
      </c>
      <c r="B518" s="3" t="s">
        <v>64</v>
      </c>
      <c r="C518" s="4">
        <v>17</v>
      </c>
    </row>
    <row r="519" spans="1:3" ht="15" thickBot="1">
      <c r="A519" s="3" t="s">
        <v>1607</v>
      </c>
      <c r="B519" s="3" t="s">
        <v>34</v>
      </c>
      <c r="C519" s="4">
        <v>5</v>
      </c>
    </row>
    <row r="520" spans="1:3" ht="15" thickBot="1">
      <c r="A520" s="3" t="s">
        <v>404</v>
      </c>
      <c r="B520" s="3" t="s">
        <v>24</v>
      </c>
      <c r="C520" s="4">
        <v>1</v>
      </c>
    </row>
    <row r="521" spans="1:3" ht="15" thickBot="1">
      <c r="A521" s="3" t="s">
        <v>1942</v>
      </c>
      <c r="B521" s="3" t="s">
        <v>61</v>
      </c>
      <c r="C521" s="4">
        <v>1</v>
      </c>
    </row>
    <row r="522" spans="1:3" ht="15" thickBot="1">
      <c r="A522" s="3" t="s">
        <v>1440</v>
      </c>
      <c r="B522" s="3" t="s">
        <v>64</v>
      </c>
      <c r="C522" s="4">
        <v>5</v>
      </c>
    </row>
    <row r="523" spans="1:3" ht="15" thickBot="1">
      <c r="A523" s="3" t="s">
        <v>1166</v>
      </c>
      <c r="B523" s="3" t="s">
        <v>34</v>
      </c>
      <c r="C523" s="4">
        <v>28</v>
      </c>
    </row>
    <row r="524" spans="1:3" ht="15" thickBot="1">
      <c r="A524" s="3" t="s">
        <v>963</v>
      </c>
      <c r="B524" s="3" t="s">
        <v>98</v>
      </c>
      <c r="C524" s="4">
        <v>8</v>
      </c>
    </row>
    <row r="525" spans="1:3" ht="15" thickBot="1">
      <c r="A525" s="3" t="s">
        <v>1588</v>
      </c>
      <c r="B525" s="3" t="s">
        <v>64</v>
      </c>
      <c r="C525" s="4">
        <v>9</v>
      </c>
    </row>
    <row r="526" spans="1:3" ht="15" thickBot="1">
      <c r="A526" s="3" t="s">
        <v>1943</v>
      </c>
      <c r="B526" s="3" t="s">
        <v>125</v>
      </c>
      <c r="C526" s="4">
        <v>3</v>
      </c>
    </row>
    <row r="527" spans="1:3" ht="15" thickBot="1">
      <c r="A527" s="3" t="s">
        <v>1242</v>
      </c>
      <c r="B527" s="3" t="s">
        <v>34</v>
      </c>
      <c r="C527" s="4">
        <v>1</v>
      </c>
    </row>
    <row r="528" spans="1:3" ht="15" thickBot="1">
      <c r="A528" s="3" t="s">
        <v>1944</v>
      </c>
      <c r="B528" s="3" t="s">
        <v>61</v>
      </c>
      <c r="C528" s="4">
        <v>5</v>
      </c>
    </row>
    <row r="529" spans="1:3" ht="15" thickBot="1">
      <c r="A529" s="3" t="s">
        <v>1945</v>
      </c>
      <c r="B529" s="3" t="s">
        <v>61</v>
      </c>
      <c r="C529" s="4">
        <v>2</v>
      </c>
    </row>
    <row r="530" spans="1:3" ht="15" thickBot="1">
      <c r="A530" s="3" t="s">
        <v>1946</v>
      </c>
      <c r="B530" s="3" t="s">
        <v>1814</v>
      </c>
      <c r="C530" s="4">
        <v>23</v>
      </c>
    </row>
    <row r="531" spans="1:3" ht="15" thickBot="1">
      <c r="A531" s="3" t="s">
        <v>1045</v>
      </c>
      <c r="B531" s="3" t="s">
        <v>1947</v>
      </c>
      <c r="C531" s="4">
        <v>20</v>
      </c>
    </row>
    <row r="532" spans="1:3" ht="15" thickBot="1">
      <c r="A532" s="3" t="s">
        <v>1247</v>
      </c>
      <c r="B532" s="3" t="s">
        <v>34</v>
      </c>
      <c r="C532" s="4">
        <v>25</v>
      </c>
    </row>
    <row r="533" spans="1:3" ht="15" thickBot="1">
      <c r="A533" s="3" t="s">
        <v>396</v>
      </c>
      <c r="B533" s="3" t="s">
        <v>34</v>
      </c>
      <c r="C533" s="4">
        <v>30</v>
      </c>
    </row>
    <row r="534" spans="1:3" ht="15" thickBot="1">
      <c r="A534" s="3" t="s">
        <v>1948</v>
      </c>
      <c r="B534" s="3" t="s">
        <v>1814</v>
      </c>
      <c r="C534" s="4">
        <v>23</v>
      </c>
    </row>
    <row r="535" spans="1:3" ht="15" thickBot="1">
      <c r="A535" s="3" t="s">
        <v>1949</v>
      </c>
      <c r="B535" s="3" t="s">
        <v>19</v>
      </c>
      <c r="C535" s="4">
        <v>29</v>
      </c>
    </row>
    <row r="536" spans="1:3" ht="15" thickBot="1">
      <c r="A536" s="3" t="s">
        <v>941</v>
      </c>
      <c r="B536" s="3" t="s">
        <v>34</v>
      </c>
      <c r="C536" s="4">
        <v>30</v>
      </c>
    </row>
    <row r="537" spans="1:3" ht="15" thickBot="1">
      <c r="A537" s="3" t="s">
        <v>1950</v>
      </c>
      <c r="B537" s="3" t="s">
        <v>1802</v>
      </c>
      <c r="C537" s="4">
        <v>23</v>
      </c>
    </row>
    <row r="538" spans="1:3" ht="15" thickBot="1">
      <c r="A538" s="3" t="s">
        <v>654</v>
      </c>
      <c r="B538" s="3" t="s">
        <v>138</v>
      </c>
      <c r="C538" s="4">
        <v>13</v>
      </c>
    </row>
    <row r="539" spans="1:3" ht="15" thickBot="1">
      <c r="A539" s="3" t="s">
        <v>1951</v>
      </c>
      <c r="B539" s="3" t="s">
        <v>61</v>
      </c>
      <c r="C539" s="4">
        <v>2</v>
      </c>
    </row>
    <row r="540" spans="1:3" ht="15" thickBot="1">
      <c r="A540" s="3" t="s">
        <v>334</v>
      </c>
      <c r="B540" s="3" t="s">
        <v>138</v>
      </c>
      <c r="C540" s="4">
        <v>14</v>
      </c>
    </row>
    <row r="541" spans="1:3" ht="15" thickBot="1">
      <c r="A541" s="3" t="s">
        <v>1952</v>
      </c>
      <c r="B541" s="3" t="s">
        <v>61</v>
      </c>
      <c r="C541" s="4">
        <v>1</v>
      </c>
    </row>
    <row r="542" spans="1:3" ht="15" thickBot="1">
      <c r="A542" s="3" t="s">
        <v>1953</v>
      </c>
      <c r="B542" s="3" t="s">
        <v>22</v>
      </c>
      <c r="C542" s="4">
        <v>11</v>
      </c>
    </row>
    <row r="543" spans="1:3" ht="15" thickBot="1">
      <c r="A543" s="3" t="s">
        <v>264</v>
      </c>
      <c r="B543" s="3" t="s">
        <v>1814</v>
      </c>
      <c r="C543" s="4">
        <v>18</v>
      </c>
    </row>
    <row r="544" spans="1:3" ht="15" thickBot="1">
      <c r="A544" s="3" t="s">
        <v>717</v>
      </c>
      <c r="B544" s="3" t="s">
        <v>34</v>
      </c>
      <c r="C544" s="4">
        <v>3</v>
      </c>
    </row>
    <row r="545" spans="1:3" ht="15" thickBot="1">
      <c r="A545" s="3" t="s">
        <v>613</v>
      </c>
      <c r="B545" s="3" t="s">
        <v>34</v>
      </c>
      <c r="C545" s="4">
        <v>14</v>
      </c>
    </row>
    <row r="546" spans="1:3" ht="15" thickBot="1">
      <c r="A546" s="3" t="s">
        <v>295</v>
      </c>
      <c r="B546" s="3" t="s">
        <v>22</v>
      </c>
      <c r="C546" s="4">
        <v>16</v>
      </c>
    </row>
    <row r="547" spans="1:3" ht="15" thickBot="1">
      <c r="A547" s="3" t="s">
        <v>158</v>
      </c>
      <c r="B547" s="3" t="s">
        <v>1798</v>
      </c>
      <c r="C547" s="4">
        <v>3</v>
      </c>
    </row>
    <row r="548" spans="1:3" ht="15" thickBot="1">
      <c r="A548" s="3" t="s">
        <v>769</v>
      </c>
      <c r="B548" s="3" t="s">
        <v>64</v>
      </c>
      <c r="C548" s="4">
        <v>11</v>
      </c>
    </row>
    <row r="549" spans="1:3" ht="15" thickBot="1">
      <c r="A549" s="3" t="s">
        <v>1188</v>
      </c>
      <c r="B549" s="3" t="s">
        <v>34</v>
      </c>
      <c r="C549" s="4">
        <v>15</v>
      </c>
    </row>
    <row r="550" spans="1:3" ht="15" thickBot="1">
      <c r="A550" s="3" t="s">
        <v>953</v>
      </c>
      <c r="B550" s="3" t="s">
        <v>26</v>
      </c>
      <c r="C550" s="4">
        <v>11</v>
      </c>
    </row>
    <row r="551" spans="1:3" ht="15" thickBot="1">
      <c r="A551" s="3" t="s">
        <v>1954</v>
      </c>
      <c r="B551" s="3" t="s">
        <v>26</v>
      </c>
      <c r="C551" s="4">
        <v>4</v>
      </c>
    </row>
    <row r="552" spans="1:3" ht="15" thickBot="1">
      <c r="A552" s="3" t="s">
        <v>1955</v>
      </c>
      <c r="B552" s="3" t="s">
        <v>125</v>
      </c>
      <c r="C552" s="4">
        <v>2</v>
      </c>
    </row>
    <row r="553" spans="1:3" ht="15" thickBot="1">
      <c r="A553" s="3" t="s">
        <v>689</v>
      </c>
      <c r="B553" s="3" t="s">
        <v>1802</v>
      </c>
      <c r="C553" s="4">
        <v>4</v>
      </c>
    </row>
    <row r="554" spans="1:3" ht="15" thickBot="1">
      <c r="A554" s="3" t="s">
        <v>1956</v>
      </c>
      <c r="B554" s="3" t="s">
        <v>1802</v>
      </c>
      <c r="C554" s="4">
        <v>2</v>
      </c>
    </row>
    <row r="555" spans="1:3" ht="15" thickBot="1">
      <c r="A555" s="3" t="s">
        <v>751</v>
      </c>
      <c r="B555" s="3" t="s">
        <v>1802</v>
      </c>
      <c r="C555" s="4">
        <v>4</v>
      </c>
    </row>
    <row r="556" spans="1:3" ht="15" thickBot="1">
      <c r="A556" s="3" t="s">
        <v>1957</v>
      </c>
      <c r="B556" s="3" t="s">
        <v>1802</v>
      </c>
      <c r="C556" s="4">
        <v>3</v>
      </c>
    </row>
    <row r="557" spans="1:3" ht="15" thickBot="1">
      <c r="A557" s="3" t="s">
        <v>171</v>
      </c>
      <c r="B557" s="3" t="s">
        <v>1802</v>
      </c>
      <c r="C557" s="4">
        <v>6</v>
      </c>
    </row>
    <row r="558" spans="1:3" ht="15" thickBot="1">
      <c r="A558" s="3" t="s">
        <v>1958</v>
      </c>
      <c r="B558" s="3" t="s">
        <v>1810</v>
      </c>
      <c r="C558" s="4">
        <v>1</v>
      </c>
    </row>
    <row r="559" spans="1:3" ht="15" thickBot="1">
      <c r="A559" s="3" t="s">
        <v>1959</v>
      </c>
      <c r="B559" s="3" t="s">
        <v>61</v>
      </c>
      <c r="C559" s="4">
        <v>5</v>
      </c>
    </row>
    <row r="560" spans="1:3" ht="15" thickBot="1">
      <c r="A560" s="3" t="s">
        <v>1463</v>
      </c>
      <c r="B560" s="3" t="s">
        <v>26</v>
      </c>
      <c r="C560" s="4">
        <v>4</v>
      </c>
    </row>
    <row r="561" spans="1:3" ht="15" thickBot="1">
      <c r="A561" s="3" t="s">
        <v>1960</v>
      </c>
      <c r="B561" s="3" t="s">
        <v>1814</v>
      </c>
      <c r="C561" s="4">
        <v>3</v>
      </c>
    </row>
    <row r="562" spans="1:3" ht="15" thickBot="1">
      <c r="A562" s="3" t="s">
        <v>1287</v>
      </c>
      <c r="B562" s="3" t="s">
        <v>34</v>
      </c>
      <c r="C562" s="4">
        <v>7</v>
      </c>
    </row>
    <row r="563" spans="1:3" ht="15" thickBot="1">
      <c r="A563" s="3" t="s">
        <v>1961</v>
      </c>
      <c r="B563" s="3" t="s">
        <v>34</v>
      </c>
      <c r="C563" s="4">
        <v>1</v>
      </c>
    </row>
    <row r="564" spans="1:3" ht="15" thickBot="1">
      <c r="A564" s="3" t="s">
        <v>247</v>
      </c>
      <c r="B564" s="3" t="s">
        <v>61</v>
      </c>
      <c r="C564" s="4">
        <v>10</v>
      </c>
    </row>
    <row r="565" spans="1:3" ht="15" thickBot="1">
      <c r="A565" s="3" t="s">
        <v>255</v>
      </c>
      <c r="B565" s="3" t="s">
        <v>560</v>
      </c>
      <c r="C565" s="4">
        <v>8</v>
      </c>
    </row>
    <row r="566" spans="1:3" ht="15" thickBot="1">
      <c r="A566" s="3" t="s">
        <v>1962</v>
      </c>
      <c r="B566" s="3" t="s">
        <v>26</v>
      </c>
      <c r="C566" s="4">
        <v>18</v>
      </c>
    </row>
    <row r="567" spans="1:3" ht="15" thickBot="1">
      <c r="A567" s="3" t="s">
        <v>1963</v>
      </c>
      <c r="B567" s="3" t="s">
        <v>1814</v>
      </c>
      <c r="C567" s="4">
        <v>1</v>
      </c>
    </row>
    <row r="568" spans="1:3" ht="15" thickBot="1">
      <c r="A568" s="3" t="s">
        <v>198</v>
      </c>
      <c r="B568" s="3" t="s">
        <v>125</v>
      </c>
      <c r="C568" s="4">
        <v>71</v>
      </c>
    </row>
    <row r="569" spans="1:3" ht="15" thickBot="1">
      <c r="A569" s="3" t="s">
        <v>1964</v>
      </c>
      <c r="B569" s="3" t="s">
        <v>34</v>
      </c>
      <c r="C569" s="4">
        <v>4</v>
      </c>
    </row>
    <row r="570" spans="1:3" ht="15" thickBot="1">
      <c r="A570" s="3" t="s">
        <v>1965</v>
      </c>
      <c r="B570" s="3" t="s">
        <v>125</v>
      </c>
      <c r="C570" s="4">
        <v>2</v>
      </c>
    </row>
    <row r="571" spans="1:3" ht="15" thickBot="1">
      <c r="A571" s="3" t="s">
        <v>1966</v>
      </c>
      <c r="B571" s="3" t="s">
        <v>1802</v>
      </c>
      <c r="C571" s="4">
        <v>5</v>
      </c>
    </row>
    <row r="572" spans="1:3" ht="15" thickBot="1">
      <c r="A572" s="3" t="s">
        <v>1102</v>
      </c>
      <c r="B572" s="3" t="s">
        <v>1802</v>
      </c>
      <c r="C572" s="4">
        <v>7</v>
      </c>
    </row>
    <row r="573" spans="1:3" ht="15" thickBot="1">
      <c r="A573" s="3" t="s">
        <v>1967</v>
      </c>
      <c r="B573" s="3" t="s">
        <v>1798</v>
      </c>
      <c r="C573" s="4">
        <v>1</v>
      </c>
    </row>
    <row r="574" spans="1:3" ht="15" thickBot="1">
      <c r="A574" s="3" t="s">
        <v>1968</v>
      </c>
      <c r="B574" s="3" t="s">
        <v>1798</v>
      </c>
      <c r="C574" s="4">
        <v>1</v>
      </c>
    </row>
    <row r="575" spans="1:3" ht="15" thickBot="1">
      <c r="A575" s="3" t="s">
        <v>1439</v>
      </c>
      <c r="B575" s="3" t="s">
        <v>22</v>
      </c>
      <c r="C575" s="4">
        <v>3</v>
      </c>
    </row>
    <row r="576" spans="1:3" ht="15" thickBot="1">
      <c r="A576" s="3" t="s">
        <v>1182</v>
      </c>
      <c r="B576" s="3" t="s">
        <v>34</v>
      </c>
      <c r="C576" s="4">
        <v>1</v>
      </c>
    </row>
    <row r="577" spans="1:3" ht="15" thickBot="1">
      <c r="A577" s="3" t="s">
        <v>1029</v>
      </c>
      <c r="B577" s="3" t="s">
        <v>22</v>
      </c>
      <c r="C577" s="4">
        <v>15</v>
      </c>
    </row>
    <row r="578" spans="1:3" ht="15" thickBot="1">
      <c r="A578" s="3" t="s">
        <v>251</v>
      </c>
      <c r="B578" s="3" t="s">
        <v>495</v>
      </c>
      <c r="C578" s="4">
        <v>65</v>
      </c>
    </row>
    <row r="579" spans="1:3" ht="15" thickBot="1">
      <c r="A579" s="3" t="s">
        <v>1969</v>
      </c>
      <c r="B579" s="3" t="s">
        <v>560</v>
      </c>
      <c r="C579" s="4">
        <v>9</v>
      </c>
    </row>
    <row r="580" spans="1:3" ht="15" thickBot="1">
      <c r="A580" s="3" t="s">
        <v>232</v>
      </c>
      <c r="B580" s="3" t="s">
        <v>560</v>
      </c>
      <c r="C580" s="4">
        <v>22</v>
      </c>
    </row>
    <row r="581" spans="1:3" ht="15" thickBot="1">
      <c r="A581" s="3" t="s">
        <v>1129</v>
      </c>
      <c r="B581" s="6" t="s">
        <v>1970</v>
      </c>
      <c r="C581" s="4">
        <v>3</v>
      </c>
    </row>
    <row r="582" spans="1:3" ht="15" thickBot="1">
      <c r="A582" s="3" t="s">
        <v>1971</v>
      </c>
      <c r="B582" s="3" t="s">
        <v>61</v>
      </c>
      <c r="C582" s="4">
        <v>4</v>
      </c>
    </row>
    <row r="583" spans="1:3" ht="15" thickBot="1">
      <c r="A583" s="3" t="s">
        <v>615</v>
      </c>
      <c r="B583" s="3" t="s">
        <v>34</v>
      </c>
      <c r="C583" s="4">
        <v>21</v>
      </c>
    </row>
    <row r="584" spans="1:3" ht="15" thickBot="1">
      <c r="A584" s="3" t="s">
        <v>1972</v>
      </c>
      <c r="B584" s="3" t="s">
        <v>1814</v>
      </c>
      <c r="C584" s="4">
        <v>1</v>
      </c>
    </row>
    <row r="585" spans="1:3" ht="15" thickBot="1">
      <c r="A585" s="3" t="s">
        <v>1973</v>
      </c>
      <c r="B585" s="3" t="s">
        <v>1802</v>
      </c>
      <c r="C585" s="4">
        <v>2</v>
      </c>
    </row>
    <row r="586" spans="1:3" ht="15" thickBot="1">
      <c r="A586" s="3" t="s">
        <v>1974</v>
      </c>
      <c r="B586" s="3" t="s">
        <v>19</v>
      </c>
      <c r="C586" s="4">
        <v>1</v>
      </c>
    </row>
    <row r="587" spans="1:3" ht="15" thickBot="1">
      <c r="A587" s="3" t="s">
        <v>428</v>
      </c>
      <c r="B587" s="3" t="s">
        <v>1802</v>
      </c>
      <c r="C587" s="4">
        <v>16</v>
      </c>
    </row>
    <row r="588" spans="1:3" ht="15" thickBot="1">
      <c r="A588" s="3" t="s">
        <v>1157</v>
      </c>
      <c r="B588" s="3" t="s">
        <v>19</v>
      </c>
      <c r="C588" s="4">
        <v>10</v>
      </c>
    </row>
    <row r="589" spans="1:3" ht="15" thickBot="1">
      <c r="A589" s="3" t="s">
        <v>1975</v>
      </c>
      <c r="B589" s="3" t="s">
        <v>22</v>
      </c>
      <c r="C589" s="4">
        <v>2</v>
      </c>
    </row>
    <row r="590" spans="1:3" ht="15" thickBot="1">
      <c r="A590" s="3" t="s">
        <v>1976</v>
      </c>
      <c r="B590" s="3" t="s">
        <v>1810</v>
      </c>
      <c r="C590" s="4">
        <v>1</v>
      </c>
    </row>
    <row r="591" spans="1:3" ht="15" thickBot="1">
      <c r="A591" s="3" t="s">
        <v>667</v>
      </c>
      <c r="B591" s="3" t="s">
        <v>1802</v>
      </c>
      <c r="C591" s="4">
        <v>6</v>
      </c>
    </row>
    <row r="592" spans="1:3" ht="15" thickBot="1">
      <c r="A592" s="3" t="s">
        <v>1977</v>
      </c>
      <c r="B592" s="3" t="s">
        <v>26</v>
      </c>
      <c r="C592" s="4">
        <v>1</v>
      </c>
    </row>
    <row r="593" spans="1:3" ht="15" thickBot="1">
      <c r="A593" s="3" t="s">
        <v>1333</v>
      </c>
      <c r="B593" s="3" t="s">
        <v>19</v>
      </c>
      <c r="C593" s="4">
        <v>1</v>
      </c>
    </row>
    <row r="594" spans="1:3" ht="15" thickBot="1">
      <c r="A594" s="3" t="s">
        <v>1978</v>
      </c>
      <c r="B594" s="3" t="s">
        <v>1814</v>
      </c>
      <c r="C594" s="4">
        <v>2</v>
      </c>
    </row>
    <row r="595" spans="1:3" ht="15" thickBot="1">
      <c r="A595" s="3" t="s">
        <v>1485</v>
      </c>
      <c r="B595" s="3" t="s">
        <v>115</v>
      </c>
      <c r="C595" s="4">
        <v>4</v>
      </c>
    </row>
    <row r="596" spans="1:3" ht="15" thickBot="1">
      <c r="A596" s="3" t="s">
        <v>928</v>
      </c>
      <c r="B596" s="3" t="s">
        <v>1798</v>
      </c>
      <c r="C596" s="4">
        <v>9</v>
      </c>
    </row>
    <row r="597" spans="1:3" ht="15" thickBot="1">
      <c r="A597" s="3" t="s">
        <v>469</v>
      </c>
      <c r="B597" s="3" t="s">
        <v>1814</v>
      </c>
      <c r="C597" s="4">
        <v>3</v>
      </c>
    </row>
    <row r="598" spans="1:3" ht="15" thickBot="1">
      <c r="A598" s="3" t="s">
        <v>488</v>
      </c>
      <c r="B598" s="3" t="s">
        <v>26</v>
      </c>
      <c r="C598" s="4">
        <v>11</v>
      </c>
    </row>
    <row r="599" spans="1:3" ht="15" thickBot="1">
      <c r="A599" s="3" t="s">
        <v>366</v>
      </c>
      <c r="B599" s="3" t="s">
        <v>64</v>
      </c>
      <c r="C599" s="4">
        <v>10</v>
      </c>
    </row>
    <row r="600" spans="1:3" ht="15" thickBot="1">
      <c r="A600" s="3" t="s">
        <v>1979</v>
      </c>
      <c r="B600" s="3" t="s">
        <v>34</v>
      </c>
      <c r="C600" s="4">
        <v>2</v>
      </c>
    </row>
    <row r="601" spans="1:3" ht="15" thickBot="1">
      <c r="A601" s="3" t="s">
        <v>1493</v>
      </c>
      <c r="B601" s="3" t="s">
        <v>115</v>
      </c>
      <c r="C601" s="4">
        <v>7</v>
      </c>
    </row>
    <row r="602" spans="1:3" ht="15" thickBot="1">
      <c r="A602" s="3" t="s">
        <v>914</v>
      </c>
      <c r="B602" s="3" t="s">
        <v>115</v>
      </c>
      <c r="C602" s="4">
        <v>5</v>
      </c>
    </row>
    <row r="603" spans="1:3" ht="15" thickBot="1">
      <c r="A603" s="3" t="s">
        <v>443</v>
      </c>
      <c r="B603" s="3" t="s">
        <v>64</v>
      </c>
      <c r="C603" s="4">
        <v>4</v>
      </c>
    </row>
    <row r="604" spans="1:3" ht="15" thickBot="1">
      <c r="A604" s="3" t="s">
        <v>394</v>
      </c>
      <c r="B604" s="3" t="s">
        <v>1814</v>
      </c>
      <c r="C604" s="4">
        <v>19</v>
      </c>
    </row>
    <row r="605" spans="1:3" ht="15" thickBot="1">
      <c r="A605" s="3" t="s">
        <v>1980</v>
      </c>
      <c r="B605" s="3" t="s">
        <v>1981</v>
      </c>
      <c r="C605" s="4">
        <v>2</v>
      </c>
    </row>
    <row r="606" spans="1:3" ht="15" thickBot="1">
      <c r="A606" s="3" t="s">
        <v>479</v>
      </c>
      <c r="B606" s="3" t="s">
        <v>1814</v>
      </c>
      <c r="C606" s="4">
        <v>5</v>
      </c>
    </row>
    <row r="607" spans="1:3" ht="15" thickBot="1">
      <c r="A607" s="3" t="s">
        <v>1982</v>
      </c>
      <c r="B607" s="3" t="s">
        <v>26</v>
      </c>
      <c r="C607" s="4">
        <v>1</v>
      </c>
    </row>
    <row r="608" spans="1:3" ht="15" thickBot="1">
      <c r="A608" s="3" t="s">
        <v>1983</v>
      </c>
      <c r="B608" s="3" t="s">
        <v>1814</v>
      </c>
      <c r="C608" s="4">
        <v>1</v>
      </c>
    </row>
    <row r="609" spans="1:3" ht="15" thickBot="1">
      <c r="A609" s="3" t="s">
        <v>471</v>
      </c>
      <c r="B609" s="3" t="s">
        <v>115</v>
      </c>
      <c r="C609" s="4">
        <v>2</v>
      </c>
    </row>
    <row r="610" spans="1:3" ht="15" thickBot="1">
      <c r="A610" s="3" t="s">
        <v>1371</v>
      </c>
      <c r="B610" s="3" t="s">
        <v>61</v>
      </c>
      <c r="C610" s="4">
        <v>3</v>
      </c>
    </row>
    <row r="611" spans="1:3" ht="15" thickBot="1">
      <c r="A611" s="3" t="s">
        <v>1984</v>
      </c>
      <c r="B611" s="3" t="s">
        <v>1802</v>
      </c>
      <c r="C611" s="4">
        <v>1</v>
      </c>
    </row>
    <row r="612" spans="1:3" ht="15" thickBot="1">
      <c r="A612" s="3" t="s">
        <v>1985</v>
      </c>
      <c r="B612" s="3" t="s">
        <v>138</v>
      </c>
      <c r="C612" s="4">
        <v>1</v>
      </c>
    </row>
    <row r="613" spans="1:3" ht="15" thickBot="1">
      <c r="A613" s="3" t="s">
        <v>1986</v>
      </c>
      <c r="B613" s="3" t="s">
        <v>138</v>
      </c>
      <c r="C613" s="4">
        <v>1</v>
      </c>
    </row>
    <row r="614" spans="1:3" ht="15" thickBot="1">
      <c r="A614" s="3" t="s">
        <v>1332</v>
      </c>
      <c r="B614" s="3" t="s">
        <v>26</v>
      </c>
      <c r="C614" s="4">
        <v>1</v>
      </c>
    </row>
    <row r="615" spans="1:3" ht="15" thickBot="1">
      <c r="A615" s="3" t="s">
        <v>87</v>
      </c>
      <c r="B615" s="3" t="s">
        <v>61</v>
      </c>
      <c r="C615" s="4">
        <v>32</v>
      </c>
    </row>
    <row r="616" spans="1:3" ht="15" thickBot="1">
      <c r="A616" s="3" t="s">
        <v>1120</v>
      </c>
      <c r="B616" s="3" t="s">
        <v>64</v>
      </c>
      <c r="C616" s="4">
        <v>7</v>
      </c>
    </row>
    <row r="617" spans="1:3" ht="15" thickBot="1">
      <c r="A617" s="3" t="s">
        <v>397</v>
      </c>
      <c r="B617" s="3" t="s">
        <v>34</v>
      </c>
      <c r="C617" s="4">
        <v>11</v>
      </c>
    </row>
    <row r="618" spans="1:3" ht="15" thickBot="1">
      <c r="A618" s="3" t="s">
        <v>805</v>
      </c>
      <c r="B618" s="3" t="s">
        <v>1814</v>
      </c>
      <c r="C618" s="4">
        <v>16</v>
      </c>
    </row>
    <row r="619" spans="1:3" ht="15" thickBot="1">
      <c r="A619" s="3" t="s">
        <v>117</v>
      </c>
      <c r="B619" s="3" t="s">
        <v>1814</v>
      </c>
      <c r="C619" s="4">
        <v>26</v>
      </c>
    </row>
    <row r="620" spans="1:3" ht="15" thickBot="1">
      <c r="A620" s="3" t="s">
        <v>315</v>
      </c>
      <c r="B620" s="3" t="s">
        <v>495</v>
      </c>
      <c r="C620" s="4">
        <v>4</v>
      </c>
    </row>
    <row r="621" spans="1:3" ht="15" thickBot="1">
      <c r="A621" s="3" t="s">
        <v>1272</v>
      </c>
      <c r="B621" s="3" t="s">
        <v>1810</v>
      </c>
      <c r="C621" s="4">
        <v>3</v>
      </c>
    </row>
    <row r="622" spans="1:3" ht="15" thickBot="1">
      <c r="A622" s="3" t="s">
        <v>757</v>
      </c>
      <c r="B622" s="3" t="s">
        <v>1981</v>
      </c>
      <c r="C622" s="4">
        <v>4</v>
      </c>
    </row>
    <row r="623" spans="1:3" ht="15" thickBot="1">
      <c r="A623" s="3" t="s">
        <v>395</v>
      </c>
      <c r="B623" s="3" t="s">
        <v>61</v>
      </c>
      <c r="C623" s="4">
        <v>23</v>
      </c>
    </row>
    <row r="624" spans="1:3" ht="15" thickBot="1">
      <c r="A624" s="3" t="s">
        <v>66</v>
      </c>
      <c r="B624" s="6" t="s">
        <v>1970</v>
      </c>
      <c r="C624" s="4">
        <v>18</v>
      </c>
    </row>
    <row r="625" spans="1:3" ht="15" thickBot="1">
      <c r="A625" s="3" t="s">
        <v>1987</v>
      </c>
      <c r="B625" s="3" t="s">
        <v>24</v>
      </c>
      <c r="C625" s="4">
        <v>1</v>
      </c>
    </row>
    <row r="626" spans="1:3" ht="15" thickBot="1">
      <c r="A626" s="3" t="s">
        <v>80</v>
      </c>
      <c r="B626" s="3" t="s">
        <v>64</v>
      </c>
      <c r="C626" s="4">
        <v>8</v>
      </c>
    </row>
    <row r="627" spans="1:3" ht="15" thickBot="1">
      <c r="A627" s="3" t="s">
        <v>211</v>
      </c>
      <c r="B627" s="3" t="s">
        <v>1802</v>
      </c>
      <c r="C627" s="4">
        <v>10</v>
      </c>
    </row>
    <row r="628" spans="1:3" ht="15" thickBot="1">
      <c r="A628" s="3" t="s">
        <v>827</v>
      </c>
      <c r="B628" s="3" t="s">
        <v>1802</v>
      </c>
      <c r="C628" s="4">
        <v>4</v>
      </c>
    </row>
    <row r="629" spans="1:3" ht="15" thickBot="1">
      <c r="A629" s="3" t="s">
        <v>1106</v>
      </c>
      <c r="B629" s="3" t="s">
        <v>26</v>
      </c>
      <c r="C629" s="4">
        <v>3</v>
      </c>
    </row>
    <row r="630" spans="1:3" ht="15" thickBot="1">
      <c r="A630" s="3" t="s">
        <v>1237</v>
      </c>
      <c r="B630" s="3" t="s">
        <v>61</v>
      </c>
      <c r="C630" s="4">
        <v>10</v>
      </c>
    </row>
    <row r="631" spans="1:3" ht="15" thickBot="1">
      <c r="A631" s="3" t="s">
        <v>1988</v>
      </c>
      <c r="B631" s="3" t="s">
        <v>1798</v>
      </c>
      <c r="C631" s="4">
        <v>1</v>
      </c>
    </row>
    <row r="632" spans="1:3" ht="15" thickBot="1">
      <c r="A632" s="3" t="s">
        <v>1989</v>
      </c>
      <c r="B632" s="3" t="s">
        <v>64</v>
      </c>
      <c r="C632" s="4">
        <v>1</v>
      </c>
    </row>
    <row r="633" spans="1:3" ht="15" thickBot="1">
      <c r="A633" s="3" t="s">
        <v>1990</v>
      </c>
      <c r="B633" s="3" t="s">
        <v>64</v>
      </c>
      <c r="C633" s="4">
        <v>1</v>
      </c>
    </row>
    <row r="634" spans="1:3" ht="15" thickBot="1">
      <c r="A634" s="3" t="s">
        <v>1344</v>
      </c>
      <c r="B634" s="3" t="s">
        <v>19</v>
      </c>
      <c r="C634" s="4">
        <v>4</v>
      </c>
    </row>
    <row r="635" spans="1:3" ht="15" thickBot="1">
      <c r="A635" s="3" t="s">
        <v>367</v>
      </c>
      <c r="B635" s="3" t="s">
        <v>64</v>
      </c>
      <c r="C635" s="4">
        <v>14</v>
      </c>
    </row>
    <row r="636" spans="1:3" ht="15" thickBot="1">
      <c r="A636" s="3" t="s">
        <v>880</v>
      </c>
      <c r="B636" s="3" t="s">
        <v>125</v>
      </c>
      <c r="C636" s="4">
        <v>29</v>
      </c>
    </row>
    <row r="637" spans="1:3" ht="15" thickBot="1">
      <c r="A637" s="3" t="s">
        <v>1154</v>
      </c>
      <c r="B637" s="3" t="s">
        <v>19</v>
      </c>
      <c r="C637" s="4">
        <v>35</v>
      </c>
    </row>
    <row r="638" spans="1:3" ht="15" thickBot="1">
      <c r="A638" s="3" t="s">
        <v>476</v>
      </c>
      <c r="B638" s="3" t="s">
        <v>26</v>
      </c>
      <c r="C638" s="4">
        <v>21</v>
      </c>
    </row>
    <row r="639" spans="1:3" ht="15" thickBot="1">
      <c r="A639" s="3" t="s">
        <v>457</v>
      </c>
      <c r="B639" s="3" t="s">
        <v>1802</v>
      </c>
      <c r="C639" s="4">
        <v>12</v>
      </c>
    </row>
    <row r="640" spans="1:3" ht="15" thickBot="1">
      <c r="A640" s="3" t="s">
        <v>363</v>
      </c>
      <c r="B640" s="3" t="s">
        <v>64</v>
      </c>
      <c r="C640" s="4">
        <v>7</v>
      </c>
    </row>
    <row r="641" spans="1:3" ht="15" thickBot="1">
      <c r="A641" s="3" t="s">
        <v>888</v>
      </c>
      <c r="B641" s="3" t="s">
        <v>64</v>
      </c>
      <c r="C641" s="4">
        <v>7</v>
      </c>
    </row>
    <row r="642" spans="1:3" ht="15" thickBot="1">
      <c r="A642" s="3" t="s">
        <v>478</v>
      </c>
      <c r="B642" s="3" t="s">
        <v>560</v>
      </c>
      <c r="C642" s="4">
        <v>8</v>
      </c>
    </row>
    <row r="643" spans="1:3" ht="15" thickBot="1">
      <c r="A643" s="3" t="s">
        <v>1991</v>
      </c>
      <c r="B643" s="3" t="s">
        <v>24</v>
      </c>
      <c r="C643" s="4">
        <v>2</v>
      </c>
    </row>
    <row r="644" spans="1:3" ht="15" thickBot="1">
      <c r="A644" s="3" t="s">
        <v>831</v>
      </c>
      <c r="B644" s="3" t="s">
        <v>138</v>
      </c>
      <c r="C644" s="4">
        <v>3</v>
      </c>
    </row>
    <row r="645" spans="1:3" ht="15" thickBot="1">
      <c r="A645" s="3" t="s">
        <v>1992</v>
      </c>
      <c r="B645" s="3" t="s">
        <v>118</v>
      </c>
      <c r="C645" s="4">
        <v>1</v>
      </c>
    </row>
    <row r="646" spans="1:3" ht="15" thickBot="1">
      <c r="A646" s="3" t="s">
        <v>1501</v>
      </c>
      <c r="B646" s="3" t="s">
        <v>34</v>
      </c>
      <c r="C646" s="4">
        <v>8</v>
      </c>
    </row>
    <row r="647" spans="1:3" ht="15" thickBot="1">
      <c r="A647" s="3" t="s">
        <v>1993</v>
      </c>
      <c r="B647" s="3" t="s">
        <v>138</v>
      </c>
      <c r="C647" s="4">
        <v>1</v>
      </c>
    </row>
    <row r="648" spans="1:3" ht="15" thickBot="1">
      <c r="A648" s="3" t="s">
        <v>1994</v>
      </c>
      <c r="B648" s="3" t="s">
        <v>32</v>
      </c>
      <c r="C648" s="4">
        <v>8</v>
      </c>
    </row>
    <row r="649" spans="1:3" ht="15" thickBot="1">
      <c r="A649" s="3" t="s">
        <v>1995</v>
      </c>
      <c r="B649" s="3" t="s">
        <v>34</v>
      </c>
      <c r="C649" s="4">
        <v>2</v>
      </c>
    </row>
    <row r="650" spans="1:3" ht="15" thickBot="1">
      <c r="A650" s="3" t="s">
        <v>1428</v>
      </c>
      <c r="B650" s="3" t="s">
        <v>34</v>
      </c>
      <c r="C650" s="4">
        <v>4</v>
      </c>
    </row>
    <row r="651" spans="1:3" ht="15" thickBot="1">
      <c r="A651" s="3" t="s">
        <v>1626</v>
      </c>
      <c r="B651" s="3" t="s">
        <v>34</v>
      </c>
      <c r="C651" s="4">
        <v>4</v>
      </c>
    </row>
    <row r="652" spans="1:3" ht="15" thickBot="1">
      <c r="A652" s="3" t="s">
        <v>106</v>
      </c>
      <c r="B652" s="3" t="s">
        <v>1814</v>
      </c>
      <c r="C652" s="4">
        <v>44</v>
      </c>
    </row>
    <row r="653" spans="1:3" ht="15" thickBot="1">
      <c r="A653" s="3" t="s">
        <v>1996</v>
      </c>
      <c r="B653" s="3" t="s">
        <v>19</v>
      </c>
      <c r="C653" s="4">
        <v>6</v>
      </c>
    </row>
    <row r="654" spans="1:3" ht="15" thickBot="1">
      <c r="A654" s="3" t="s">
        <v>1997</v>
      </c>
      <c r="B654" s="3" t="s">
        <v>125</v>
      </c>
      <c r="C654" s="4">
        <v>10</v>
      </c>
    </row>
    <row r="655" spans="1:3" ht="15" thickBot="1">
      <c r="A655" s="3" t="s">
        <v>1171</v>
      </c>
      <c r="B655" s="3" t="s">
        <v>495</v>
      </c>
      <c r="C655" s="4">
        <v>1</v>
      </c>
    </row>
    <row r="656" spans="1:3" ht="15" thickBot="1">
      <c r="A656" s="3" t="s">
        <v>878</v>
      </c>
      <c r="B656" s="3" t="s">
        <v>1981</v>
      </c>
      <c r="C656" s="4">
        <v>1</v>
      </c>
    </row>
    <row r="657" spans="1:3" ht="15" thickBot="1">
      <c r="A657" s="3" t="s">
        <v>1612</v>
      </c>
      <c r="B657" s="3" t="s">
        <v>115</v>
      </c>
      <c r="C657" s="4">
        <v>1</v>
      </c>
    </row>
    <row r="658" spans="1:3" ht="15" thickBot="1">
      <c r="A658" s="3" t="s">
        <v>172</v>
      </c>
      <c r="B658" s="3" t="s">
        <v>1802</v>
      </c>
      <c r="C658" s="4">
        <v>2</v>
      </c>
    </row>
    <row r="659" spans="1:3" ht="15" thickBot="1">
      <c r="A659" s="3" t="s">
        <v>936</v>
      </c>
      <c r="B659" s="3" t="s">
        <v>1814</v>
      </c>
      <c r="C659" s="4">
        <v>2</v>
      </c>
    </row>
    <row r="660" spans="1:3" ht="15" thickBot="1">
      <c r="A660" s="3" t="s">
        <v>818</v>
      </c>
      <c r="B660" s="3" t="s">
        <v>26</v>
      </c>
      <c r="C660" s="4">
        <v>1</v>
      </c>
    </row>
    <row r="661" spans="1:3" ht="15" thickBot="1">
      <c r="A661" s="3" t="s">
        <v>65</v>
      </c>
      <c r="B661" s="3" t="s">
        <v>1802</v>
      </c>
      <c r="C661" s="4">
        <v>52</v>
      </c>
    </row>
    <row r="662" spans="1:3" ht="15" thickBot="1">
      <c r="A662" s="3" t="s">
        <v>1998</v>
      </c>
      <c r="B662" s="3" t="s">
        <v>1802</v>
      </c>
      <c r="C662" s="4">
        <v>3</v>
      </c>
    </row>
    <row r="663" spans="1:3" ht="15" thickBot="1">
      <c r="A663" s="3" t="s">
        <v>1494</v>
      </c>
      <c r="B663" s="3" t="s">
        <v>24</v>
      </c>
      <c r="C663" s="4">
        <v>6</v>
      </c>
    </row>
    <row r="664" spans="1:3" ht="15" thickBot="1">
      <c r="A664" s="3" t="s">
        <v>1565</v>
      </c>
      <c r="B664" s="3" t="s">
        <v>64</v>
      </c>
      <c r="C664" s="4">
        <v>12</v>
      </c>
    </row>
    <row r="665" spans="1:3" ht="15" thickBot="1">
      <c r="A665" s="3" t="s">
        <v>1474</v>
      </c>
      <c r="B665" s="3" t="s">
        <v>34</v>
      </c>
      <c r="C665" s="4">
        <v>10</v>
      </c>
    </row>
    <row r="666" spans="1:3" ht="15" thickBot="1">
      <c r="A666" s="3" t="s">
        <v>1550</v>
      </c>
      <c r="B666" s="3" t="s">
        <v>61</v>
      </c>
      <c r="C666" s="4">
        <v>3</v>
      </c>
    </row>
    <row r="667" spans="1:3" ht="15" thickBot="1">
      <c r="A667" s="3" t="s">
        <v>301</v>
      </c>
      <c r="B667" s="3" t="s">
        <v>34</v>
      </c>
      <c r="C667" s="4">
        <v>6</v>
      </c>
    </row>
    <row r="668" spans="1:3" ht="15" thickBot="1">
      <c r="A668" s="3" t="s">
        <v>313</v>
      </c>
      <c r="B668" s="3" t="s">
        <v>115</v>
      </c>
      <c r="C668" s="4">
        <v>9</v>
      </c>
    </row>
    <row r="669" spans="1:3" ht="15" thickBot="1">
      <c r="A669" s="3" t="s">
        <v>1999</v>
      </c>
      <c r="B669" s="3" t="s">
        <v>115</v>
      </c>
      <c r="C669" s="4">
        <v>1</v>
      </c>
    </row>
    <row r="670" spans="1:3" ht="15" thickBot="1">
      <c r="A670" s="3" t="s">
        <v>2000</v>
      </c>
      <c r="B670" s="3" t="s">
        <v>64</v>
      </c>
      <c r="C670" s="4">
        <v>3</v>
      </c>
    </row>
    <row r="671" spans="1:3" ht="15" thickBot="1">
      <c r="A671" s="3" t="s">
        <v>1383</v>
      </c>
      <c r="B671" s="3" t="s">
        <v>64</v>
      </c>
      <c r="C671" s="4">
        <v>4</v>
      </c>
    </row>
    <row r="672" spans="1:3" ht="15" thickBot="1">
      <c r="A672" s="3" t="s">
        <v>1205</v>
      </c>
      <c r="B672" s="3" t="s">
        <v>1814</v>
      </c>
      <c r="C672" s="4">
        <v>13</v>
      </c>
    </row>
    <row r="673" spans="1:3" ht="15" thickBot="1">
      <c r="A673" s="3" t="s">
        <v>2001</v>
      </c>
      <c r="B673" s="3" t="s">
        <v>125</v>
      </c>
      <c r="C673" s="4">
        <v>3</v>
      </c>
    </row>
    <row r="674" spans="1:3" ht="15" thickBot="1">
      <c r="A674" s="3" t="s">
        <v>1786</v>
      </c>
      <c r="B674" s="3" t="s">
        <v>125</v>
      </c>
      <c r="C674" s="4">
        <v>4</v>
      </c>
    </row>
    <row r="675" spans="1:3" ht="15" thickBot="1">
      <c r="A675" s="3" t="s">
        <v>683</v>
      </c>
      <c r="B675" s="3" t="s">
        <v>560</v>
      </c>
      <c r="C675" s="4">
        <v>3</v>
      </c>
    </row>
    <row r="676" spans="1:3" ht="15" thickBot="1">
      <c r="A676" s="3" t="s">
        <v>227</v>
      </c>
      <c r="B676" s="3" t="s">
        <v>560</v>
      </c>
      <c r="C676" s="4">
        <v>23</v>
      </c>
    </row>
    <row r="677" spans="1:3" ht="15" thickBot="1">
      <c r="A677" s="3" t="s">
        <v>2002</v>
      </c>
      <c r="B677" s="3" t="s">
        <v>4</v>
      </c>
      <c r="C677" s="4">
        <v>2</v>
      </c>
    </row>
    <row r="678" spans="1:3" ht="15" thickBot="1">
      <c r="A678" s="3" t="s">
        <v>1160</v>
      </c>
      <c r="B678" s="3" t="s">
        <v>1814</v>
      </c>
      <c r="C678" s="4">
        <v>2</v>
      </c>
    </row>
    <row r="679" spans="1:3" ht="15" thickBot="1">
      <c r="A679" s="3" t="s">
        <v>2003</v>
      </c>
      <c r="B679" s="3" t="s">
        <v>34</v>
      </c>
      <c r="C679" s="4">
        <v>1</v>
      </c>
    </row>
    <row r="680" spans="1:3" ht="15" thickBot="1">
      <c r="A680" s="3" t="s">
        <v>2004</v>
      </c>
      <c r="B680" s="3" t="s">
        <v>26</v>
      </c>
      <c r="C680" s="4">
        <v>4</v>
      </c>
    </row>
    <row r="681" spans="1:3" ht="15" thickBot="1">
      <c r="A681" s="3" t="s">
        <v>2005</v>
      </c>
      <c r="B681" s="3" t="s">
        <v>2006</v>
      </c>
      <c r="C681" s="4">
        <v>7</v>
      </c>
    </row>
    <row r="682" spans="1:3" ht="15" thickBot="1">
      <c r="A682" s="3" t="s">
        <v>2007</v>
      </c>
      <c r="B682" s="3" t="s">
        <v>61</v>
      </c>
      <c r="C682" s="4">
        <v>1</v>
      </c>
    </row>
    <row r="683" spans="1:3" ht="15" thickBot="1">
      <c r="A683" s="3" t="s">
        <v>2008</v>
      </c>
      <c r="B683" s="3" t="s">
        <v>115</v>
      </c>
      <c r="C683" s="4">
        <v>7</v>
      </c>
    </row>
    <row r="684" spans="1:3" ht="15" thickBot="1">
      <c r="A684" s="3" t="s">
        <v>871</v>
      </c>
      <c r="B684" s="3" t="s">
        <v>560</v>
      </c>
      <c r="C684" s="4">
        <v>12</v>
      </c>
    </row>
    <row r="685" spans="1:3" ht="15" thickBot="1">
      <c r="A685" s="3" t="s">
        <v>2009</v>
      </c>
      <c r="B685" s="3" t="s">
        <v>26</v>
      </c>
      <c r="C685" s="4">
        <v>1</v>
      </c>
    </row>
    <row r="686" spans="1:3" ht="15" thickBot="1">
      <c r="A686" s="3" t="s">
        <v>2010</v>
      </c>
      <c r="B686" s="3" t="s">
        <v>34</v>
      </c>
      <c r="C686" s="4">
        <v>1</v>
      </c>
    </row>
    <row r="687" spans="1:3" ht="15" thickBot="1">
      <c r="A687" s="3" t="s">
        <v>2011</v>
      </c>
      <c r="B687" s="3" t="s">
        <v>34</v>
      </c>
      <c r="C687" s="4">
        <v>1</v>
      </c>
    </row>
    <row r="688" spans="1:3" ht="15" thickBot="1">
      <c r="A688" s="3" t="s">
        <v>2012</v>
      </c>
      <c r="B688" s="3" t="s">
        <v>61</v>
      </c>
      <c r="C688" s="4">
        <v>2</v>
      </c>
    </row>
    <row r="689" spans="1:3" ht="15" thickBot="1">
      <c r="A689" s="3" t="s">
        <v>911</v>
      </c>
      <c r="B689" s="3" t="s">
        <v>1802</v>
      </c>
      <c r="C689" s="4">
        <v>17</v>
      </c>
    </row>
    <row r="690" spans="1:3" ht="15" thickBot="1">
      <c r="A690" s="3" t="s">
        <v>2013</v>
      </c>
      <c r="B690" s="3" t="s">
        <v>1802</v>
      </c>
      <c r="C690" s="4">
        <v>2</v>
      </c>
    </row>
    <row r="691" spans="1:3" ht="15" thickBot="1">
      <c r="A691" s="3" t="s">
        <v>668</v>
      </c>
      <c r="B691" s="3" t="s">
        <v>24</v>
      </c>
      <c r="C691" s="4">
        <v>1</v>
      </c>
    </row>
    <row r="692" spans="1:3" ht="15" thickBot="1">
      <c r="A692" s="3" t="s">
        <v>2014</v>
      </c>
      <c r="B692" s="3" t="s">
        <v>61</v>
      </c>
      <c r="C692" s="4">
        <v>6</v>
      </c>
    </row>
    <row r="693" spans="1:3" ht="15" thickBot="1">
      <c r="A693" s="3" t="s">
        <v>1778</v>
      </c>
      <c r="B693" s="3" t="s">
        <v>34</v>
      </c>
      <c r="C693" s="4">
        <v>1</v>
      </c>
    </row>
    <row r="694" spans="1:3" ht="15" thickBot="1">
      <c r="A694" s="3" t="s">
        <v>317</v>
      </c>
      <c r="B694" s="3" t="s">
        <v>1814</v>
      </c>
      <c r="C694" s="4">
        <v>2</v>
      </c>
    </row>
    <row r="695" spans="1:3" ht="15" thickBot="1">
      <c r="A695" s="3" t="s">
        <v>2015</v>
      </c>
      <c r="B695" s="3" t="s">
        <v>560</v>
      </c>
      <c r="C695" s="4">
        <v>1</v>
      </c>
    </row>
    <row r="696" spans="1:3" ht="15" thickBot="1">
      <c r="A696" s="3" t="s">
        <v>2016</v>
      </c>
      <c r="B696" s="3" t="s">
        <v>4</v>
      </c>
      <c r="C696" s="4">
        <v>3</v>
      </c>
    </row>
    <row r="697" spans="1:3" ht="15" thickBot="1">
      <c r="A697" s="3" t="s">
        <v>1377</v>
      </c>
      <c r="B697" s="3" t="s">
        <v>34</v>
      </c>
      <c r="C697" s="4">
        <v>8</v>
      </c>
    </row>
    <row r="698" spans="1:3" ht="15" thickBot="1">
      <c r="A698" s="3" t="s">
        <v>850</v>
      </c>
      <c r="B698" s="3" t="s">
        <v>64</v>
      </c>
      <c r="C698" s="4">
        <v>2</v>
      </c>
    </row>
    <row r="699" spans="1:3" ht="15" thickBot="1">
      <c r="A699" s="3" t="s">
        <v>2017</v>
      </c>
      <c r="B699" s="3" t="s">
        <v>1814</v>
      </c>
      <c r="C699" s="4">
        <v>1</v>
      </c>
    </row>
    <row r="700" spans="1:3" ht="15" thickBot="1">
      <c r="A700" s="3" t="s">
        <v>1385</v>
      </c>
      <c r="B700" s="3" t="s">
        <v>1814</v>
      </c>
      <c r="C700" s="4">
        <v>1</v>
      </c>
    </row>
    <row r="701" spans="1:3" ht="15" thickBot="1">
      <c r="A701" s="3" t="s">
        <v>433</v>
      </c>
      <c r="B701" s="3" t="s">
        <v>26</v>
      </c>
      <c r="C701" s="4">
        <v>10</v>
      </c>
    </row>
    <row r="702" spans="1:3" ht="15" thickBot="1">
      <c r="A702" s="3" t="s">
        <v>649</v>
      </c>
      <c r="B702" s="3" t="s">
        <v>4</v>
      </c>
      <c r="C702" s="4">
        <v>4</v>
      </c>
    </row>
    <row r="703" spans="1:3" ht="15" thickBot="1">
      <c r="A703" s="3" t="s">
        <v>1251</v>
      </c>
      <c r="B703" s="3" t="s">
        <v>125</v>
      </c>
      <c r="C703" s="4">
        <v>6</v>
      </c>
    </row>
    <row r="704" spans="1:3" ht="15" thickBot="1">
      <c r="A704" s="3" t="s">
        <v>116</v>
      </c>
      <c r="B704" s="3" t="s">
        <v>26</v>
      </c>
      <c r="C704" s="4">
        <v>8</v>
      </c>
    </row>
    <row r="705" spans="1:3" ht="15" thickBot="1">
      <c r="A705" s="3" t="s">
        <v>2018</v>
      </c>
      <c r="B705" s="3" t="s">
        <v>4</v>
      </c>
      <c r="C705" s="4">
        <v>1</v>
      </c>
    </row>
    <row r="706" spans="1:3" ht="15" thickBot="1">
      <c r="A706" s="3" t="s">
        <v>2019</v>
      </c>
      <c r="B706" s="3" t="s">
        <v>4</v>
      </c>
      <c r="C706" s="4">
        <v>2</v>
      </c>
    </row>
    <row r="707" spans="1:3" ht="15" thickBot="1">
      <c r="A707" s="3" t="s">
        <v>352</v>
      </c>
      <c r="B707" s="3" t="s">
        <v>495</v>
      </c>
      <c r="C707" s="4">
        <v>14</v>
      </c>
    </row>
    <row r="708" spans="1:3" ht="15" thickBot="1">
      <c r="A708" s="3" t="s">
        <v>700</v>
      </c>
      <c r="B708" s="3" t="s">
        <v>61</v>
      </c>
      <c r="C708" s="4">
        <v>3</v>
      </c>
    </row>
    <row r="709" spans="1:3" ht="15" thickBot="1">
      <c r="A709" s="3" t="s">
        <v>2020</v>
      </c>
      <c r="B709" s="3" t="s">
        <v>1802</v>
      </c>
      <c r="C709" s="4">
        <v>9</v>
      </c>
    </row>
    <row r="710" spans="1:3" ht="15" thickBot="1">
      <c r="A710" s="3" t="s">
        <v>2021</v>
      </c>
      <c r="B710" s="3" t="s">
        <v>61</v>
      </c>
      <c r="C710" s="4">
        <v>13</v>
      </c>
    </row>
    <row r="711" spans="1:3" ht="15" thickBot="1">
      <c r="A711" s="3" t="s">
        <v>2022</v>
      </c>
      <c r="B711" s="3" t="s">
        <v>19</v>
      </c>
      <c r="C711" s="4">
        <v>10</v>
      </c>
    </row>
    <row r="712" spans="1:3" ht="15" thickBot="1">
      <c r="A712" s="3" t="s">
        <v>2023</v>
      </c>
      <c r="B712" s="3" t="s">
        <v>1814</v>
      </c>
      <c r="C712" s="4">
        <v>2</v>
      </c>
    </row>
    <row r="713" spans="1:3" ht="15" thickBot="1">
      <c r="A713" s="3" t="s">
        <v>1479</v>
      </c>
      <c r="B713" s="3" t="s">
        <v>125</v>
      </c>
      <c r="C713" s="4">
        <v>1</v>
      </c>
    </row>
    <row r="714" spans="1:3" ht="15" thickBot="1">
      <c r="A714" s="3" t="s">
        <v>1673</v>
      </c>
      <c r="B714" s="3" t="s">
        <v>61</v>
      </c>
      <c r="C714" s="4">
        <v>4</v>
      </c>
    </row>
    <row r="715" spans="1:3" ht="15" thickBot="1">
      <c r="A715" s="3" t="s">
        <v>2024</v>
      </c>
      <c r="B715" s="3" t="s">
        <v>125</v>
      </c>
      <c r="C715" s="4">
        <v>2</v>
      </c>
    </row>
    <row r="716" spans="1:3" ht="15" thickBot="1">
      <c r="A716" s="3" t="s">
        <v>2025</v>
      </c>
      <c r="B716" s="3" t="s">
        <v>125</v>
      </c>
      <c r="C716" s="4">
        <v>5</v>
      </c>
    </row>
    <row r="717" spans="1:3" ht="15" thickBot="1">
      <c r="A717" s="3" t="s">
        <v>2026</v>
      </c>
      <c r="B717" s="6" t="s">
        <v>1970</v>
      </c>
      <c r="C717" s="4">
        <v>1</v>
      </c>
    </row>
    <row r="718" spans="1:3" ht="15" thickBot="1">
      <c r="A718" s="3" t="s">
        <v>2027</v>
      </c>
      <c r="B718" s="3" t="s">
        <v>64</v>
      </c>
      <c r="C718" s="4">
        <v>2</v>
      </c>
    </row>
    <row r="719" spans="1:3" ht="15" thickBot="1">
      <c r="A719" s="3" t="s">
        <v>288</v>
      </c>
      <c r="B719" s="3" t="s">
        <v>19</v>
      </c>
      <c r="C719" s="4">
        <v>7</v>
      </c>
    </row>
    <row r="720" spans="1:3" ht="15" thickBot="1">
      <c r="A720" s="3" t="s">
        <v>197</v>
      </c>
      <c r="B720" s="3" t="s">
        <v>1802</v>
      </c>
      <c r="C720" s="4">
        <v>6</v>
      </c>
    </row>
    <row r="721" spans="1:3" ht="15" thickBot="1">
      <c r="A721" s="3" t="s">
        <v>2028</v>
      </c>
      <c r="B721" s="3" t="s">
        <v>118</v>
      </c>
      <c r="C721" s="4">
        <v>3</v>
      </c>
    </row>
    <row r="722" spans="1:3" ht="15" thickBot="1">
      <c r="A722" s="3" t="s">
        <v>603</v>
      </c>
      <c r="B722" s="3" t="s">
        <v>1814</v>
      </c>
      <c r="C722" s="4">
        <v>11</v>
      </c>
    </row>
    <row r="723" spans="1:3" ht="15" thickBot="1">
      <c r="A723" s="3" t="s">
        <v>188</v>
      </c>
      <c r="B723" s="3" t="s">
        <v>1798</v>
      </c>
      <c r="C723" s="4">
        <v>5</v>
      </c>
    </row>
    <row r="724" spans="1:3" ht="15" thickBot="1">
      <c r="A724" s="3" t="s">
        <v>2029</v>
      </c>
      <c r="B724" s="3" t="s">
        <v>61</v>
      </c>
      <c r="C724" s="4">
        <v>5</v>
      </c>
    </row>
    <row r="725" spans="1:3" ht="15" thickBot="1">
      <c r="A725" s="3" t="s">
        <v>1099</v>
      </c>
      <c r="B725" s="3" t="s">
        <v>32</v>
      </c>
      <c r="C725" s="4">
        <v>5</v>
      </c>
    </row>
    <row r="726" spans="1:3" ht="15" thickBot="1">
      <c r="A726" s="3" t="s">
        <v>1092</v>
      </c>
      <c r="B726" s="3" t="s">
        <v>32</v>
      </c>
      <c r="C726" s="4">
        <v>6</v>
      </c>
    </row>
    <row r="727" spans="1:3" ht="15" thickBot="1">
      <c r="A727" s="3" t="s">
        <v>991</v>
      </c>
      <c r="B727" s="3" t="s">
        <v>1814</v>
      </c>
      <c r="C727" s="4">
        <v>5</v>
      </c>
    </row>
    <row r="728" spans="1:3" ht="15" thickBot="1">
      <c r="A728" s="3" t="s">
        <v>2030</v>
      </c>
      <c r="B728" s="3" t="s">
        <v>1798</v>
      </c>
      <c r="C728" s="4">
        <v>1</v>
      </c>
    </row>
    <row r="729" spans="1:3" ht="15" thickBot="1">
      <c r="A729" s="3" t="s">
        <v>1047</v>
      </c>
      <c r="B729" s="3" t="s">
        <v>1798</v>
      </c>
      <c r="C729" s="4">
        <v>5</v>
      </c>
    </row>
    <row r="730" spans="1:3" ht="15" thickBot="1">
      <c r="A730" s="3" t="s">
        <v>2031</v>
      </c>
      <c r="B730" s="3" t="s">
        <v>1798</v>
      </c>
      <c r="C730" s="4">
        <v>1</v>
      </c>
    </row>
    <row r="731" spans="1:3" ht="15" thickBot="1">
      <c r="A731" s="3" t="s">
        <v>2032</v>
      </c>
      <c r="B731" s="3" t="s">
        <v>1798</v>
      </c>
      <c r="C731" s="4">
        <v>1</v>
      </c>
    </row>
    <row r="732" spans="1:3" ht="15" thickBot="1">
      <c r="A732" s="3" t="s">
        <v>1057</v>
      </c>
      <c r="B732" s="3" t="s">
        <v>1798</v>
      </c>
      <c r="C732" s="4">
        <v>1</v>
      </c>
    </row>
    <row r="733" spans="1:3" ht="15" thickBot="1">
      <c r="A733" s="3" t="s">
        <v>2033</v>
      </c>
      <c r="B733" s="3" t="s">
        <v>1798</v>
      </c>
      <c r="C733" s="4">
        <v>1</v>
      </c>
    </row>
    <row r="734" spans="1:3" ht="15" thickBot="1">
      <c r="A734" s="3" t="s">
        <v>2034</v>
      </c>
      <c r="B734" s="3" t="s">
        <v>1798</v>
      </c>
      <c r="C734" s="4">
        <v>10</v>
      </c>
    </row>
    <row r="735" spans="1:3" ht="15" thickBot="1">
      <c r="A735" s="3" t="s">
        <v>2035</v>
      </c>
      <c r="B735" s="3" t="s">
        <v>1798</v>
      </c>
      <c r="C735" s="4">
        <v>1</v>
      </c>
    </row>
    <row r="736" spans="1:3" ht="15" thickBot="1">
      <c r="A736" s="3" t="s">
        <v>1649</v>
      </c>
      <c r="B736" s="3" t="s">
        <v>1814</v>
      </c>
      <c r="C736" s="4">
        <v>14</v>
      </c>
    </row>
    <row r="737" spans="1:3" ht="15" thickBot="1">
      <c r="A737" s="3" t="s">
        <v>716</v>
      </c>
      <c r="B737" s="3" t="s">
        <v>138</v>
      </c>
      <c r="C737" s="4">
        <v>4</v>
      </c>
    </row>
    <row r="738" spans="1:3" ht="15" thickBot="1">
      <c r="A738" s="3" t="s">
        <v>2036</v>
      </c>
      <c r="B738" s="3" t="s">
        <v>125</v>
      </c>
      <c r="C738" s="4">
        <v>13</v>
      </c>
    </row>
    <row r="739" spans="1:3" ht="15" thickBot="1">
      <c r="A739" s="3" t="s">
        <v>1370</v>
      </c>
      <c r="B739" s="3" t="s">
        <v>125</v>
      </c>
      <c r="C739" s="4">
        <v>1</v>
      </c>
    </row>
    <row r="740" spans="1:3" ht="15" thickBot="1">
      <c r="A740" s="3" t="s">
        <v>2037</v>
      </c>
      <c r="B740" s="6" t="s">
        <v>1970</v>
      </c>
      <c r="C740" s="4">
        <v>2</v>
      </c>
    </row>
    <row r="741" spans="1:3" ht="15" thickBot="1">
      <c r="A741" s="3" t="s">
        <v>2038</v>
      </c>
      <c r="B741" s="3" t="s">
        <v>26</v>
      </c>
      <c r="C741" s="4">
        <v>7</v>
      </c>
    </row>
    <row r="742" spans="1:3" ht="15" thickBot="1">
      <c r="A742" s="3" t="s">
        <v>2039</v>
      </c>
      <c r="B742" s="3" t="s">
        <v>125</v>
      </c>
      <c r="C742" s="4">
        <v>1</v>
      </c>
    </row>
    <row r="743" spans="1:3" ht="15" thickBot="1">
      <c r="A743" s="3" t="s">
        <v>2040</v>
      </c>
      <c r="B743" s="3" t="s">
        <v>125</v>
      </c>
      <c r="C743" s="4">
        <v>1</v>
      </c>
    </row>
    <row r="744" spans="1:3" ht="15" thickBot="1">
      <c r="A744" s="3" t="s">
        <v>1397</v>
      </c>
      <c r="B744" s="3" t="s">
        <v>34</v>
      </c>
      <c r="C744" s="4">
        <v>2</v>
      </c>
    </row>
    <row r="745" spans="1:3" ht="15" thickBot="1">
      <c r="A745" s="3" t="s">
        <v>2041</v>
      </c>
      <c r="B745" s="3" t="s">
        <v>125</v>
      </c>
      <c r="C745" s="4">
        <v>2</v>
      </c>
    </row>
    <row r="746" spans="1:3" ht="15" thickBot="1">
      <c r="A746" s="3" t="s">
        <v>1274</v>
      </c>
      <c r="B746" s="3" t="s">
        <v>1814</v>
      </c>
      <c r="C746" s="4">
        <v>15</v>
      </c>
    </row>
    <row r="747" spans="1:3" ht="15" thickBot="1">
      <c r="A747" s="3" t="s">
        <v>2042</v>
      </c>
      <c r="B747" s="3" t="s">
        <v>1810</v>
      </c>
      <c r="C747" s="4">
        <v>2</v>
      </c>
    </row>
    <row r="748" spans="1:3" ht="15" thickBot="1">
      <c r="A748" s="3" t="s">
        <v>2043</v>
      </c>
      <c r="B748" s="3" t="s">
        <v>125</v>
      </c>
      <c r="C748" s="4">
        <v>2</v>
      </c>
    </row>
    <row r="749" spans="1:3" ht="15" thickBot="1">
      <c r="A749" s="3" t="s">
        <v>966</v>
      </c>
      <c r="B749" s="3" t="s">
        <v>1814</v>
      </c>
      <c r="C749" s="4">
        <v>1</v>
      </c>
    </row>
    <row r="750" spans="1:3" ht="15" thickBot="1">
      <c r="A750" s="3" t="s">
        <v>1356</v>
      </c>
      <c r="B750" s="3" t="s">
        <v>1814</v>
      </c>
      <c r="C750" s="4">
        <v>1</v>
      </c>
    </row>
    <row r="751" spans="1:3" ht="15" thickBot="1">
      <c r="A751" s="3" t="s">
        <v>781</v>
      </c>
      <c r="B751" s="3" t="s">
        <v>125</v>
      </c>
      <c r="C751" s="4">
        <v>17</v>
      </c>
    </row>
    <row r="752" spans="1:3" ht="15" thickBot="1">
      <c r="A752" s="3" t="s">
        <v>353</v>
      </c>
      <c r="B752" s="3" t="s">
        <v>1802</v>
      </c>
      <c r="C752" s="4">
        <v>3</v>
      </c>
    </row>
    <row r="753" spans="1:3" ht="15" thickBot="1">
      <c r="A753" s="3" t="s">
        <v>1248</v>
      </c>
      <c r="B753" s="3" t="s">
        <v>1814</v>
      </c>
      <c r="C753" s="4">
        <v>4</v>
      </c>
    </row>
    <row r="754" spans="1:3" ht="15" thickBot="1">
      <c r="A754" s="3" t="s">
        <v>651</v>
      </c>
      <c r="B754" s="3" t="s">
        <v>1802</v>
      </c>
      <c r="C754" s="4">
        <v>11</v>
      </c>
    </row>
    <row r="755" spans="1:3" ht="15" thickBot="1">
      <c r="A755" s="3" t="s">
        <v>1613</v>
      </c>
      <c r="B755" s="3" t="s">
        <v>26</v>
      </c>
      <c r="C755" s="4">
        <v>2</v>
      </c>
    </row>
    <row r="756" spans="1:3" ht="15" thickBot="1">
      <c r="A756" s="3" t="s">
        <v>166</v>
      </c>
      <c r="B756" s="3" t="s">
        <v>1802</v>
      </c>
      <c r="C756" s="4">
        <v>8</v>
      </c>
    </row>
    <row r="757" spans="1:3" ht="15" thickBot="1">
      <c r="A757" s="3" t="s">
        <v>435</v>
      </c>
      <c r="B757" s="3" t="s">
        <v>98</v>
      </c>
      <c r="C757" s="4">
        <v>10</v>
      </c>
    </row>
    <row r="758" spans="1:3" ht="15" thickBot="1">
      <c r="A758" s="3" t="s">
        <v>495</v>
      </c>
      <c r="B758" s="3" t="s">
        <v>495</v>
      </c>
      <c r="C758" s="4">
        <v>10</v>
      </c>
    </row>
    <row r="759" spans="1:3" ht="15" thickBot="1">
      <c r="A759" s="3" t="s">
        <v>2044</v>
      </c>
      <c r="B759" s="3" t="s">
        <v>1802</v>
      </c>
      <c r="C759" s="4">
        <v>2</v>
      </c>
    </row>
    <row r="760" spans="1:3" ht="15" thickBot="1">
      <c r="A760" s="3" t="s">
        <v>2045</v>
      </c>
      <c r="B760" s="3" t="s">
        <v>34</v>
      </c>
      <c r="C760" s="4">
        <v>2</v>
      </c>
    </row>
    <row r="761" spans="1:3" ht="15" thickBot="1">
      <c r="A761" s="3" t="s">
        <v>414</v>
      </c>
      <c r="B761" s="3" t="s">
        <v>1814</v>
      </c>
      <c r="C761" s="4">
        <v>8</v>
      </c>
    </row>
    <row r="762" spans="1:3" ht="15" thickBot="1">
      <c r="A762" s="3" t="s">
        <v>2046</v>
      </c>
      <c r="B762" s="3" t="s">
        <v>32</v>
      </c>
      <c r="C762" s="4">
        <v>1</v>
      </c>
    </row>
    <row r="763" spans="1:3" ht="15" thickBot="1">
      <c r="A763" s="3" t="s">
        <v>830</v>
      </c>
      <c r="B763" s="3" t="s">
        <v>26</v>
      </c>
      <c r="C763" s="4">
        <v>6</v>
      </c>
    </row>
    <row r="764" spans="1:3" ht="15" thickBot="1">
      <c r="A764" s="3" t="s">
        <v>2047</v>
      </c>
      <c r="B764" s="3" t="s">
        <v>22</v>
      </c>
      <c r="C764" s="4">
        <v>3</v>
      </c>
    </row>
    <row r="765" spans="1:3" ht="15" thickBot="1">
      <c r="A765" s="3" t="s">
        <v>2048</v>
      </c>
      <c r="B765" s="3" t="s">
        <v>1802</v>
      </c>
      <c r="C765" s="4">
        <v>8</v>
      </c>
    </row>
    <row r="766" spans="1:3" ht="15" thickBot="1">
      <c r="A766" s="3" t="s">
        <v>2049</v>
      </c>
      <c r="B766" s="3" t="s">
        <v>1798</v>
      </c>
      <c r="C766" s="4">
        <v>7</v>
      </c>
    </row>
    <row r="767" spans="1:3" ht="15" thickBot="1">
      <c r="A767" s="3" t="s">
        <v>2050</v>
      </c>
      <c r="B767" s="3" t="s">
        <v>138</v>
      </c>
      <c r="C767" s="4">
        <v>1</v>
      </c>
    </row>
    <row r="768" spans="1:3" ht="15" thickBot="1">
      <c r="A768" s="3" t="s">
        <v>836</v>
      </c>
      <c r="B768" s="3" t="s">
        <v>26</v>
      </c>
      <c r="C768" s="4">
        <v>1</v>
      </c>
    </row>
    <row r="769" spans="1:3" ht="15" thickBot="1">
      <c r="A769" s="3" t="s">
        <v>58</v>
      </c>
      <c r="B769" s="3" t="s">
        <v>1814</v>
      </c>
      <c r="C769" s="4">
        <v>15</v>
      </c>
    </row>
    <row r="770" spans="1:3" ht="15" thickBot="1">
      <c r="A770" s="3" t="s">
        <v>2051</v>
      </c>
      <c r="B770" s="3" t="s">
        <v>1802</v>
      </c>
      <c r="C770" s="4">
        <v>1</v>
      </c>
    </row>
    <row r="771" spans="1:3" ht="15" thickBot="1">
      <c r="A771" s="3" t="s">
        <v>2052</v>
      </c>
      <c r="B771" s="3" t="s">
        <v>32</v>
      </c>
      <c r="C771" s="4">
        <v>1</v>
      </c>
    </row>
    <row r="772" spans="1:3" ht="15" thickBot="1">
      <c r="A772" s="3" t="s">
        <v>287</v>
      </c>
      <c r="B772" s="3" t="s">
        <v>1814</v>
      </c>
      <c r="C772" s="4">
        <v>2</v>
      </c>
    </row>
    <row r="773" spans="1:3" ht="15" thickBot="1">
      <c r="A773" s="3" t="s">
        <v>1130</v>
      </c>
      <c r="B773" s="3" t="s">
        <v>64</v>
      </c>
      <c r="C773" s="4">
        <v>6</v>
      </c>
    </row>
    <row r="774" spans="1:3" ht="15" thickBot="1">
      <c r="A774" s="3" t="s">
        <v>2053</v>
      </c>
      <c r="B774" s="3" t="s">
        <v>1814</v>
      </c>
      <c r="C774" s="4">
        <v>7</v>
      </c>
    </row>
    <row r="775" spans="1:3" ht="15" thickBot="1">
      <c r="A775" s="3" t="s">
        <v>2054</v>
      </c>
      <c r="B775" s="3" t="s">
        <v>64</v>
      </c>
      <c r="C775" s="4">
        <v>2</v>
      </c>
    </row>
    <row r="776" spans="1:3" ht="15" thickBot="1">
      <c r="A776" s="3" t="s">
        <v>2055</v>
      </c>
      <c r="B776" s="3" t="s">
        <v>64</v>
      </c>
      <c r="C776" s="4">
        <v>5</v>
      </c>
    </row>
    <row r="777" spans="1:3" ht="15" thickBot="1">
      <c r="A777" s="3" t="s">
        <v>559</v>
      </c>
      <c r="B777" s="3" t="s">
        <v>125</v>
      </c>
      <c r="C777" s="4">
        <v>11</v>
      </c>
    </row>
    <row r="778" spans="1:3" ht="15" thickBot="1">
      <c r="A778" s="3" t="s">
        <v>910</v>
      </c>
      <c r="B778" s="3" t="s">
        <v>1802</v>
      </c>
      <c r="C778" s="4">
        <v>15</v>
      </c>
    </row>
    <row r="779" spans="1:3" ht="15" thickBot="1">
      <c r="A779" s="3" t="s">
        <v>2056</v>
      </c>
      <c r="B779" s="3" t="s">
        <v>1802</v>
      </c>
      <c r="C779" s="4">
        <v>2</v>
      </c>
    </row>
    <row r="780" spans="1:3" ht="15" thickBot="1">
      <c r="A780" s="3" t="s">
        <v>722</v>
      </c>
      <c r="B780" s="3" t="s">
        <v>4</v>
      </c>
      <c r="C780" s="4">
        <v>3</v>
      </c>
    </row>
    <row r="781" spans="1:3" ht="15" thickBot="1">
      <c r="A781" s="3" t="s">
        <v>1273</v>
      </c>
      <c r="B781" s="3" t="s">
        <v>1814</v>
      </c>
      <c r="C781" s="4">
        <v>4</v>
      </c>
    </row>
    <row r="782" spans="1:3" ht="15" thickBot="1">
      <c r="A782" s="3" t="s">
        <v>586</v>
      </c>
      <c r="B782" s="3" t="s">
        <v>19</v>
      </c>
      <c r="C782" s="4">
        <v>8</v>
      </c>
    </row>
    <row r="783" spans="1:3" ht="15" thickBot="1">
      <c r="A783" s="3" t="s">
        <v>383</v>
      </c>
      <c r="B783" s="3" t="s">
        <v>34</v>
      </c>
      <c r="C783" s="4">
        <v>12</v>
      </c>
    </row>
    <row r="784" spans="1:3" ht="15" thickBot="1">
      <c r="A784" s="3" t="s">
        <v>2057</v>
      </c>
      <c r="B784" s="3" t="s">
        <v>115</v>
      </c>
      <c r="C784" s="4">
        <v>11</v>
      </c>
    </row>
    <row r="785" spans="1:3" ht="15" thickBot="1">
      <c r="A785" s="3" t="s">
        <v>2058</v>
      </c>
      <c r="B785" s="3" t="s">
        <v>495</v>
      </c>
      <c r="C785" s="4">
        <v>3</v>
      </c>
    </row>
    <row r="786" spans="1:3" ht="15" thickBot="1">
      <c r="A786" s="3" t="s">
        <v>622</v>
      </c>
      <c r="B786" s="3" t="s">
        <v>34</v>
      </c>
      <c r="C786" s="4">
        <v>5</v>
      </c>
    </row>
    <row r="787" spans="1:3" ht="15" thickBot="1">
      <c r="A787" s="3" t="s">
        <v>2059</v>
      </c>
      <c r="B787" s="3" t="s">
        <v>115</v>
      </c>
      <c r="C787" s="4">
        <v>4</v>
      </c>
    </row>
    <row r="788" spans="1:3" ht="15" thickBot="1">
      <c r="A788" s="3" t="s">
        <v>2060</v>
      </c>
      <c r="B788" s="3" t="s">
        <v>61</v>
      </c>
      <c r="C788" s="4">
        <v>8</v>
      </c>
    </row>
    <row r="789" spans="1:3" ht="15" thickBot="1">
      <c r="A789" s="3" t="s">
        <v>939</v>
      </c>
      <c r="B789" s="3" t="s">
        <v>19</v>
      </c>
      <c r="C789" s="4">
        <v>8</v>
      </c>
    </row>
    <row r="790" spans="1:3" ht="15" thickBot="1">
      <c r="A790" s="3" t="s">
        <v>2061</v>
      </c>
      <c r="B790" s="3" t="s">
        <v>19</v>
      </c>
      <c r="C790" s="4">
        <v>4</v>
      </c>
    </row>
    <row r="791" spans="1:3" ht="15" thickBot="1">
      <c r="A791" s="3" t="s">
        <v>2062</v>
      </c>
      <c r="B791" s="3" t="s">
        <v>125</v>
      </c>
      <c r="C791" s="4">
        <v>1</v>
      </c>
    </row>
    <row r="792" spans="1:3" ht="15" thickBot="1">
      <c r="A792" s="3" t="s">
        <v>275</v>
      </c>
      <c r="B792" s="3" t="s">
        <v>1810</v>
      </c>
      <c r="C792" s="4">
        <v>3</v>
      </c>
    </row>
    <row r="793" spans="1:3" ht="15" thickBot="1">
      <c r="A793" s="3" t="s">
        <v>1765</v>
      </c>
      <c r="B793" s="3" t="s">
        <v>4</v>
      </c>
      <c r="C793" s="4">
        <v>10</v>
      </c>
    </row>
    <row r="794" spans="1:3" ht="15" thickBot="1">
      <c r="A794" s="3" t="s">
        <v>1729</v>
      </c>
      <c r="B794" s="3" t="s">
        <v>61</v>
      </c>
      <c r="C794" s="4">
        <v>10</v>
      </c>
    </row>
    <row r="795" spans="1:3" ht="15" thickBot="1">
      <c r="A795" s="3" t="s">
        <v>2063</v>
      </c>
      <c r="B795" s="3" t="s">
        <v>1798</v>
      </c>
      <c r="C795" s="4">
        <v>4</v>
      </c>
    </row>
    <row r="796" spans="1:3" ht="15" thickBot="1">
      <c r="A796" s="3" t="s">
        <v>2064</v>
      </c>
      <c r="B796" s="3" t="s">
        <v>1814</v>
      </c>
      <c r="C796" s="4">
        <v>1</v>
      </c>
    </row>
    <row r="797" spans="1:3" ht="15" thickBot="1">
      <c r="A797" s="3" t="s">
        <v>2065</v>
      </c>
      <c r="B797" s="3" t="s">
        <v>1802</v>
      </c>
      <c r="C797" s="4">
        <v>1</v>
      </c>
    </row>
    <row r="798" spans="1:3" ht="15" thickBot="1">
      <c r="A798" s="3" t="s">
        <v>183</v>
      </c>
      <c r="B798" s="3" t="s">
        <v>1802</v>
      </c>
      <c r="C798" s="4">
        <v>6</v>
      </c>
    </row>
    <row r="799" spans="1:3" ht="15" thickBot="1">
      <c r="A799" s="3" t="s">
        <v>2066</v>
      </c>
      <c r="B799" s="3" t="s">
        <v>138</v>
      </c>
      <c r="C799" s="4">
        <v>3</v>
      </c>
    </row>
    <row r="800" spans="1:3" ht="15" thickBot="1">
      <c r="A800" s="3" t="s">
        <v>972</v>
      </c>
      <c r="B800" s="3" t="s">
        <v>138</v>
      </c>
      <c r="C800" s="4">
        <v>9</v>
      </c>
    </row>
    <row r="801" spans="1:3" ht="15" thickBot="1">
      <c r="A801" s="3" t="s">
        <v>2067</v>
      </c>
      <c r="B801" s="3" t="s">
        <v>26</v>
      </c>
      <c r="C801" s="4">
        <v>3</v>
      </c>
    </row>
    <row r="802" spans="1:3" ht="15" thickBot="1">
      <c r="A802" s="3" t="s">
        <v>645</v>
      </c>
      <c r="B802" s="3" t="s">
        <v>61</v>
      </c>
      <c r="C802" s="4">
        <v>5</v>
      </c>
    </row>
    <row r="803" spans="1:3" ht="15" thickBot="1">
      <c r="A803" s="3" t="s">
        <v>2068</v>
      </c>
      <c r="B803" s="3" t="s">
        <v>26</v>
      </c>
      <c r="C803" s="4">
        <v>1</v>
      </c>
    </row>
    <row r="804" spans="1:3" ht="15" thickBot="1">
      <c r="A804" s="3" t="s">
        <v>2069</v>
      </c>
      <c r="B804" s="3" t="s">
        <v>1814</v>
      </c>
      <c r="C804" s="4">
        <v>1</v>
      </c>
    </row>
    <row r="805" spans="1:3" ht="15" thickBot="1">
      <c r="A805" s="3" t="s">
        <v>1204</v>
      </c>
      <c r="B805" s="3" t="s">
        <v>61</v>
      </c>
      <c r="C805" s="4">
        <v>3</v>
      </c>
    </row>
    <row r="806" spans="1:3" ht="15" thickBot="1">
      <c r="A806" s="3" t="s">
        <v>2070</v>
      </c>
      <c r="B806" s="3" t="s">
        <v>1802</v>
      </c>
      <c r="C806" s="4">
        <v>4</v>
      </c>
    </row>
    <row r="807" spans="1:3" ht="15" thickBot="1">
      <c r="A807" s="3" t="s">
        <v>2071</v>
      </c>
      <c r="B807" s="3" t="s">
        <v>1802</v>
      </c>
      <c r="C807" s="4">
        <v>5</v>
      </c>
    </row>
    <row r="808" spans="1:3" ht="15" thickBot="1">
      <c r="A808" s="3" t="s">
        <v>2072</v>
      </c>
      <c r="B808" s="3" t="s">
        <v>1810</v>
      </c>
      <c r="C808" s="4">
        <v>3</v>
      </c>
    </row>
    <row r="809" spans="1:3" ht="15" thickBot="1">
      <c r="A809" s="3" t="s">
        <v>2073</v>
      </c>
      <c r="B809" s="3" t="s">
        <v>4</v>
      </c>
      <c r="C809" s="4">
        <v>1</v>
      </c>
    </row>
    <row r="810" spans="1:3" ht="15" thickBot="1">
      <c r="A810" s="3" t="s">
        <v>2074</v>
      </c>
      <c r="B810" s="3" t="s">
        <v>32</v>
      </c>
      <c r="C810" s="4">
        <v>1</v>
      </c>
    </row>
    <row r="811" spans="1:3" ht="15" thickBot="1">
      <c r="A811" s="3" t="s">
        <v>403</v>
      </c>
      <c r="B811" s="3" t="s">
        <v>34</v>
      </c>
      <c r="C811" s="4">
        <v>2</v>
      </c>
    </row>
    <row r="812" spans="1:3" ht="15" thickBot="1">
      <c r="A812" s="3" t="s">
        <v>423</v>
      </c>
      <c r="B812" s="3" t="s">
        <v>495</v>
      </c>
      <c r="C812" s="4">
        <v>55</v>
      </c>
    </row>
    <row r="813" spans="1:3" ht="15" thickBot="1">
      <c r="A813" s="3" t="s">
        <v>2075</v>
      </c>
      <c r="B813" s="3" t="s">
        <v>560</v>
      </c>
      <c r="C813" s="4">
        <v>8</v>
      </c>
    </row>
    <row r="814" spans="1:3" ht="15" thickBot="1">
      <c r="A814" s="3" t="s">
        <v>994</v>
      </c>
      <c r="B814" s="3" t="s">
        <v>125</v>
      </c>
      <c r="C814" s="4">
        <v>11</v>
      </c>
    </row>
    <row r="815" spans="1:3" ht="15" thickBot="1">
      <c r="A815" s="3" t="s">
        <v>351</v>
      </c>
      <c r="B815" s="3" t="s">
        <v>4</v>
      </c>
      <c r="C815" s="4">
        <v>2</v>
      </c>
    </row>
    <row r="816" spans="1:3" ht="15" thickBot="1">
      <c r="A816" s="3" t="s">
        <v>473</v>
      </c>
      <c r="B816" s="6" t="s">
        <v>1970</v>
      </c>
      <c r="C816" s="4">
        <v>11</v>
      </c>
    </row>
    <row r="817" spans="1:3" ht="15" thickBot="1">
      <c r="A817" s="3" t="s">
        <v>185</v>
      </c>
      <c r="B817" s="3" t="s">
        <v>1798</v>
      </c>
      <c r="C817" s="4">
        <v>4</v>
      </c>
    </row>
    <row r="818" spans="1:3" ht="15" thickBot="1">
      <c r="A818" s="3" t="s">
        <v>2076</v>
      </c>
      <c r="B818" s="3" t="s">
        <v>1814</v>
      </c>
      <c r="C818" s="4">
        <v>2</v>
      </c>
    </row>
    <row r="819" spans="1:3" ht="15" thickBot="1">
      <c r="A819" s="3" t="s">
        <v>1224</v>
      </c>
      <c r="B819" s="3" t="s">
        <v>125</v>
      </c>
      <c r="C819" s="4">
        <v>3</v>
      </c>
    </row>
    <row r="820" spans="1:3" ht="15" thickBot="1">
      <c r="A820" s="3" t="s">
        <v>1558</v>
      </c>
      <c r="B820" s="3" t="s">
        <v>125</v>
      </c>
      <c r="C820" s="4">
        <v>7</v>
      </c>
    </row>
    <row r="821" spans="1:3" ht="15" thickBot="1">
      <c r="A821" s="3" t="s">
        <v>350</v>
      </c>
      <c r="B821" s="3" t="s">
        <v>1814</v>
      </c>
      <c r="C821" s="4">
        <v>3</v>
      </c>
    </row>
    <row r="822" spans="1:3" ht="15" thickBot="1">
      <c r="A822" s="3" t="s">
        <v>2077</v>
      </c>
      <c r="B822" s="3" t="s">
        <v>1814</v>
      </c>
      <c r="C822" s="4">
        <v>4</v>
      </c>
    </row>
    <row r="823" spans="1:3" ht="15" thickBot="1">
      <c r="A823" s="3" t="s">
        <v>2078</v>
      </c>
      <c r="B823" s="3" t="s">
        <v>125</v>
      </c>
      <c r="C823" s="4">
        <v>11</v>
      </c>
    </row>
    <row r="824" spans="1:3" ht="15" thickBot="1">
      <c r="A824" s="3" t="s">
        <v>1545</v>
      </c>
      <c r="B824" s="3" t="s">
        <v>26</v>
      </c>
      <c r="C824" s="4">
        <v>2</v>
      </c>
    </row>
    <row r="825" spans="1:3" ht="15" thickBot="1">
      <c r="A825" s="3" t="s">
        <v>1078</v>
      </c>
      <c r="B825" s="3" t="s">
        <v>64</v>
      </c>
      <c r="C825" s="4">
        <v>1</v>
      </c>
    </row>
    <row r="826" spans="1:3" ht="15" thickBot="1">
      <c r="A826" s="3" t="s">
        <v>2079</v>
      </c>
      <c r="B826" s="3" t="s">
        <v>1814</v>
      </c>
      <c r="C826" s="4">
        <v>3</v>
      </c>
    </row>
    <row r="827" spans="1:3" ht="15" thickBot="1">
      <c r="A827" s="3" t="s">
        <v>673</v>
      </c>
      <c r="B827" s="3" t="s">
        <v>1798</v>
      </c>
      <c r="C827" s="4">
        <v>3</v>
      </c>
    </row>
    <row r="828" spans="1:3" ht="15" thickBot="1">
      <c r="A828" s="3" t="s">
        <v>976</v>
      </c>
      <c r="B828" s="3" t="s">
        <v>19</v>
      </c>
      <c r="C828" s="4">
        <v>8</v>
      </c>
    </row>
    <row r="829" spans="1:3" ht="15" thickBot="1">
      <c r="A829" s="3" t="s">
        <v>36</v>
      </c>
      <c r="B829" s="3" t="s">
        <v>32</v>
      </c>
      <c r="C829" s="4">
        <v>19</v>
      </c>
    </row>
    <row r="830" spans="1:3" ht="15" thickBot="1">
      <c r="A830" s="3" t="s">
        <v>2080</v>
      </c>
      <c r="B830" s="3" t="s">
        <v>61</v>
      </c>
      <c r="C830" s="4">
        <v>4</v>
      </c>
    </row>
    <row r="831" spans="1:3" ht="15" thickBot="1">
      <c r="A831" s="3" t="s">
        <v>2081</v>
      </c>
      <c r="B831" s="3" t="s">
        <v>118</v>
      </c>
      <c r="C831" s="4">
        <v>3</v>
      </c>
    </row>
    <row r="832" spans="1:3" ht="15" thickBot="1">
      <c r="A832" s="3" t="s">
        <v>444</v>
      </c>
      <c r="B832" s="3" t="s">
        <v>64</v>
      </c>
      <c r="C832" s="4">
        <v>9</v>
      </c>
    </row>
    <row r="833" spans="1:3" ht="15" thickBot="1">
      <c r="A833" s="3" t="s">
        <v>421</v>
      </c>
      <c r="B833" s="3" t="s">
        <v>125</v>
      </c>
      <c r="C833" s="4">
        <v>1</v>
      </c>
    </row>
    <row r="834" spans="1:3" ht="15" thickBot="1">
      <c r="A834" s="3" t="s">
        <v>2082</v>
      </c>
      <c r="B834" s="3" t="s">
        <v>64</v>
      </c>
      <c r="C834" s="4">
        <v>15</v>
      </c>
    </row>
    <row r="835" spans="1:3" ht="15" thickBot="1">
      <c r="A835" s="3" t="s">
        <v>1716</v>
      </c>
      <c r="B835" s="3" t="s">
        <v>115</v>
      </c>
      <c r="C835" s="4">
        <v>6</v>
      </c>
    </row>
    <row r="836" spans="1:3" ht="15" thickBot="1">
      <c r="A836" s="3" t="s">
        <v>316</v>
      </c>
      <c r="B836" s="3" t="s">
        <v>64</v>
      </c>
      <c r="C836" s="4">
        <v>5</v>
      </c>
    </row>
    <row r="837" spans="1:3" ht="15" thickBot="1">
      <c r="A837" s="3" t="s">
        <v>2083</v>
      </c>
      <c r="B837" s="3" t="s">
        <v>34</v>
      </c>
      <c r="C837" s="4">
        <v>1</v>
      </c>
    </row>
    <row r="838" spans="1:3" ht="15" thickBot="1">
      <c r="A838" s="3" t="s">
        <v>2084</v>
      </c>
      <c r="B838" s="3" t="s">
        <v>495</v>
      </c>
      <c r="C838" s="4">
        <v>3</v>
      </c>
    </row>
    <row r="839" spans="1:3" ht="15" thickBot="1">
      <c r="A839" s="3" t="s">
        <v>775</v>
      </c>
      <c r="B839" s="3" t="s">
        <v>495</v>
      </c>
      <c r="C839" s="4">
        <v>3</v>
      </c>
    </row>
    <row r="840" spans="1:3" ht="15" thickBot="1">
      <c r="A840" s="3" t="s">
        <v>1086</v>
      </c>
      <c r="B840" s="3" t="s">
        <v>64</v>
      </c>
      <c r="C840" s="4">
        <v>4</v>
      </c>
    </row>
    <row r="841" spans="1:3" ht="15" thickBot="1">
      <c r="A841" s="3" t="s">
        <v>266</v>
      </c>
      <c r="B841" s="3" t="s">
        <v>1814</v>
      </c>
      <c r="C841" s="4">
        <v>7</v>
      </c>
    </row>
    <row r="842" spans="1:3" ht="15" thickBot="1">
      <c r="A842" s="3" t="s">
        <v>1736</v>
      </c>
      <c r="B842" s="3" t="s">
        <v>26</v>
      </c>
      <c r="C842" s="4">
        <v>3</v>
      </c>
    </row>
    <row r="843" spans="1:3" ht="15" thickBot="1">
      <c r="A843" s="3" t="s">
        <v>2085</v>
      </c>
      <c r="B843" s="3" t="s">
        <v>1802</v>
      </c>
      <c r="C843" s="4">
        <v>8</v>
      </c>
    </row>
    <row r="844" spans="1:3" ht="15" thickBot="1">
      <c r="A844" s="3" t="s">
        <v>1107</v>
      </c>
      <c r="B844" s="3" t="s">
        <v>26</v>
      </c>
      <c r="C844" s="4">
        <v>3</v>
      </c>
    </row>
    <row r="845" spans="1:3" ht="15" thickBot="1">
      <c r="A845" s="3" t="s">
        <v>480</v>
      </c>
      <c r="B845" s="3" t="s">
        <v>26</v>
      </c>
      <c r="C845" s="4">
        <v>6</v>
      </c>
    </row>
    <row r="846" spans="1:3" ht="15" thickBot="1">
      <c r="A846" s="3" t="s">
        <v>755</v>
      </c>
      <c r="B846" s="3" t="s">
        <v>125</v>
      </c>
      <c r="C846" s="4">
        <v>4</v>
      </c>
    </row>
    <row r="847" spans="1:3" ht="15" thickBot="1">
      <c r="A847" s="3" t="s">
        <v>1220</v>
      </c>
      <c r="B847" s="3" t="s">
        <v>125</v>
      </c>
      <c r="C847" s="4">
        <v>3</v>
      </c>
    </row>
    <row r="848" spans="1:3" ht="15" thickBot="1">
      <c r="A848" s="3" t="s">
        <v>378</v>
      </c>
      <c r="B848" s="3" t="s">
        <v>125</v>
      </c>
      <c r="C848" s="4">
        <v>1</v>
      </c>
    </row>
    <row r="849" spans="1:3" ht="15" thickBot="1">
      <c r="A849" s="3" t="s">
        <v>2086</v>
      </c>
      <c r="B849" s="3" t="s">
        <v>19</v>
      </c>
      <c r="C849" s="4">
        <v>5</v>
      </c>
    </row>
    <row r="850" spans="1:3" ht="15" thickBot="1">
      <c r="A850" s="3" t="s">
        <v>2087</v>
      </c>
      <c r="B850" s="3" t="s">
        <v>4</v>
      </c>
      <c r="C850" s="4">
        <v>2</v>
      </c>
    </row>
    <row r="851" spans="1:3" ht="15" thickBot="1">
      <c r="A851" s="3" t="s">
        <v>189</v>
      </c>
      <c r="B851" s="3" t="s">
        <v>138</v>
      </c>
      <c r="C851" s="4">
        <v>14</v>
      </c>
    </row>
    <row r="852" spans="1:3" ht="15" thickBot="1">
      <c r="A852" s="3" t="s">
        <v>852</v>
      </c>
      <c r="B852" s="3" t="s">
        <v>61</v>
      </c>
      <c r="C852" s="4">
        <v>3</v>
      </c>
    </row>
    <row r="853" spans="1:3" ht="15" thickBot="1">
      <c r="A853" s="3" t="s">
        <v>2088</v>
      </c>
      <c r="B853" s="3" t="s">
        <v>24</v>
      </c>
      <c r="C853" s="4">
        <v>1</v>
      </c>
    </row>
    <row r="854" spans="1:3" ht="15" thickBot="1">
      <c r="A854" s="3" t="s">
        <v>180</v>
      </c>
      <c r="B854" s="3" t="s">
        <v>115</v>
      </c>
      <c r="C854" s="4">
        <v>18</v>
      </c>
    </row>
    <row r="855" spans="1:3" ht="15" thickBot="1">
      <c r="A855" s="3" t="s">
        <v>2089</v>
      </c>
      <c r="B855" s="3" t="s">
        <v>1802</v>
      </c>
      <c r="C855" s="4">
        <v>2</v>
      </c>
    </row>
    <row r="856" spans="1:3" ht="15" thickBot="1">
      <c r="A856" s="3" t="s">
        <v>1286</v>
      </c>
      <c r="B856" s="3" t="s">
        <v>34</v>
      </c>
      <c r="C856" s="4">
        <v>4</v>
      </c>
    </row>
    <row r="857" spans="1:3" ht="15" thickBot="1">
      <c r="A857" s="3" t="s">
        <v>2090</v>
      </c>
      <c r="B857" s="3" t="s">
        <v>495</v>
      </c>
      <c r="C857" s="4">
        <v>3</v>
      </c>
    </row>
    <row r="858" spans="1:3" ht="15" thickBot="1">
      <c r="A858" s="3" t="s">
        <v>259</v>
      </c>
      <c r="B858" s="3" t="s">
        <v>19</v>
      </c>
      <c r="C858" s="4">
        <v>12</v>
      </c>
    </row>
    <row r="859" spans="1:3" ht="15" thickBot="1">
      <c r="A859" s="3" t="s">
        <v>1100</v>
      </c>
      <c r="B859" s="3" t="s">
        <v>61</v>
      </c>
      <c r="C859" s="4">
        <v>7</v>
      </c>
    </row>
    <row r="860" spans="1:3" ht="15" thickBot="1">
      <c r="A860" s="3" t="s">
        <v>303</v>
      </c>
      <c r="B860" s="3" t="s">
        <v>61</v>
      </c>
      <c r="C860" s="4">
        <v>18</v>
      </c>
    </row>
    <row r="861" spans="1:3" ht="15" thickBot="1">
      <c r="A861" s="3" t="s">
        <v>1360</v>
      </c>
      <c r="B861" s="3" t="s">
        <v>495</v>
      </c>
      <c r="C861" s="4">
        <v>7</v>
      </c>
    </row>
    <row r="862" spans="1:3" ht="15" thickBot="1">
      <c r="A862" s="3" t="s">
        <v>2091</v>
      </c>
      <c r="B862" s="3" t="s">
        <v>34</v>
      </c>
      <c r="C862" s="4">
        <v>3</v>
      </c>
    </row>
    <row r="863" spans="1:3" ht="15" thickBot="1">
      <c r="A863" s="3" t="s">
        <v>2092</v>
      </c>
      <c r="B863" s="3" t="s">
        <v>1814</v>
      </c>
      <c r="C863" s="4">
        <v>1</v>
      </c>
    </row>
    <row r="864" spans="1:3" ht="15" thickBot="1">
      <c r="A864" s="3" t="s">
        <v>1606</v>
      </c>
      <c r="B864" s="3" t="s">
        <v>115</v>
      </c>
      <c r="C864" s="4">
        <v>3</v>
      </c>
    </row>
    <row r="865" spans="1:3" ht="15" thickBot="1">
      <c r="A865" s="3" t="s">
        <v>446</v>
      </c>
      <c r="B865" s="3" t="s">
        <v>34</v>
      </c>
      <c r="C865" s="4">
        <v>1</v>
      </c>
    </row>
    <row r="866" spans="1:3" ht="15" thickBot="1">
      <c r="A866" s="3" t="s">
        <v>2093</v>
      </c>
      <c r="B866" s="3" t="s">
        <v>61</v>
      </c>
      <c r="C866" s="4">
        <v>11</v>
      </c>
    </row>
    <row r="867" spans="1:3" ht="15" thickBot="1">
      <c r="A867" s="3" t="s">
        <v>859</v>
      </c>
      <c r="B867" s="3" t="s">
        <v>1802</v>
      </c>
      <c r="C867" s="4">
        <v>5</v>
      </c>
    </row>
    <row r="868" spans="1:3" ht="15" thickBot="1">
      <c r="A868" s="3" t="s">
        <v>2094</v>
      </c>
      <c r="B868" s="3" t="s">
        <v>4</v>
      </c>
      <c r="C868" s="4">
        <v>6</v>
      </c>
    </row>
    <row r="869" spans="1:3" ht="15" thickBot="1">
      <c r="A869" s="3" t="s">
        <v>2095</v>
      </c>
      <c r="B869" s="3" t="s">
        <v>34</v>
      </c>
      <c r="C869" s="4">
        <v>3</v>
      </c>
    </row>
    <row r="870" spans="1:3" ht="15" thickBot="1">
      <c r="A870" s="3" t="s">
        <v>2096</v>
      </c>
      <c r="B870" s="3" t="s">
        <v>1814</v>
      </c>
      <c r="C870" s="4">
        <v>3</v>
      </c>
    </row>
    <row r="871" spans="1:3" ht="15" thickBot="1">
      <c r="A871" s="3" t="s">
        <v>2097</v>
      </c>
      <c r="B871" s="3" t="s">
        <v>115</v>
      </c>
      <c r="C871" s="4">
        <v>5</v>
      </c>
    </row>
    <row r="872" spans="1:3" ht="15" thickBot="1">
      <c r="A872" s="3" t="s">
        <v>2098</v>
      </c>
      <c r="B872" s="3" t="s">
        <v>125</v>
      </c>
      <c r="C872" s="4">
        <v>5</v>
      </c>
    </row>
    <row r="873" spans="1:3" ht="15" thickBot="1">
      <c r="A873" s="3" t="s">
        <v>2099</v>
      </c>
      <c r="B873" s="3" t="s">
        <v>125</v>
      </c>
      <c r="C873" s="4">
        <v>4</v>
      </c>
    </row>
    <row r="874" spans="1:3" ht="15" thickBot="1">
      <c r="A874" s="3" t="s">
        <v>832</v>
      </c>
      <c r="B874" s="3" t="s">
        <v>26</v>
      </c>
      <c r="C874" s="4">
        <v>10</v>
      </c>
    </row>
    <row r="875" spans="1:3" ht="15" thickBot="1">
      <c r="A875" s="3" t="s">
        <v>525</v>
      </c>
      <c r="B875" s="3" t="s">
        <v>1802</v>
      </c>
      <c r="C875" s="4">
        <v>10</v>
      </c>
    </row>
    <row r="876" spans="1:3" ht="15" thickBot="1">
      <c r="A876" s="3" t="s">
        <v>625</v>
      </c>
      <c r="B876" s="3" t="s">
        <v>61</v>
      </c>
      <c r="C876" s="4">
        <v>5</v>
      </c>
    </row>
    <row r="877" spans="1:3" ht="15" thickBot="1">
      <c r="A877" s="3" t="s">
        <v>548</v>
      </c>
      <c r="B877" s="3" t="s">
        <v>61</v>
      </c>
      <c r="C877" s="4">
        <v>8</v>
      </c>
    </row>
    <row r="878" spans="1:3" ht="15" thickBot="1">
      <c r="A878" s="3" t="s">
        <v>2100</v>
      </c>
      <c r="B878" s="3" t="s">
        <v>61</v>
      </c>
      <c r="C878" s="4">
        <v>4</v>
      </c>
    </row>
    <row r="879" spans="1:3" ht="15" thickBot="1">
      <c r="A879" s="3" t="s">
        <v>2101</v>
      </c>
      <c r="B879" s="3" t="s">
        <v>19</v>
      </c>
      <c r="C879" s="4">
        <v>4</v>
      </c>
    </row>
    <row r="880" spans="1:3" ht="15" thickBot="1">
      <c r="A880" s="3" t="s">
        <v>386</v>
      </c>
      <c r="B880" s="3" t="s">
        <v>61</v>
      </c>
      <c r="C880" s="4">
        <v>5</v>
      </c>
    </row>
    <row r="881" spans="1:3" ht="15" thickBot="1">
      <c r="A881" s="3" t="s">
        <v>1118</v>
      </c>
      <c r="B881" s="3" t="s">
        <v>61</v>
      </c>
      <c r="C881" s="4">
        <v>10</v>
      </c>
    </row>
    <row r="882" spans="1:3" ht="15" thickBot="1">
      <c r="A882" s="3" t="s">
        <v>382</v>
      </c>
      <c r="B882" s="3" t="s">
        <v>61</v>
      </c>
      <c r="C882" s="4">
        <v>14</v>
      </c>
    </row>
    <row r="883" spans="1:3" ht="15" thickBot="1">
      <c r="A883" s="3" t="s">
        <v>2102</v>
      </c>
      <c r="B883" s="6" t="s">
        <v>1970</v>
      </c>
      <c r="C883" s="4">
        <v>4</v>
      </c>
    </row>
    <row r="884" spans="1:3" ht="15" thickBot="1">
      <c r="A884" s="3" t="s">
        <v>2103</v>
      </c>
      <c r="B884" s="3" t="s">
        <v>61</v>
      </c>
      <c r="C884" s="4">
        <v>4</v>
      </c>
    </row>
    <row r="885" spans="1:3" ht="15" thickBot="1">
      <c r="A885" s="3" t="s">
        <v>2104</v>
      </c>
      <c r="B885" s="3" t="s">
        <v>61</v>
      </c>
      <c r="C885" s="4">
        <v>4</v>
      </c>
    </row>
    <row r="886" spans="1:3" ht="15" thickBot="1">
      <c r="A886" s="3" t="s">
        <v>358</v>
      </c>
      <c r="B886" s="3" t="s">
        <v>495</v>
      </c>
      <c r="C886" s="4">
        <v>27</v>
      </c>
    </row>
    <row r="887" spans="1:3" ht="15" thickBot="1">
      <c r="A887" s="3" t="s">
        <v>995</v>
      </c>
      <c r="B887" s="3" t="s">
        <v>125</v>
      </c>
      <c r="C887" s="4">
        <v>2</v>
      </c>
    </row>
    <row r="888" spans="1:3" ht="15" thickBot="1">
      <c r="A888" s="3" t="s">
        <v>1010</v>
      </c>
      <c r="B888" s="3" t="s">
        <v>4</v>
      </c>
      <c r="C888" s="4">
        <v>6</v>
      </c>
    </row>
    <row r="889" spans="1:3" ht="15" thickBot="1">
      <c r="A889" s="3" t="s">
        <v>587</v>
      </c>
      <c r="B889" s="3" t="s">
        <v>4</v>
      </c>
      <c r="C889" s="4">
        <v>6</v>
      </c>
    </row>
    <row r="890" spans="1:3" ht="15" thickBot="1">
      <c r="A890" s="3" t="s">
        <v>1003</v>
      </c>
      <c r="B890" s="3" t="s">
        <v>1814</v>
      </c>
      <c r="C890" s="4">
        <v>9</v>
      </c>
    </row>
    <row r="891" spans="1:3" ht="15" thickBot="1">
      <c r="A891" s="3" t="s">
        <v>2105</v>
      </c>
      <c r="B891" s="3" t="s">
        <v>1798</v>
      </c>
      <c r="C891" s="4">
        <v>2</v>
      </c>
    </row>
    <row r="892" spans="1:3" ht="15" thickBot="1">
      <c r="A892" s="3" t="s">
        <v>442</v>
      </c>
      <c r="B892" s="3" t="s">
        <v>34</v>
      </c>
      <c r="C892" s="4">
        <v>6</v>
      </c>
    </row>
    <row r="893" spans="1:3" ht="15" thickBot="1">
      <c r="A893" s="3" t="s">
        <v>2106</v>
      </c>
      <c r="B893" s="3" t="s">
        <v>115</v>
      </c>
      <c r="C893" s="4">
        <v>1</v>
      </c>
    </row>
    <row r="894" spans="1:3" ht="15" thickBot="1">
      <c r="A894" s="3" t="s">
        <v>1638</v>
      </c>
      <c r="B894" s="3" t="s">
        <v>64</v>
      </c>
      <c r="C894" s="4">
        <v>3</v>
      </c>
    </row>
    <row r="895" spans="1:3" ht="15" thickBot="1">
      <c r="A895" s="3" t="s">
        <v>1450</v>
      </c>
      <c r="B895" s="3" t="s">
        <v>22</v>
      </c>
      <c r="C895" s="4">
        <v>1</v>
      </c>
    </row>
    <row r="896" spans="1:3" ht="15" thickBot="1">
      <c r="A896" s="3" t="s">
        <v>448</v>
      </c>
      <c r="B896" s="3" t="s">
        <v>1814</v>
      </c>
      <c r="C896" s="4">
        <v>2</v>
      </c>
    </row>
    <row r="897" spans="1:3" ht="15" thickBot="1">
      <c r="A897" s="3" t="s">
        <v>949</v>
      </c>
      <c r="B897" s="3" t="s">
        <v>34</v>
      </c>
      <c r="C897" s="4">
        <v>3</v>
      </c>
    </row>
    <row r="898" spans="1:3" ht="15" thickBot="1">
      <c r="A898" s="3" t="s">
        <v>2107</v>
      </c>
      <c r="B898" s="3" t="s">
        <v>61</v>
      </c>
      <c r="C898" s="4">
        <v>2</v>
      </c>
    </row>
    <row r="899" spans="1:3" ht="15" thickBot="1">
      <c r="A899" s="3" t="s">
        <v>601</v>
      </c>
      <c r="B899" s="3" t="s">
        <v>61</v>
      </c>
      <c r="C899" s="4">
        <v>1</v>
      </c>
    </row>
    <row r="900" spans="1:3" ht="15" thickBot="1">
      <c r="A900" s="3" t="s">
        <v>2108</v>
      </c>
      <c r="B900" s="3" t="s">
        <v>24</v>
      </c>
      <c r="C900" s="4">
        <v>6</v>
      </c>
    </row>
    <row r="901" spans="1:3" ht="15" thickBot="1">
      <c r="A901" s="3" t="s">
        <v>2109</v>
      </c>
      <c r="B901" s="3" t="s">
        <v>125</v>
      </c>
      <c r="C901" s="4">
        <v>3</v>
      </c>
    </row>
    <row r="902" spans="1:3" ht="15" thickBot="1">
      <c r="A902" s="3" t="s">
        <v>391</v>
      </c>
      <c r="B902" s="3" t="s">
        <v>138</v>
      </c>
      <c r="C902" s="4">
        <v>3</v>
      </c>
    </row>
    <row r="903" spans="1:3" ht="15" thickBot="1">
      <c r="A903" s="3" t="s">
        <v>2110</v>
      </c>
      <c r="B903" s="3" t="s">
        <v>495</v>
      </c>
      <c r="C903" s="4">
        <v>1</v>
      </c>
    </row>
    <row r="904" spans="1:3" ht="15" thickBot="1">
      <c r="A904" s="3" t="s">
        <v>312</v>
      </c>
      <c r="B904" s="3" t="s">
        <v>1814</v>
      </c>
      <c r="C904" s="4">
        <v>5</v>
      </c>
    </row>
    <row r="905" spans="1:3" ht="15" thickBot="1">
      <c r="A905" s="3" t="s">
        <v>971</v>
      </c>
      <c r="B905" s="6" t="s">
        <v>1970</v>
      </c>
      <c r="C905" s="4">
        <v>3</v>
      </c>
    </row>
    <row r="906" spans="1:3" ht="15" thickBot="1">
      <c r="A906" s="3" t="s">
        <v>461</v>
      </c>
      <c r="B906" s="3" t="s">
        <v>26</v>
      </c>
      <c r="C906" s="4">
        <v>30</v>
      </c>
    </row>
    <row r="907" spans="1:3" ht="15" thickBot="1">
      <c r="A907" s="3" t="s">
        <v>2111</v>
      </c>
      <c r="B907" s="3" t="s">
        <v>1814</v>
      </c>
      <c r="C907" s="4">
        <v>1</v>
      </c>
    </row>
    <row r="908" spans="1:3" ht="15" thickBot="1">
      <c r="A908" s="3" t="s">
        <v>2112</v>
      </c>
      <c r="B908" s="3" t="s">
        <v>1814</v>
      </c>
      <c r="C908" s="4">
        <v>1</v>
      </c>
    </row>
    <row r="909" spans="1:3" ht="15" thickBot="1">
      <c r="A909" s="3" t="s">
        <v>1342</v>
      </c>
      <c r="B909" s="3" t="s">
        <v>1802</v>
      </c>
      <c r="C909" s="4">
        <v>6</v>
      </c>
    </row>
    <row r="910" spans="1:3" ht="15" thickBot="1">
      <c r="A910" s="3" t="s">
        <v>1597</v>
      </c>
      <c r="B910" s="3" t="s">
        <v>19</v>
      </c>
      <c r="C910" s="4">
        <v>2</v>
      </c>
    </row>
    <row r="911" spans="1:3" ht="15" thickBot="1">
      <c r="A911" s="3" t="s">
        <v>174</v>
      </c>
      <c r="B911" s="3" t="s">
        <v>64</v>
      </c>
      <c r="C911" s="4">
        <v>1</v>
      </c>
    </row>
    <row r="912" spans="1:3" ht="15" thickBot="1">
      <c r="A912" s="3" t="s">
        <v>2113</v>
      </c>
      <c r="B912" s="3" t="s">
        <v>495</v>
      </c>
      <c r="C912" s="4">
        <v>2</v>
      </c>
    </row>
    <row r="913" spans="1:3" ht="15" thickBot="1">
      <c r="A913" s="3" t="s">
        <v>2114</v>
      </c>
      <c r="B913" s="3" t="s">
        <v>1981</v>
      </c>
      <c r="C913" s="4">
        <v>2</v>
      </c>
    </row>
    <row r="914" spans="1:3" ht="15" thickBot="1">
      <c r="A914" s="3" t="s">
        <v>1215</v>
      </c>
      <c r="B914" s="3" t="s">
        <v>26</v>
      </c>
      <c r="C914" s="4">
        <v>8</v>
      </c>
    </row>
    <row r="915" spans="1:3" ht="15" thickBot="1">
      <c r="A915" s="3" t="s">
        <v>2115</v>
      </c>
      <c r="B915" s="3" t="s">
        <v>1947</v>
      </c>
      <c r="C915" s="4">
        <v>1</v>
      </c>
    </row>
    <row r="916" spans="1:3" ht="15" thickBot="1">
      <c r="A916" s="3" t="s">
        <v>753</v>
      </c>
      <c r="B916" s="3" t="s">
        <v>1814</v>
      </c>
      <c r="C916" s="4">
        <v>7</v>
      </c>
    </row>
    <row r="917" spans="1:3" ht="15" thickBot="1">
      <c r="A917" s="3" t="s">
        <v>2116</v>
      </c>
      <c r="B917" s="3" t="s">
        <v>125</v>
      </c>
      <c r="C917" s="4">
        <v>1</v>
      </c>
    </row>
    <row r="918" spans="1:3" ht="15" thickBot="1">
      <c r="A918" s="3" t="s">
        <v>2117</v>
      </c>
      <c r="B918" s="3" t="s">
        <v>125</v>
      </c>
      <c r="C918" s="4">
        <v>12</v>
      </c>
    </row>
    <row r="919" spans="1:3" ht="15" thickBot="1">
      <c r="A919" s="3" t="s">
        <v>1718</v>
      </c>
      <c r="B919" s="3" t="s">
        <v>1802</v>
      </c>
      <c r="C919" s="4">
        <v>1</v>
      </c>
    </row>
    <row r="920" spans="1:3" ht="15" thickBot="1">
      <c r="A920" s="3" t="s">
        <v>1164</v>
      </c>
      <c r="B920" s="3" t="s">
        <v>64</v>
      </c>
      <c r="C920" s="4">
        <v>22</v>
      </c>
    </row>
    <row r="921" spans="1:3" ht="15" thickBot="1">
      <c r="A921" s="3" t="s">
        <v>1105</v>
      </c>
      <c r="B921" s="3" t="s">
        <v>1810</v>
      </c>
      <c r="C921" s="4">
        <v>19</v>
      </c>
    </row>
    <row r="922" spans="1:3" ht="15" thickBot="1">
      <c r="A922" s="3" t="s">
        <v>1253</v>
      </c>
      <c r="B922" s="3" t="s">
        <v>1814</v>
      </c>
      <c r="C922" s="4">
        <v>16</v>
      </c>
    </row>
    <row r="923" spans="1:3" ht="15" thickBot="1">
      <c r="A923" s="3" t="s">
        <v>2118</v>
      </c>
      <c r="B923" s="3" t="s">
        <v>1802</v>
      </c>
      <c r="C923" s="4">
        <v>14</v>
      </c>
    </row>
    <row r="924" spans="1:3" ht="15" thickBot="1">
      <c r="A924" s="3" t="s">
        <v>1728</v>
      </c>
      <c r="B924" s="3" t="s">
        <v>125</v>
      </c>
      <c r="C924" s="4">
        <v>2</v>
      </c>
    </row>
    <row r="925" spans="1:3" ht="15" thickBot="1">
      <c r="A925" s="3" t="s">
        <v>2119</v>
      </c>
      <c r="B925" s="3" t="s">
        <v>61</v>
      </c>
      <c r="C925" s="4">
        <v>2</v>
      </c>
    </row>
    <row r="926" spans="1:3" ht="15" thickBot="1">
      <c r="A926" s="3" t="s">
        <v>754</v>
      </c>
      <c r="B926" s="3" t="s">
        <v>24</v>
      </c>
      <c r="C926" s="4">
        <v>4</v>
      </c>
    </row>
    <row r="927" spans="1:3" ht="15" thickBot="1">
      <c r="A927" s="3" t="s">
        <v>568</v>
      </c>
      <c r="B927" s="3" t="s">
        <v>22</v>
      </c>
      <c r="C927" s="4">
        <v>2</v>
      </c>
    </row>
    <row r="928" spans="1:3" ht="15" thickBot="1">
      <c r="A928" s="3" t="s">
        <v>702</v>
      </c>
      <c r="B928" s="3" t="s">
        <v>125</v>
      </c>
      <c r="C928" s="4">
        <v>3</v>
      </c>
    </row>
    <row r="929" spans="1:3" ht="15" thickBot="1">
      <c r="A929" s="3" t="s">
        <v>492</v>
      </c>
      <c r="B929" s="3" t="s">
        <v>26</v>
      </c>
      <c r="C929" s="4">
        <v>16</v>
      </c>
    </row>
    <row r="930" spans="1:3" ht="15" thickBot="1">
      <c r="A930" s="3" t="s">
        <v>2120</v>
      </c>
      <c r="B930" s="3" t="s">
        <v>1802</v>
      </c>
      <c r="C930" s="4">
        <v>12</v>
      </c>
    </row>
    <row r="931" spans="1:3" ht="15" thickBot="1">
      <c r="A931" s="3" t="s">
        <v>1386</v>
      </c>
      <c r="B931" s="3" t="s">
        <v>64</v>
      </c>
      <c r="C931" s="4">
        <v>2</v>
      </c>
    </row>
    <row r="932" spans="1:3" ht="15" thickBot="1">
      <c r="A932" s="3" t="s">
        <v>2121</v>
      </c>
      <c r="B932" s="3" t="s">
        <v>1810</v>
      </c>
      <c r="C932" s="4">
        <v>1</v>
      </c>
    </row>
    <row r="933" spans="1:3" ht="15" thickBot="1">
      <c r="A933" s="3" t="s">
        <v>1184</v>
      </c>
      <c r="B933" s="3" t="s">
        <v>61</v>
      </c>
      <c r="C933" s="4">
        <v>9</v>
      </c>
    </row>
    <row r="934" spans="1:3" ht="15" thickBot="1">
      <c r="A934" s="3" t="s">
        <v>1252</v>
      </c>
      <c r="B934" s="3" t="s">
        <v>64</v>
      </c>
      <c r="C934" s="4">
        <v>9</v>
      </c>
    </row>
    <row r="935" spans="1:3" ht="15" thickBot="1">
      <c r="A935" s="3" t="s">
        <v>1495</v>
      </c>
      <c r="B935" s="3" t="s">
        <v>115</v>
      </c>
      <c r="C935" s="4">
        <v>5</v>
      </c>
    </row>
    <row r="936" spans="1:3" ht="15" thickBot="1">
      <c r="A936" s="3" t="s">
        <v>464</v>
      </c>
      <c r="B936" s="3" t="s">
        <v>26</v>
      </c>
      <c r="C936" s="4">
        <v>4</v>
      </c>
    </row>
    <row r="937" spans="1:3" ht="15" thickBot="1">
      <c r="A937" s="3" t="s">
        <v>1415</v>
      </c>
      <c r="B937" s="3" t="s">
        <v>64</v>
      </c>
      <c r="C937" s="4">
        <v>7</v>
      </c>
    </row>
    <row r="938" spans="1:3" ht="15" thickBot="1">
      <c r="A938" s="3" t="s">
        <v>2122</v>
      </c>
      <c r="B938" s="3" t="s">
        <v>34</v>
      </c>
      <c r="C938" s="4">
        <v>3</v>
      </c>
    </row>
    <row r="939" spans="1:3" ht="15" thickBot="1">
      <c r="A939" s="3" t="s">
        <v>2123</v>
      </c>
      <c r="B939" s="3" t="s">
        <v>64</v>
      </c>
      <c r="C939" s="4">
        <v>11</v>
      </c>
    </row>
    <row r="940" spans="1:3" ht="15" thickBot="1">
      <c r="A940" s="3" t="s">
        <v>884</v>
      </c>
      <c r="B940" s="3" t="s">
        <v>64</v>
      </c>
      <c r="C940" s="4">
        <v>6</v>
      </c>
    </row>
    <row r="941" spans="1:3" ht="15" thickBot="1">
      <c r="A941" s="3" t="s">
        <v>2124</v>
      </c>
      <c r="B941" s="3" t="s">
        <v>64</v>
      </c>
      <c r="C941" s="4">
        <v>1</v>
      </c>
    </row>
    <row r="942" spans="1:3" ht="15" thickBot="1">
      <c r="A942" s="3" t="s">
        <v>1146</v>
      </c>
      <c r="B942" s="3" t="s">
        <v>26</v>
      </c>
      <c r="C942" s="4">
        <v>4</v>
      </c>
    </row>
    <row r="943" spans="1:3" ht="15" thickBot="1">
      <c r="A943" s="3" t="s">
        <v>484</v>
      </c>
      <c r="B943" s="3" t="s">
        <v>26</v>
      </c>
      <c r="C943" s="4">
        <v>10</v>
      </c>
    </row>
    <row r="944" spans="1:3" ht="15" thickBot="1">
      <c r="A944" s="3" t="s">
        <v>2125</v>
      </c>
      <c r="B944" s="3" t="s">
        <v>4</v>
      </c>
      <c r="C944" s="4">
        <v>2</v>
      </c>
    </row>
    <row r="945" spans="1:3" ht="15" thickBot="1">
      <c r="A945" s="3" t="s">
        <v>2126</v>
      </c>
      <c r="B945" s="3" t="s">
        <v>4</v>
      </c>
      <c r="C945" s="4">
        <v>2</v>
      </c>
    </row>
    <row r="946" spans="1:3" ht="15" thickBot="1">
      <c r="A946" s="3" t="s">
        <v>2127</v>
      </c>
      <c r="B946" s="3" t="s">
        <v>1814</v>
      </c>
      <c r="C946" s="4">
        <v>6</v>
      </c>
    </row>
    <row r="947" spans="1:3" ht="15" thickBot="1">
      <c r="A947" s="3" t="s">
        <v>450</v>
      </c>
      <c r="B947" s="3" t="s">
        <v>495</v>
      </c>
      <c r="C947" s="4">
        <v>22</v>
      </c>
    </row>
    <row r="948" spans="1:3" ht="15" thickBot="1">
      <c r="A948" s="3" t="s">
        <v>734</v>
      </c>
      <c r="B948" s="3" t="s">
        <v>1810</v>
      </c>
      <c r="C948" s="4">
        <v>2</v>
      </c>
    </row>
    <row r="949" spans="1:3" ht="15" thickBot="1">
      <c r="A949" s="3" t="s">
        <v>2128</v>
      </c>
      <c r="B949" s="3" t="s">
        <v>1802</v>
      </c>
      <c r="C949" s="4">
        <v>2</v>
      </c>
    </row>
    <row r="950" spans="1:3" ht="15" thickBot="1">
      <c r="A950" s="3" t="s">
        <v>2129</v>
      </c>
      <c r="B950" s="3" t="s">
        <v>61</v>
      </c>
      <c r="C950" s="4">
        <v>1</v>
      </c>
    </row>
    <row r="951" spans="1:3" ht="15" thickBot="1">
      <c r="A951" s="3" t="s">
        <v>2130</v>
      </c>
      <c r="B951" s="3" t="s">
        <v>4</v>
      </c>
      <c r="C951" s="4">
        <v>1</v>
      </c>
    </row>
    <row r="952" spans="1:3" ht="15" thickBot="1">
      <c r="A952" s="3" t="s">
        <v>2131</v>
      </c>
      <c r="B952" s="3" t="s">
        <v>1802</v>
      </c>
      <c r="C952" s="4">
        <v>1</v>
      </c>
    </row>
    <row r="953" spans="1:3" ht="15" thickBot="1">
      <c r="A953" s="3" t="s">
        <v>2132</v>
      </c>
      <c r="B953" s="3" t="s">
        <v>1802</v>
      </c>
      <c r="C953" s="4">
        <v>2</v>
      </c>
    </row>
    <row r="954" spans="1:3" ht="15" thickBot="1">
      <c r="A954" s="3" t="s">
        <v>2133</v>
      </c>
      <c r="B954" s="3" t="s">
        <v>26</v>
      </c>
      <c r="C954" s="4">
        <v>1</v>
      </c>
    </row>
    <row r="955" spans="1:3" ht="15" thickBot="1">
      <c r="A955" s="3" t="s">
        <v>1546</v>
      </c>
      <c r="B955" s="3" t="s">
        <v>26</v>
      </c>
      <c r="C955" s="4">
        <v>5</v>
      </c>
    </row>
    <row r="956" spans="1:3" ht="15" thickBot="1">
      <c r="A956" s="3" t="s">
        <v>311</v>
      </c>
      <c r="B956" s="3" t="s">
        <v>64</v>
      </c>
      <c r="C956" s="4">
        <v>6</v>
      </c>
    </row>
    <row r="957" spans="1:3" ht="15" thickBot="1">
      <c r="A957" s="3" t="s">
        <v>617</v>
      </c>
      <c r="B957" s="3" t="s">
        <v>24</v>
      </c>
      <c r="C957" s="4">
        <v>4</v>
      </c>
    </row>
    <row r="958" spans="1:3" ht="15" thickBot="1">
      <c r="A958" s="3" t="s">
        <v>2134</v>
      </c>
      <c r="B958" s="3" t="s">
        <v>1802</v>
      </c>
      <c r="C958" s="4">
        <v>6</v>
      </c>
    </row>
    <row r="959" spans="1:3" ht="15" thickBot="1">
      <c r="A959" s="3" t="s">
        <v>314</v>
      </c>
      <c r="B959" s="3" t="s">
        <v>560</v>
      </c>
      <c r="C959" s="4">
        <v>2</v>
      </c>
    </row>
    <row r="960" spans="1:3" ht="15" thickBot="1">
      <c r="A960" s="3" t="s">
        <v>1044</v>
      </c>
      <c r="B960" s="3" t="s">
        <v>26</v>
      </c>
      <c r="C960" s="4">
        <v>8</v>
      </c>
    </row>
    <row r="961" spans="1:3" ht="15" thickBot="1">
      <c r="A961" s="3" t="s">
        <v>2135</v>
      </c>
      <c r="B961" s="3" t="s">
        <v>26</v>
      </c>
      <c r="C961" s="4">
        <v>1</v>
      </c>
    </row>
    <row r="962" spans="1:3" ht="15" thickBot="1">
      <c r="A962" s="3" t="s">
        <v>2136</v>
      </c>
      <c r="B962" s="3" t="s">
        <v>26</v>
      </c>
      <c r="C962" s="4">
        <v>1</v>
      </c>
    </row>
    <row r="963" spans="1:3" ht="15" thickBot="1">
      <c r="A963" s="3" t="s">
        <v>2137</v>
      </c>
      <c r="B963" s="3" t="s">
        <v>26</v>
      </c>
      <c r="C963" s="4">
        <v>2</v>
      </c>
    </row>
    <row r="964" spans="1:3" ht="15" thickBot="1">
      <c r="A964" s="3" t="s">
        <v>923</v>
      </c>
      <c r="B964" s="3" t="s">
        <v>64</v>
      </c>
      <c r="C964" s="4">
        <v>5</v>
      </c>
    </row>
    <row r="965" spans="1:3" ht="15" thickBot="1">
      <c r="A965" s="3" t="s">
        <v>1381</v>
      </c>
      <c r="B965" s="3" t="s">
        <v>64</v>
      </c>
      <c r="C965" s="4">
        <v>2</v>
      </c>
    </row>
    <row r="966" spans="1:3" ht="15" thickBot="1">
      <c r="A966" s="3" t="s">
        <v>337</v>
      </c>
      <c r="B966" s="3" t="s">
        <v>64</v>
      </c>
      <c r="C966" s="4">
        <v>1</v>
      </c>
    </row>
    <row r="967" spans="1:3" ht="15" thickBot="1">
      <c r="A967" s="3" t="s">
        <v>2138</v>
      </c>
      <c r="B967" s="3" t="s">
        <v>64</v>
      </c>
      <c r="C967" s="4">
        <v>3</v>
      </c>
    </row>
    <row r="968" spans="1:3" ht="15" thickBot="1">
      <c r="A968" s="3" t="s">
        <v>2139</v>
      </c>
      <c r="B968" s="3" t="s">
        <v>495</v>
      </c>
      <c r="C968" s="4">
        <v>3</v>
      </c>
    </row>
    <row r="969" spans="1:3" ht="15" thickBot="1">
      <c r="A969" s="3" t="s">
        <v>783</v>
      </c>
      <c r="B969" s="3" t="s">
        <v>61</v>
      </c>
      <c r="C969" s="4">
        <v>1</v>
      </c>
    </row>
    <row r="970" spans="1:3" ht="15" thickBot="1">
      <c r="A970" s="3" t="s">
        <v>384</v>
      </c>
      <c r="B970" s="3" t="s">
        <v>61</v>
      </c>
      <c r="C970" s="4">
        <v>10</v>
      </c>
    </row>
    <row r="971" spans="1:3" ht="15" thickBot="1">
      <c r="A971" s="3" t="s">
        <v>2140</v>
      </c>
      <c r="B971" s="3" t="s">
        <v>61</v>
      </c>
      <c r="C971" s="4">
        <v>5</v>
      </c>
    </row>
    <row r="972" spans="1:3" ht="15" thickBot="1">
      <c r="A972" s="3" t="s">
        <v>2141</v>
      </c>
      <c r="B972" s="3" t="s">
        <v>64</v>
      </c>
      <c r="C972" s="4">
        <v>11</v>
      </c>
    </row>
    <row r="973" spans="1:3" ht="15" thickBot="1">
      <c r="A973" s="3" t="s">
        <v>956</v>
      </c>
      <c r="B973" s="3" t="s">
        <v>26</v>
      </c>
      <c r="C973" s="4">
        <v>8</v>
      </c>
    </row>
    <row r="974" spans="1:3" ht="15" thickBot="1">
      <c r="A974" s="3" t="s">
        <v>1225</v>
      </c>
      <c r="B974" s="3" t="s">
        <v>1814</v>
      </c>
      <c r="C974" s="4">
        <v>2</v>
      </c>
    </row>
    <row r="975" spans="1:3" ht="15" thickBot="1">
      <c r="A975" s="3" t="s">
        <v>343</v>
      </c>
      <c r="B975" s="3" t="s">
        <v>1814</v>
      </c>
      <c r="C975" s="4">
        <v>7</v>
      </c>
    </row>
    <row r="976" spans="1:3" ht="15" thickBot="1">
      <c r="A976" s="3" t="s">
        <v>2142</v>
      </c>
      <c r="B976" s="3" t="s">
        <v>34</v>
      </c>
      <c r="C976" s="4">
        <v>4</v>
      </c>
    </row>
    <row r="977" spans="1:3" ht="15" thickBot="1">
      <c r="A977" s="3" t="s">
        <v>1409</v>
      </c>
      <c r="B977" s="3" t="s">
        <v>61</v>
      </c>
      <c r="C977" s="4">
        <v>5</v>
      </c>
    </row>
    <row r="978" spans="1:3" ht="15" thickBot="1">
      <c r="A978" s="3" t="s">
        <v>812</v>
      </c>
      <c r="B978" s="3" t="s">
        <v>1802</v>
      </c>
      <c r="C978" s="4">
        <v>1</v>
      </c>
    </row>
    <row r="979" spans="1:3" ht="15" thickBot="1">
      <c r="A979" s="3" t="s">
        <v>745</v>
      </c>
      <c r="B979" s="3" t="s">
        <v>125</v>
      </c>
      <c r="C979" s="4">
        <v>1</v>
      </c>
    </row>
    <row r="980" spans="1:3" ht="15" thickBot="1">
      <c r="A980" s="3" t="s">
        <v>1277</v>
      </c>
      <c r="B980" s="3" t="s">
        <v>26</v>
      </c>
      <c r="C980" s="4">
        <v>3</v>
      </c>
    </row>
    <row r="981" spans="1:3" ht="15" thickBot="1">
      <c r="A981" s="3" t="s">
        <v>1318</v>
      </c>
      <c r="B981" s="3" t="s">
        <v>26</v>
      </c>
      <c r="C981" s="4">
        <v>8</v>
      </c>
    </row>
    <row r="982" spans="1:3" ht="15" thickBot="1">
      <c r="A982" s="3" t="s">
        <v>2143</v>
      </c>
      <c r="B982" s="3" t="s">
        <v>1802</v>
      </c>
      <c r="C982" s="4">
        <v>4</v>
      </c>
    </row>
    <row r="983" spans="1:3" ht="15" thickBot="1">
      <c r="A983" s="3" t="s">
        <v>1711</v>
      </c>
      <c r="B983" s="3" t="s">
        <v>26</v>
      </c>
      <c r="C983" s="4">
        <v>8</v>
      </c>
    </row>
    <row r="984" spans="1:3" ht="15" thickBot="1">
      <c r="A984" s="3" t="s">
        <v>2144</v>
      </c>
      <c r="B984" s="3" t="s">
        <v>4</v>
      </c>
      <c r="C984" s="4">
        <v>1</v>
      </c>
    </row>
    <row r="985" spans="1:3" ht="15" thickBot="1">
      <c r="A985" s="3" t="s">
        <v>1313</v>
      </c>
      <c r="B985" s="3" t="s">
        <v>560</v>
      </c>
      <c r="C985" s="4">
        <v>1</v>
      </c>
    </row>
    <row r="986" spans="1:3" ht="15" thickBot="1">
      <c r="A986" s="3" t="s">
        <v>2145</v>
      </c>
      <c r="B986" s="3" t="s">
        <v>560</v>
      </c>
      <c r="C986" s="4">
        <v>5</v>
      </c>
    </row>
    <row r="987" spans="1:3" ht="15" thickBot="1">
      <c r="A987" s="3" t="s">
        <v>2146</v>
      </c>
      <c r="B987" s="3" t="s">
        <v>34</v>
      </c>
      <c r="C987" s="4">
        <v>3</v>
      </c>
    </row>
    <row r="988" spans="1:3" ht="15" thickBot="1">
      <c r="A988" s="3" t="s">
        <v>633</v>
      </c>
      <c r="B988" s="3" t="s">
        <v>24</v>
      </c>
      <c r="C988" s="4">
        <v>4</v>
      </c>
    </row>
    <row r="989" spans="1:3" ht="15" thickBot="1">
      <c r="A989" s="3" t="s">
        <v>1469</v>
      </c>
      <c r="B989" s="3" t="s">
        <v>560</v>
      </c>
      <c r="C989" s="4">
        <v>1</v>
      </c>
    </row>
    <row r="990" spans="1:3" ht="15" thickBot="1">
      <c r="A990" s="3" t="s">
        <v>2147</v>
      </c>
      <c r="B990" s="3" t="s">
        <v>1798</v>
      </c>
      <c r="C990" s="4">
        <v>2</v>
      </c>
    </row>
    <row r="991" spans="1:3" ht="15" thickBot="1">
      <c r="A991" s="3" t="s">
        <v>2148</v>
      </c>
      <c r="B991" s="3" t="s">
        <v>1798</v>
      </c>
      <c r="C991" s="4">
        <v>1</v>
      </c>
    </row>
    <row r="992" spans="1:3" ht="15" thickBot="1">
      <c r="A992" s="3" t="s">
        <v>2149</v>
      </c>
      <c r="B992" s="3" t="s">
        <v>34</v>
      </c>
      <c r="C992" s="4">
        <v>3</v>
      </c>
    </row>
    <row r="993" spans="1:3" ht="15" thickBot="1">
      <c r="A993" s="3" t="s">
        <v>1256</v>
      </c>
      <c r="B993" s="3" t="s">
        <v>115</v>
      </c>
      <c r="C993" s="4">
        <v>12</v>
      </c>
    </row>
    <row r="994" spans="1:3" ht="15" thickBot="1">
      <c r="A994" s="3" t="s">
        <v>2150</v>
      </c>
      <c r="B994" s="3" t="s">
        <v>26</v>
      </c>
      <c r="C994" s="4">
        <v>9</v>
      </c>
    </row>
    <row r="995" spans="1:3" ht="15" thickBot="1">
      <c r="A995" s="3" t="s">
        <v>681</v>
      </c>
      <c r="B995" s="3" t="s">
        <v>1802</v>
      </c>
      <c r="C995" s="4">
        <v>9</v>
      </c>
    </row>
    <row r="996" spans="1:3" ht="15" thickBot="1">
      <c r="A996" s="3" t="s">
        <v>746</v>
      </c>
      <c r="B996" s="3" t="s">
        <v>64</v>
      </c>
      <c r="C996" s="4">
        <v>2</v>
      </c>
    </row>
    <row r="997" spans="1:3" ht="15" thickBot="1">
      <c r="A997" s="3" t="s">
        <v>1614</v>
      </c>
      <c r="B997" s="3" t="s">
        <v>115</v>
      </c>
      <c r="C997" s="4">
        <v>2</v>
      </c>
    </row>
    <row r="998" spans="1:3" ht="15" thickBot="1">
      <c r="A998" s="3" t="s">
        <v>1513</v>
      </c>
      <c r="B998" s="3" t="s">
        <v>1810</v>
      </c>
      <c r="C998" s="4">
        <v>2</v>
      </c>
    </row>
    <row r="999" spans="1:3" ht="15" thickBot="1">
      <c r="A999" s="3" t="s">
        <v>2151</v>
      </c>
      <c r="B999" s="3" t="s">
        <v>19</v>
      </c>
      <c r="C999" s="4">
        <v>1</v>
      </c>
    </row>
    <row r="1000" spans="1:3" ht="15" thickBot="1">
      <c r="A1000" s="3" t="s">
        <v>938</v>
      </c>
      <c r="B1000" s="3" t="s">
        <v>19</v>
      </c>
      <c r="C1000" s="4">
        <v>4</v>
      </c>
    </row>
    <row r="1001" spans="1:3" ht="15" thickBot="1">
      <c r="A1001" s="3" t="s">
        <v>2152</v>
      </c>
      <c r="B1001" s="3" t="s">
        <v>32</v>
      </c>
      <c r="C1001" s="4">
        <v>2</v>
      </c>
    </row>
    <row r="1002" spans="1:3" ht="15" thickBot="1">
      <c r="A1002" s="3" t="s">
        <v>2153</v>
      </c>
      <c r="B1002" s="3" t="s">
        <v>1798</v>
      </c>
      <c r="C1002" s="4">
        <v>1</v>
      </c>
    </row>
    <row r="1003" spans="1:3" ht="15" thickBot="1">
      <c r="A1003" s="3" t="s">
        <v>922</v>
      </c>
      <c r="B1003" s="3" t="s">
        <v>1798</v>
      </c>
      <c r="C1003" s="4">
        <v>3</v>
      </c>
    </row>
    <row r="1004" spans="1:3" ht="15" thickBot="1">
      <c r="A1004" s="3" t="s">
        <v>1301</v>
      </c>
      <c r="B1004" s="3" t="s">
        <v>19</v>
      </c>
      <c r="C1004" s="4">
        <v>1</v>
      </c>
    </row>
    <row r="1005" spans="1:3" ht="15" thickBot="1">
      <c r="A1005" s="3" t="s">
        <v>895</v>
      </c>
      <c r="B1005" s="3" t="s">
        <v>1798</v>
      </c>
      <c r="C1005" s="4">
        <v>1</v>
      </c>
    </row>
    <row r="1006" spans="1:3" ht="15" thickBot="1">
      <c r="A1006" s="3" t="s">
        <v>2154</v>
      </c>
      <c r="B1006" s="3" t="s">
        <v>1810</v>
      </c>
      <c r="C1006" s="4">
        <v>1</v>
      </c>
    </row>
    <row r="1007" spans="1:3" ht="15" thickBot="1">
      <c r="A1007" s="3" t="s">
        <v>2155</v>
      </c>
      <c r="B1007" s="3" t="s">
        <v>22</v>
      </c>
      <c r="C1007" s="4">
        <v>1</v>
      </c>
    </row>
    <row r="1008" spans="1:3" ht="15" thickBot="1">
      <c r="A1008" s="3" t="s">
        <v>2156</v>
      </c>
      <c r="B1008" s="3" t="s">
        <v>64</v>
      </c>
      <c r="C1008" s="4">
        <v>11</v>
      </c>
    </row>
    <row r="1009" spans="1:3" ht="15" thickBot="1">
      <c r="A1009" s="3" t="s">
        <v>2157</v>
      </c>
      <c r="B1009" s="3" t="s">
        <v>24</v>
      </c>
      <c r="C1009" s="4">
        <v>1</v>
      </c>
    </row>
    <row r="1010" spans="1:3" ht="15" thickBot="1">
      <c r="A1010" s="3" t="s">
        <v>2158</v>
      </c>
      <c r="B1010" s="3" t="s">
        <v>26</v>
      </c>
      <c r="C1010" s="4">
        <v>3</v>
      </c>
    </row>
    <row r="1011" spans="1:3" ht="15" thickBot="1">
      <c r="A1011" s="3" t="s">
        <v>2159</v>
      </c>
      <c r="B1011" s="3" t="s">
        <v>115</v>
      </c>
      <c r="C1011" s="4">
        <v>1</v>
      </c>
    </row>
    <row r="1012" spans="1:3" ht="15" thickBot="1">
      <c r="A1012" s="3" t="s">
        <v>2160</v>
      </c>
      <c r="B1012" s="3" t="s">
        <v>24</v>
      </c>
      <c r="C1012" s="4">
        <v>1</v>
      </c>
    </row>
    <row r="1013" spans="1:3" ht="15" thickBot="1">
      <c r="A1013" s="3" t="s">
        <v>2161</v>
      </c>
      <c r="B1013" s="3" t="s">
        <v>1802</v>
      </c>
      <c r="C1013" s="4">
        <v>3</v>
      </c>
    </row>
    <row r="1014" spans="1:3" ht="15" thickBot="1">
      <c r="A1014" s="3" t="s">
        <v>2162</v>
      </c>
      <c r="B1014" s="3" t="s">
        <v>1802</v>
      </c>
      <c r="C1014" s="4">
        <v>1</v>
      </c>
    </row>
    <row r="1015" spans="1:3" ht="15" thickBot="1">
      <c r="A1015" s="3" t="s">
        <v>2163</v>
      </c>
      <c r="B1015" s="3" t="s">
        <v>1802</v>
      </c>
      <c r="C1015" s="4">
        <v>1</v>
      </c>
    </row>
    <row r="1016" spans="1:3" ht="15" thickBot="1">
      <c r="A1016" s="3" t="s">
        <v>837</v>
      </c>
      <c r="B1016" s="3" t="s">
        <v>1810</v>
      </c>
      <c r="C1016" s="4">
        <v>5</v>
      </c>
    </row>
    <row r="1017" spans="1:3" ht="15" thickBot="1">
      <c r="A1017" s="3" t="s">
        <v>2164</v>
      </c>
      <c r="B1017" s="3" t="s">
        <v>19</v>
      </c>
      <c r="C1017" s="4">
        <v>7</v>
      </c>
    </row>
    <row r="1018" spans="1:3" ht="15" thickBot="1">
      <c r="A1018" s="3" t="s">
        <v>2165</v>
      </c>
      <c r="B1018" s="3" t="s">
        <v>1814</v>
      </c>
      <c r="C1018" s="4">
        <v>2</v>
      </c>
    </row>
    <row r="1019" spans="1:3" ht="15" thickBot="1">
      <c r="A1019" s="3" t="s">
        <v>2166</v>
      </c>
      <c r="B1019" s="3" t="s">
        <v>1981</v>
      </c>
      <c r="C1019" s="4">
        <v>1</v>
      </c>
    </row>
    <row r="1020" spans="1:3" ht="15" thickBot="1">
      <c r="A1020" s="3" t="s">
        <v>2167</v>
      </c>
      <c r="B1020" s="3" t="s">
        <v>22</v>
      </c>
      <c r="C1020" s="4">
        <v>1</v>
      </c>
    </row>
    <row r="1021" spans="1:3" ht="15" thickBot="1">
      <c r="A1021" s="3" t="s">
        <v>1490</v>
      </c>
      <c r="B1021" s="3" t="s">
        <v>115</v>
      </c>
      <c r="C1021" s="4">
        <v>2</v>
      </c>
    </row>
    <row r="1022" spans="1:3" ht="15" thickBot="1">
      <c r="A1022" s="3" t="s">
        <v>1571</v>
      </c>
      <c r="B1022" s="3" t="s">
        <v>26</v>
      </c>
      <c r="C1022" s="4">
        <v>4</v>
      </c>
    </row>
    <row r="1023" spans="1:3" ht="15" thickBot="1">
      <c r="A1023" s="3" t="s">
        <v>1784</v>
      </c>
      <c r="B1023" s="3" t="s">
        <v>24</v>
      </c>
      <c r="C1023" s="4">
        <v>1</v>
      </c>
    </row>
    <row r="1024" spans="1:3" ht="15" thickBot="1">
      <c r="A1024" s="3" t="s">
        <v>1212</v>
      </c>
      <c r="B1024" s="6" t="s">
        <v>1970</v>
      </c>
      <c r="C1024" s="4">
        <v>1</v>
      </c>
    </row>
    <row r="1025" spans="1:3" ht="15" thickBot="1">
      <c r="A1025" s="3" t="s">
        <v>2168</v>
      </c>
      <c r="B1025" s="3" t="s">
        <v>1981</v>
      </c>
      <c r="C1025" s="4">
        <v>2</v>
      </c>
    </row>
    <row r="1026" spans="1:3" ht="15" thickBot="1">
      <c r="A1026" s="3" t="s">
        <v>816</v>
      </c>
      <c r="B1026" s="3" t="s">
        <v>34</v>
      </c>
      <c r="C1026" s="4">
        <v>3</v>
      </c>
    </row>
    <row r="1027" spans="1:3" ht="15" thickBot="1">
      <c r="A1027" s="3" t="s">
        <v>107</v>
      </c>
      <c r="B1027" s="3" t="s">
        <v>1802</v>
      </c>
      <c r="C1027" s="4">
        <v>2</v>
      </c>
    </row>
    <row r="1028" spans="1:3" ht="15" thickBot="1">
      <c r="A1028" s="3" t="s">
        <v>989</v>
      </c>
      <c r="B1028" s="3" t="s">
        <v>1810</v>
      </c>
      <c r="C1028" s="4">
        <v>6</v>
      </c>
    </row>
    <row r="1029" spans="1:3" ht="15" thickBot="1">
      <c r="A1029" s="3" t="s">
        <v>2169</v>
      </c>
      <c r="B1029" s="3" t="s">
        <v>64</v>
      </c>
      <c r="C1029" s="4">
        <v>1</v>
      </c>
    </row>
    <row r="1030" spans="1:3" ht="15" thickBot="1">
      <c r="A1030" s="3" t="s">
        <v>2170</v>
      </c>
      <c r="B1030" s="3" t="s">
        <v>118</v>
      </c>
      <c r="C1030" s="4">
        <v>2</v>
      </c>
    </row>
    <row r="1031" spans="1:3" ht="15" thickBot="1">
      <c r="A1031" s="3" t="s">
        <v>2171</v>
      </c>
      <c r="B1031" s="3" t="s">
        <v>1802</v>
      </c>
      <c r="C1031" s="4">
        <v>2</v>
      </c>
    </row>
    <row r="1032" spans="1:3" ht="15" thickBot="1">
      <c r="A1032" s="3" t="s">
        <v>2172</v>
      </c>
      <c r="B1032" s="3" t="s">
        <v>19</v>
      </c>
      <c r="C1032" s="4">
        <v>3</v>
      </c>
    </row>
    <row r="1033" spans="1:3" ht="15" thickBot="1">
      <c r="A1033" s="3" t="s">
        <v>2173</v>
      </c>
      <c r="B1033" s="3" t="s">
        <v>26</v>
      </c>
      <c r="C1033" s="4">
        <v>1</v>
      </c>
    </row>
    <row r="1034" spans="1:3" ht="15" thickBot="1">
      <c r="A1034" s="3" t="s">
        <v>341</v>
      </c>
      <c r="B1034" s="3" t="s">
        <v>1810</v>
      </c>
      <c r="C1034" s="4">
        <v>1</v>
      </c>
    </row>
    <row r="1035" spans="1:3" ht="15" thickBot="1">
      <c r="A1035" s="3" t="s">
        <v>618</v>
      </c>
      <c r="B1035" s="3" t="s">
        <v>1802</v>
      </c>
      <c r="C1035" s="4">
        <v>21</v>
      </c>
    </row>
    <row r="1036" spans="1:3" ht="15" thickBot="1">
      <c r="A1036" s="3" t="s">
        <v>2174</v>
      </c>
      <c r="B1036" s="3" t="s">
        <v>22</v>
      </c>
      <c r="C1036" s="4">
        <v>4</v>
      </c>
    </row>
    <row r="1037" spans="1:3" ht="15" thickBot="1">
      <c r="A1037" s="3" t="s">
        <v>2175</v>
      </c>
      <c r="B1037" s="3" t="s">
        <v>1802</v>
      </c>
      <c r="C1037" s="4">
        <v>1</v>
      </c>
    </row>
    <row r="1038" spans="1:3" ht="15" thickBot="1">
      <c r="A1038" s="3" t="s">
        <v>823</v>
      </c>
      <c r="B1038" s="3" t="s">
        <v>22</v>
      </c>
      <c r="C1038" s="4">
        <v>5</v>
      </c>
    </row>
    <row r="1039" spans="1:3" ht="15" thickBot="1">
      <c r="A1039" s="3" t="s">
        <v>491</v>
      </c>
      <c r="B1039" s="3" t="s">
        <v>115</v>
      </c>
      <c r="C1039" s="4">
        <v>2</v>
      </c>
    </row>
    <row r="1040" spans="1:3" ht="15" thickBot="1">
      <c r="A1040" s="3" t="s">
        <v>2176</v>
      </c>
      <c r="B1040" s="3" t="s">
        <v>125</v>
      </c>
      <c r="C1040" s="4">
        <v>1</v>
      </c>
    </row>
    <row r="1041" spans="1:3" ht="15" thickBot="1">
      <c r="A1041" s="3" t="s">
        <v>1124</v>
      </c>
      <c r="B1041" s="3" t="s">
        <v>1814</v>
      </c>
      <c r="C1041" s="4">
        <v>7</v>
      </c>
    </row>
    <row r="1042" spans="1:3" ht="15" thickBot="1">
      <c r="A1042" s="3" t="s">
        <v>807</v>
      </c>
      <c r="B1042" s="3" t="s">
        <v>64</v>
      </c>
      <c r="C1042" s="4">
        <v>7</v>
      </c>
    </row>
    <row r="1043" spans="1:3" ht="15" thickBot="1">
      <c r="A1043" s="3" t="s">
        <v>2177</v>
      </c>
      <c r="B1043" s="3" t="s">
        <v>560</v>
      </c>
      <c r="C1043" s="4">
        <v>2</v>
      </c>
    </row>
    <row r="1044" spans="1:3" ht="15" thickBot="1">
      <c r="A1044" s="3" t="s">
        <v>2178</v>
      </c>
      <c r="B1044" s="3" t="s">
        <v>118</v>
      </c>
      <c r="C1044" s="4">
        <v>2</v>
      </c>
    </row>
    <row r="1045" spans="1:3" ht="15" thickBot="1">
      <c r="A1045" s="3" t="s">
        <v>501</v>
      </c>
      <c r="B1045" s="3" t="s">
        <v>495</v>
      </c>
      <c r="C1045" s="4">
        <v>38</v>
      </c>
    </row>
    <row r="1046" spans="1:3" ht="15" thickBot="1">
      <c r="A1046" s="3" t="s">
        <v>1276</v>
      </c>
      <c r="B1046" s="3" t="s">
        <v>64</v>
      </c>
      <c r="C1046" s="4">
        <v>3</v>
      </c>
    </row>
    <row r="1047" spans="1:3" ht="15" thickBot="1">
      <c r="A1047" s="3" t="s">
        <v>2179</v>
      </c>
      <c r="B1047" s="3" t="s">
        <v>125</v>
      </c>
      <c r="C1047" s="4">
        <v>1</v>
      </c>
    </row>
    <row r="1048" spans="1:3" ht="15" thickBot="1">
      <c r="A1048" s="3" t="s">
        <v>2180</v>
      </c>
      <c r="B1048" s="3" t="s">
        <v>26</v>
      </c>
      <c r="C1048" s="4">
        <v>2</v>
      </c>
    </row>
    <row r="1049" spans="1:3" ht="15" thickBot="1">
      <c r="A1049" s="3" t="s">
        <v>2181</v>
      </c>
      <c r="B1049" s="3" t="s">
        <v>34</v>
      </c>
      <c r="C1049" s="4">
        <v>1</v>
      </c>
    </row>
    <row r="1050" spans="1:3" ht="15" thickBot="1">
      <c r="A1050" s="3" t="s">
        <v>791</v>
      </c>
      <c r="B1050" s="3" t="s">
        <v>1814</v>
      </c>
      <c r="C1050" s="4">
        <v>3</v>
      </c>
    </row>
    <row r="1051" spans="1:3" ht="15" thickBot="1">
      <c r="A1051" s="3" t="s">
        <v>1488</v>
      </c>
      <c r="B1051" s="3" t="s">
        <v>1814</v>
      </c>
      <c r="C1051" s="4">
        <v>2</v>
      </c>
    </row>
    <row r="1052" spans="1:3" ht="15" thickBot="1">
      <c r="A1052" s="3" t="s">
        <v>917</v>
      </c>
      <c r="B1052" s="6" t="s">
        <v>1970</v>
      </c>
      <c r="C1052" s="4">
        <v>1</v>
      </c>
    </row>
    <row r="1053" spans="1:3" ht="15" thickBot="1">
      <c r="A1053" s="3" t="s">
        <v>2182</v>
      </c>
      <c r="B1053" s="3" t="s">
        <v>19</v>
      </c>
      <c r="C1053" s="4">
        <v>9</v>
      </c>
    </row>
    <row r="1054" spans="1:3" ht="15" thickBot="1">
      <c r="A1054" s="3" t="s">
        <v>814</v>
      </c>
      <c r="B1054" s="3" t="s">
        <v>1802</v>
      </c>
      <c r="C1054" s="4">
        <v>5</v>
      </c>
    </row>
    <row r="1055" spans="1:3" ht="15" thickBot="1">
      <c r="A1055" s="3" t="s">
        <v>1214</v>
      </c>
      <c r="B1055" s="3" t="s">
        <v>61</v>
      </c>
      <c r="C1055" s="4">
        <v>5</v>
      </c>
    </row>
    <row r="1056" spans="1:3" ht="15" thickBot="1">
      <c r="A1056" s="3" t="s">
        <v>2183</v>
      </c>
      <c r="B1056" s="3" t="s">
        <v>22</v>
      </c>
      <c r="C1056" s="4">
        <v>3</v>
      </c>
    </row>
    <row r="1057" spans="1:3" ht="15" thickBot="1">
      <c r="A1057" s="3" t="s">
        <v>159</v>
      </c>
      <c r="B1057" s="3" t="s">
        <v>64</v>
      </c>
      <c r="C1057" s="4">
        <v>2</v>
      </c>
    </row>
    <row r="1058" spans="1:3" ht="15" thickBot="1">
      <c r="A1058" s="3" t="s">
        <v>707</v>
      </c>
      <c r="B1058" s="3" t="s">
        <v>64</v>
      </c>
      <c r="C1058" s="4">
        <v>3</v>
      </c>
    </row>
    <row r="1059" spans="1:3" ht="15" thickBot="1">
      <c r="A1059" s="3" t="s">
        <v>67</v>
      </c>
      <c r="B1059" s="3" t="s">
        <v>64</v>
      </c>
      <c r="C1059" s="4">
        <v>4</v>
      </c>
    </row>
    <row r="1060" spans="1:3" ht="15" thickBot="1">
      <c r="A1060" s="3" t="s">
        <v>2184</v>
      </c>
      <c r="B1060" s="3" t="s">
        <v>64</v>
      </c>
      <c r="C1060" s="4">
        <v>2</v>
      </c>
    </row>
    <row r="1061" spans="1:3" ht="15" thickBot="1">
      <c r="A1061" s="3" t="s">
        <v>1032</v>
      </c>
      <c r="B1061" s="3" t="s">
        <v>64</v>
      </c>
      <c r="C1061" s="4">
        <v>14</v>
      </c>
    </row>
    <row r="1062" spans="1:3" ht="15" thickBot="1">
      <c r="A1062" s="3" t="s">
        <v>2185</v>
      </c>
      <c r="B1062" s="3" t="s">
        <v>1798</v>
      </c>
      <c r="C1062" s="4">
        <v>1</v>
      </c>
    </row>
    <row r="1063" spans="1:3" ht="15" thickBot="1">
      <c r="A1063" s="3" t="s">
        <v>2186</v>
      </c>
      <c r="B1063" s="3" t="s">
        <v>1798</v>
      </c>
      <c r="C1063" s="4">
        <v>3</v>
      </c>
    </row>
    <row r="1064" spans="1:3" ht="15" thickBot="1">
      <c r="A1064" s="3" t="s">
        <v>1471</v>
      </c>
      <c r="B1064" s="3" t="s">
        <v>24</v>
      </c>
      <c r="C1064" s="4">
        <v>6</v>
      </c>
    </row>
    <row r="1065" spans="1:3" ht="15" thickBot="1">
      <c r="A1065" s="3" t="s">
        <v>2187</v>
      </c>
      <c r="B1065" s="3" t="s">
        <v>61</v>
      </c>
      <c r="C1065" s="4">
        <v>3</v>
      </c>
    </row>
    <row r="1066" spans="1:3" ht="15" thickBot="1">
      <c r="A1066" s="3" t="s">
        <v>2188</v>
      </c>
      <c r="B1066" s="3" t="s">
        <v>125</v>
      </c>
      <c r="C1066" s="4">
        <v>1</v>
      </c>
    </row>
    <row r="1067" spans="1:3" ht="15" thickBot="1">
      <c r="A1067" s="3" t="s">
        <v>2189</v>
      </c>
      <c r="B1067" s="3" t="s">
        <v>34</v>
      </c>
      <c r="C1067" s="4">
        <v>1</v>
      </c>
    </row>
    <row r="1068" spans="1:3" ht="15" thickBot="1">
      <c r="A1068" s="3" t="s">
        <v>909</v>
      </c>
      <c r="B1068" s="3" t="s">
        <v>1810</v>
      </c>
      <c r="C1068" s="4">
        <v>10</v>
      </c>
    </row>
    <row r="1069" spans="1:3" ht="15" thickBot="1">
      <c r="A1069" s="3" t="s">
        <v>2190</v>
      </c>
      <c r="B1069" s="3" t="s">
        <v>138</v>
      </c>
      <c r="C1069" s="4">
        <v>3</v>
      </c>
    </row>
    <row r="1070" spans="1:3" ht="15" thickBot="1">
      <c r="A1070" s="3" t="s">
        <v>150</v>
      </c>
      <c r="B1070" s="3" t="s">
        <v>1814</v>
      </c>
      <c r="C1070" s="4">
        <v>11</v>
      </c>
    </row>
    <row r="1071" spans="1:3" ht="15" thickBot="1">
      <c r="A1071" s="3" t="s">
        <v>886</v>
      </c>
      <c r="B1071" s="3" t="s">
        <v>115</v>
      </c>
      <c r="C1071" s="4">
        <v>3</v>
      </c>
    </row>
    <row r="1072" spans="1:3" ht="15" thickBot="1">
      <c r="A1072" s="3" t="s">
        <v>921</v>
      </c>
      <c r="B1072" s="3" t="s">
        <v>64</v>
      </c>
      <c r="C1072" s="4">
        <v>4</v>
      </c>
    </row>
    <row r="1073" spans="1:3" ht="15" thickBot="1">
      <c r="A1073" s="3" t="s">
        <v>2191</v>
      </c>
      <c r="B1073" s="3" t="s">
        <v>26</v>
      </c>
      <c r="C1073" s="4">
        <v>3</v>
      </c>
    </row>
    <row r="1074" spans="1:3" ht="15" thickBot="1">
      <c r="A1074" s="3" t="s">
        <v>574</v>
      </c>
      <c r="B1074" s="3" t="s">
        <v>1810</v>
      </c>
      <c r="C1074" s="4">
        <v>7</v>
      </c>
    </row>
    <row r="1075" spans="1:3" ht="15" thickBot="1">
      <c r="A1075" s="3" t="s">
        <v>431</v>
      </c>
      <c r="B1075" s="3" t="s">
        <v>1814</v>
      </c>
      <c r="C1075" s="4">
        <v>6</v>
      </c>
    </row>
    <row r="1076" spans="1:3" ht="15" thickBot="1">
      <c r="A1076" s="3" t="s">
        <v>780</v>
      </c>
      <c r="B1076" s="3" t="s">
        <v>115</v>
      </c>
      <c r="C1076" s="4">
        <v>7</v>
      </c>
    </row>
    <row r="1077" spans="1:3" ht="15" thickBot="1">
      <c r="A1077" s="3" t="s">
        <v>2192</v>
      </c>
      <c r="B1077" s="3" t="s">
        <v>4</v>
      </c>
      <c r="C1077" s="4">
        <v>2</v>
      </c>
    </row>
    <row r="1078" spans="1:3" ht="15" thickBot="1">
      <c r="A1078" s="3" t="s">
        <v>1623</v>
      </c>
      <c r="B1078" s="3" t="s">
        <v>1814</v>
      </c>
      <c r="C1078" s="4">
        <v>2</v>
      </c>
    </row>
    <row r="1079" spans="1:3" ht="15" thickBot="1">
      <c r="A1079" s="3" t="s">
        <v>2193</v>
      </c>
      <c r="B1079" s="3" t="s">
        <v>64</v>
      </c>
      <c r="C1079" s="4">
        <v>2</v>
      </c>
    </row>
    <row r="1080" spans="1:3" ht="15" thickBot="1">
      <c r="A1080" s="3" t="s">
        <v>2194</v>
      </c>
      <c r="B1080" s="3" t="s">
        <v>34</v>
      </c>
      <c r="C1080" s="4">
        <v>2</v>
      </c>
    </row>
    <row r="1081" spans="1:3" ht="15" thickBot="1">
      <c r="A1081" s="3" t="s">
        <v>2195</v>
      </c>
      <c r="B1081" s="3" t="s">
        <v>115</v>
      </c>
      <c r="C1081" s="4">
        <v>2</v>
      </c>
    </row>
    <row r="1082" spans="1:3" ht="15" thickBot="1">
      <c r="A1082" s="3" t="s">
        <v>759</v>
      </c>
      <c r="B1082" s="3" t="s">
        <v>24</v>
      </c>
      <c r="C1082" s="4">
        <v>12</v>
      </c>
    </row>
    <row r="1083" spans="1:3" ht="15" thickBot="1">
      <c r="A1083" s="3" t="s">
        <v>1368</v>
      </c>
      <c r="B1083" s="3" t="s">
        <v>61</v>
      </c>
      <c r="C1083" s="4">
        <v>2</v>
      </c>
    </row>
    <row r="1084" spans="1:3" ht="15" thickBot="1">
      <c r="A1084" s="3" t="s">
        <v>2196</v>
      </c>
      <c r="B1084" s="3" t="s">
        <v>26</v>
      </c>
      <c r="C1084" s="4">
        <v>2</v>
      </c>
    </row>
    <row r="1085" spans="1:3" ht="15" thickBot="1">
      <c r="A1085" s="3" t="s">
        <v>1127</v>
      </c>
      <c r="B1085" s="3" t="s">
        <v>61</v>
      </c>
      <c r="C1085" s="4">
        <v>2</v>
      </c>
    </row>
    <row r="1086" spans="1:3" ht="15" thickBot="1">
      <c r="A1086" s="3" t="s">
        <v>602</v>
      </c>
      <c r="B1086" s="3" t="s">
        <v>4</v>
      </c>
      <c r="C1086" s="4">
        <v>6</v>
      </c>
    </row>
    <row r="1087" spans="1:3" ht="15" thickBot="1">
      <c r="A1087" s="3" t="s">
        <v>434</v>
      </c>
      <c r="B1087" s="3" t="s">
        <v>61</v>
      </c>
      <c r="C1087" s="4">
        <v>26</v>
      </c>
    </row>
    <row r="1088" spans="1:3" ht="15" thickBot="1">
      <c r="A1088" s="3" t="s">
        <v>2197</v>
      </c>
      <c r="B1088" s="3" t="s">
        <v>4</v>
      </c>
      <c r="C1088" s="4">
        <v>1</v>
      </c>
    </row>
    <row r="1089" spans="1:3" ht="15" thickBot="1">
      <c r="A1089" s="3" t="s">
        <v>2198</v>
      </c>
      <c r="B1089" s="3" t="s">
        <v>19</v>
      </c>
      <c r="C1089" s="4">
        <v>1</v>
      </c>
    </row>
    <row r="1090" spans="1:3" ht="15" thickBot="1">
      <c r="A1090" s="3" t="s">
        <v>374</v>
      </c>
      <c r="B1090" s="3" t="s">
        <v>118</v>
      </c>
      <c r="C1090" s="4">
        <v>2</v>
      </c>
    </row>
    <row r="1091" spans="1:3" ht="15" thickBot="1">
      <c r="A1091" s="3" t="s">
        <v>728</v>
      </c>
      <c r="B1091" s="3" t="s">
        <v>1814</v>
      </c>
      <c r="C1091" s="4">
        <v>3</v>
      </c>
    </row>
    <row r="1092" spans="1:3" ht="15" thickBot="1">
      <c r="A1092" s="3" t="s">
        <v>2199</v>
      </c>
      <c r="B1092" s="3" t="s">
        <v>1814</v>
      </c>
      <c r="C1092" s="4">
        <v>1</v>
      </c>
    </row>
    <row r="1093" spans="1:3" ht="15" thickBot="1">
      <c r="A1093" s="3" t="s">
        <v>1249</v>
      </c>
      <c r="B1093" s="6" t="s">
        <v>1970</v>
      </c>
      <c r="C1093" s="4">
        <v>5</v>
      </c>
    </row>
    <row r="1094" spans="1:3" ht="15" thickBot="1">
      <c r="A1094" s="3" t="s">
        <v>2200</v>
      </c>
      <c r="B1094" s="3" t="s">
        <v>34</v>
      </c>
      <c r="C1094" s="4">
        <v>1</v>
      </c>
    </row>
    <row r="1095" spans="1:3" ht="15" thickBot="1">
      <c r="A1095" s="3" t="s">
        <v>2201</v>
      </c>
      <c r="B1095" s="3" t="s">
        <v>1810</v>
      </c>
      <c r="C1095" s="4">
        <v>1</v>
      </c>
    </row>
    <row r="1096" spans="1:3" ht="15" thickBot="1">
      <c r="A1096" s="3" t="s">
        <v>2202</v>
      </c>
      <c r="B1096" s="3" t="s">
        <v>24</v>
      </c>
      <c r="C1096" s="4">
        <v>1</v>
      </c>
    </row>
    <row r="1097" spans="1:3" ht="15" thickBot="1">
      <c r="A1097" s="3" t="s">
        <v>1651</v>
      </c>
      <c r="B1097" s="3" t="s">
        <v>26</v>
      </c>
      <c r="C1097" s="4">
        <v>15</v>
      </c>
    </row>
    <row r="1098" spans="1:3" ht="15" thickBot="1">
      <c r="A1098" s="3" t="s">
        <v>571</v>
      </c>
      <c r="B1098" s="3" t="s">
        <v>1814</v>
      </c>
      <c r="C1098" s="4">
        <v>30</v>
      </c>
    </row>
    <row r="1099" spans="1:3" ht="15" thickBot="1">
      <c r="A1099" s="3" t="s">
        <v>1210</v>
      </c>
      <c r="B1099" s="3" t="s">
        <v>1814</v>
      </c>
      <c r="C1099" s="4">
        <v>1</v>
      </c>
    </row>
    <row r="1100" spans="1:3" ht="15" thickBot="1">
      <c r="A1100" s="3" t="s">
        <v>1624</v>
      </c>
      <c r="B1100" s="3" t="s">
        <v>1814</v>
      </c>
      <c r="C1100" s="4">
        <v>2</v>
      </c>
    </row>
    <row r="1101" spans="1:3" ht="15" thickBot="1">
      <c r="A1101" s="3" t="s">
        <v>1560</v>
      </c>
      <c r="B1101" s="3" t="s">
        <v>34</v>
      </c>
      <c r="C1101" s="4">
        <v>4</v>
      </c>
    </row>
    <row r="1102" spans="1:3" ht="15" thickBot="1">
      <c r="A1102" s="3" t="s">
        <v>438</v>
      </c>
      <c r="B1102" s="3" t="s">
        <v>1814</v>
      </c>
      <c r="C1102" s="4">
        <v>9</v>
      </c>
    </row>
    <row r="1103" spans="1:3" ht="15" thickBot="1">
      <c r="A1103" s="3" t="s">
        <v>1217</v>
      </c>
      <c r="B1103" s="3" t="s">
        <v>1798</v>
      </c>
      <c r="C1103" s="4">
        <v>11</v>
      </c>
    </row>
    <row r="1104" spans="1:3" ht="15" thickBot="1">
      <c r="A1104" s="3" t="s">
        <v>263</v>
      </c>
      <c r="B1104" s="3" t="s">
        <v>1814</v>
      </c>
      <c r="C1104" s="4">
        <v>4</v>
      </c>
    </row>
    <row r="1105" spans="1:3" ht="15" thickBot="1">
      <c r="A1105" s="3" t="s">
        <v>2203</v>
      </c>
      <c r="B1105" s="3" t="s">
        <v>1802</v>
      </c>
      <c r="C1105" s="4">
        <v>1</v>
      </c>
    </row>
    <row r="1106" spans="1:3" ht="15" thickBot="1">
      <c r="A1106" s="3" t="s">
        <v>487</v>
      </c>
      <c r="B1106" s="3" t="s">
        <v>495</v>
      </c>
      <c r="C1106" s="4">
        <v>8</v>
      </c>
    </row>
    <row r="1107" spans="1:3" ht="15" thickBot="1">
      <c r="A1107" s="3" t="s">
        <v>29</v>
      </c>
      <c r="B1107" s="3" t="s">
        <v>24</v>
      </c>
      <c r="C1107" s="4">
        <v>6</v>
      </c>
    </row>
    <row r="1108" spans="1:3" ht="15" thickBot="1">
      <c r="A1108" s="3" t="s">
        <v>968</v>
      </c>
      <c r="B1108" s="3" t="s">
        <v>64</v>
      </c>
      <c r="C1108" s="4">
        <v>1</v>
      </c>
    </row>
    <row r="1109" spans="1:3" ht="15" thickBot="1">
      <c r="A1109" s="3" t="s">
        <v>2204</v>
      </c>
      <c r="B1109" s="3" t="s">
        <v>115</v>
      </c>
      <c r="C1109" s="4">
        <v>2</v>
      </c>
    </row>
    <row r="1110" spans="1:3" ht="15" thickBot="1">
      <c r="A1110" s="3" t="s">
        <v>2205</v>
      </c>
      <c r="B1110" s="3" t="s">
        <v>1802</v>
      </c>
      <c r="C1110" s="4">
        <v>1</v>
      </c>
    </row>
    <row r="1111" spans="1:3" ht="15" thickBot="1">
      <c r="A1111" s="3" t="s">
        <v>261</v>
      </c>
      <c r="B1111" s="3" t="s">
        <v>34</v>
      </c>
      <c r="C1111" s="4">
        <v>4</v>
      </c>
    </row>
    <row r="1112" spans="1:3" ht="15" thickBot="1">
      <c r="A1112" s="3" t="s">
        <v>2206</v>
      </c>
      <c r="B1112" s="3" t="s">
        <v>34</v>
      </c>
      <c r="C1112" s="4">
        <v>1</v>
      </c>
    </row>
    <row r="1113" spans="1:3" ht="15" thickBot="1">
      <c r="A1113" s="3" t="s">
        <v>2207</v>
      </c>
      <c r="B1113" s="3" t="s">
        <v>125</v>
      </c>
      <c r="C1113" s="4">
        <v>8</v>
      </c>
    </row>
    <row r="1114" spans="1:3" ht="15" thickBot="1">
      <c r="A1114" s="3" t="s">
        <v>762</v>
      </c>
      <c r="B1114" s="3" t="s">
        <v>4</v>
      </c>
      <c r="C1114" s="4">
        <v>19</v>
      </c>
    </row>
    <row r="1115" spans="1:3" ht="15" thickBot="1">
      <c r="A1115" s="3" t="s">
        <v>463</v>
      </c>
      <c r="B1115" s="3" t="s">
        <v>61</v>
      </c>
      <c r="C1115" s="4">
        <v>14</v>
      </c>
    </row>
    <row r="1116" spans="1:3" ht="15" thickBot="1">
      <c r="A1116" s="3" t="s">
        <v>2208</v>
      </c>
      <c r="B1116" s="3" t="s">
        <v>19</v>
      </c>
      <c r="C1116" s="4">
        <v>4</v>
      </c>
    </row>
    <row r="1117" spans="1:3" ht="15" thickBot="1">
      <c r="A1117" s="3" t="s">
        <v>1389</v>
      </c>
      <c r="B1117" s="3" t="s">
        <v>4</v>
      </c>
      <c r="C1117" s="4">
        <v>3</v>
      </c>
    </row>
    <row r="1118" spans="1:3" ht="15" thickBot="1">
      <c r="A1118" s="3" t="s">
        <v>2209</v>
      </c>
      <c r="B1118" s="3" t="s">
        <v>64</v>
      </c>
      <c r="C1118" s="4">
        <v>1</v>
      </c>
    </row>
    <row r="1119" spans="1:3" ht="15" thickBot="1">
      <c r="A1119" s="3" t="s">
        <v>2210</v>
      </c>
      <c r="B1119" s="3" t="s">
        <v>64</v>
      </c>
      <c r="C1119" s="4">
        <v>1</v>
      </c>
    </row>
    <row r="1120" spans="1:3" ht="15" thickBot="1">
      <c r="A1120" s="3" t="s">
        <v>2211</v>
      </c>
      <c r="B1120" s="3" t="s">
        <v>1814</v>
      </c>
      <c r="C1120" s="4">
        <v>2</v>
      </c>
    </row>
    <row r="1121" spans="1:3" ht="15" thickBot="1">
      <c r="A1121" s="3" t="s">
        <v>2212</v>
      </c>
      <c r="B1121" s="3" t="s">
        <v>1814</v>
      </c>
      <c r="C1121" s="4">
        <v>1</v>
      </c>
    </row>
    <row r="1122" spans="1:3" ht="15" thickBot="1">
      <c r="A1122" s="3" t="s">
        <v>732</v>
      </c>
      <c r="B1122" s="3" t="s">
        <v>560</v>
      </c>
      <c r="C1122" s="4">
        <v>1</v>
      </c>
    </row>
    <row r="1123" spans="1:3" ht="15" thickBot="1">
      <c r="A1123" s="3" t="s">
        <v>2213</v>
      </c>
      <c r="B1123" s="3" t="s">
        <v>19</v>
      </c>
      <c r="C1123" s="4">
        <v>1</v>
      </c>
    </row>
    <row r="1124" spans="1:3" ht="15" thickBot="1">
      <c r="A1124" s="3" t="s">
        <v>1111</v>
      </c>
      <c r="B1124" s="3" t="s">
        <v>24</v>
      </c>
      <c r="C1124" s="4">
        <v>1</v>
      </c>
    </row>
    <row r="1125" spans="1:3" ht="15" thickBot="1">
      <c r="A1125" s="3" t="s">
        <v>2214</v>
      </c>
      <c r="B1125" s="3" t="s">
        <v>495</v>
      </c>
      <c r="C1125" s="4">
        <v>1</v>
      </c>
    </row>
    <row r="1126" spans="1:3" ht="15" thickBot="1">
      <c r="A1126" s="3" t="s">
        <v>2215</v>
      </c>
      <c r="B1126" s="3" t="s">
        <v>19</v>
      </c>
      <c r="C1126" s="4">
        <v>1</v>
      </c>
    </row>
    <row r="1127" spans="1:3" ht="15" thickBot="1">
      <c r="A1127" s="3" t="s">
        <v>1345</v>
      </c>
      <c r="B1127" s="3" t="s">
        <v>19</v>
      </c>
      <c r="C1127" s="4">
        <v>3</v>
      </c>
    </row>
    <row r="1128" spans="1:3" ht="15" thickBot="1">
      <c r="A1128" s="3" t="s">
        <v>1429</v>
      </c>
      <c r="B1128" s="3" t="s">
        <v>32</v>
      </c>
      <c r="C1128" s="4">
        <v>2</v>
      </c>
    </row>
    <row r="1129" spans="1:3" ht="15" thickBot="1">
      <c r="A1129" s="3" t="s">
        <v>2216</v>
      </c>
      <c r="B1129" s="3" t="s">
        <v>64</v>
      </c>
      <c r="C1129" s="4">
        <v>1</v>
      </c>
    </row>
    <row r="1130" spans="1:3" ht="15" thickBot="1">
      <c r="A1130" s="3" t="s">
        <v>2217</v>
      </c>
      <c r="B1130" s="3" t="s">
        <v>19</v>
      </c>
      <c r="C1130" s="4">
        <v>1</v>
      </c>
    </row>
    <row r="1131" spans="1:3" ht="15" thickBot="1">
      <c r="A1131" s="3" t="s">
        <v>1547</v>
      </c>
      <c r="B1131" s="3" t="s">
        <v>1802</v>
      </c>
      <c r="C1131" s="4">
        <v>2</v>
      </c>
    </row>
    <row r="1132" spans="1:3" ht="15" thickBot="1">
      <c r="A1132" s="3" t="s">
        <v>2218</v>
      </c>
      <c r="B1132" s="3" t="s">
        <v>125</v>
      </c>
      <c r="C1132" s="4">
        <v>5</v>
      </c>
    </row>
    <row r="1133" spans="1:3" ht="15" thickBot="1">
      <c r="A1133" s="3" t="s">
        <v>940</v>
      </c>
      <c r="B1133" s="3" t="s">
        <v>61</v>
      </c>
      <c r="C1133" s="4">
        <v>3</v>
      </c>
    </row>
    <row r="1134" spans="1:3" ht="15" thickBot="1">
      <c r="A1134" s="3" t="s">
        <v>2219</v>
      </c>
      <c r="B1134" s="3" t="s">
        <v>64</v>
      </c>
      <c r="C1134" s="4">
        <v>1</v>
      </c>
    </row>
    <row r="1135" spans="1:3" ht="15" thickBot="1">
      <c r="A1135" s="3" t="s">
        <v>2220</v>
      </c>
      <c r="B1135" s="3" t="s">
        <v>115</v>
      </c>
      <c r="C1135" s="4">
        <v>1</v>
      </c>
    </row>
    <row r="1136" spans="1:3" ht="15" thickBot="1">
      <c r="A1136" s="3" t="s">
        <v>2221</v>
      </c>
      <c r="B1136" s="3" t="s">
        <v>495</v>
      </c>
      <c r="C1136" s="4">
        <v>2</v>
      </c>
    </row>
    <row r="1137" spans="1:3" ht="15" thickBot="1">
      <c r="A1137" s="3" t="s">
        <v>999</v>
      </c>
      <c r="B1137" s="3" t="s">
        <v>26</v>
      </c>
      <c r="C1137" s="4">
        <v>8</v>
      </c>
    </row>
    <row r="1138" spans="1:3" ht="15" thickBot="1">
      <c r="A1138" s="3" t="s">
        <v>2222</v>
      </c>
      <c r="B1138" s="3" t="s">
        <v>1802</v>
      </c>
      <c r="C1138" s="4">
        <v>5</v>
      </c>
    </row>
    <row r="1139" spans="1:3" ht="15" thickBot="1">
      <c r="A1139" s="3" t="s">
        <v>898</v>
      </c>
      <c r="B1139" s="3" t="s">
        <v>26</v>
      </c>
      <c r="C1139" s="4">
        <v>11</v>
      </c>
    </row>
    <row r="1140" spans="1:3" ht="15" thickBot="1">
      <c r="A1140" s="3" t="s">
        <v>2223</v>
      </c>
      <c r="B1140" s="3" t="s">
        <v>1810</v>
      </c>
      <c r="C1140" s="4">
        <v>2</v>
      </c>
    </row>
    <row r="1141" spans="1:3" ht="15" thickBot="1">
      <c r="A1141" s="3" t="s">
        <v>1310</v>
      </c>
      <c r="B1141" s="3" t="s">
        <v>1981</v>
      </c>
      <c r="C1141" s="4">
        <v>1</v>
      </c>
    </row>
    <row r="1142" spans="1:3" ht="15" thickBot="1">
      <c r="A1142" s="3" t="s">
        <v>1173</v>
      </c>
      <c r="B1142" s="3" t="s">
        <v>61</v>
      </c>
      <c r="C1142" s="4">
        <v>2</v>
      </c>
    </row>
    <row r="1143" spans="1:3" ht="15" thickBot="1">
      <c r="A1143" s="3" t="s">
        <v>2224</v>
      </c>
      <c r="B1143" s="3" t="s">
        <v>138</v>
      </c>
      <c r="C1143" s="4">
        <v>1</v>
      </c>
    </row>
    <row r="1144" spans="1:3" ht="15" thickBot="1">
      <c r="A1144" s="3" t="s">
        <v>1123</v>
      </c>
      <c r="B1144" s="3" t="s">
        <v>125</v>
      </c>
      <c r="C1144" s="4">
        <v>6</v>
      </c>
    </row>
    <row r="1145" spans="1:3" ht="15" thickBot="1">
      <c r="A1145" s="3" t="s">
        <v>1727</v>
      </c>
      <c r="B1145" s="3" t="s">
        <v>125</v>
      </c>
      <c r="C1145" s="4">
        <v>4</v>
      </c>
    </row>
    <row r="1146" spans="1:3" ht="15" thickBot="1">
      <c r="A1146" s="3" t="s">
        <v>2225</v>
      </c>
      <c r="B1146" s="3" t="s">
        <v>125</v>
      </c>
      <c r="C1146" s="4">
        <v>2</v>
      </c>
    </row>
    <row r="1147" spans="1:3" ht="15" thickBot="1">
      <c r="A1147" s="3" t="s">
        <v>1542</v>
      </c>
      <c r="B1147" s="3" t="s">
        <v>1798</v>
      </c>
      <c r="C1147" s="4">
        <v>3</v>
      </c>
    </row>
    <row r="1148" spans="1:3" ht="15" thickBot="1">
      <c r="A1148" s="3" t="s">
        <v>1447</v>
      </c>
      <c r="B1148" s="3" t="s">
        <v>19</v>
      </c>
      <c r="C1148" s="4">
        <v>7</v>
      </c>
    </row>
    <row r="1149" spans="1:3" ht="15" thickBot="1">
      <c r="A1149" s="3" t="s">
        <v>1031</v>
      </c>
      <c r="B1149" s="3" t="s">
        <v>24</v>
      </c>
      <c r="C1149" s="4">
        <v>4</v>
      </c>
    </row>
    <row r="1150" spans="1:3" ht="15" thickBot="1">
      <c r="A1150" s="3" t="s">
        <v>925</v>
      </c>
      <c r="B1150" s="3" t="s">
        <v>125</v>
      </c>
      <c r="C1150" s="4">
        <v>7</v>
      </c>
    </row>
    <row r="1151" spans="1:3" ht="15" thickBot="1">
      <c r="A1151" s="3" t="s">
        <v>1756</v>
      </c>
      <c r="B1151" s="3" t="s">
        <v>118</v>
      </c>
      <c r="C1151" s="4">
        <v>1</v>
      </c>
    </row>
    <row r="1152" spans="1:3" ht="15" thickBot="1">
      <c r="A1152" s="3" t="s">
        <v>1265</v>
      </c>
      <c r="B1152" s="3" t="s">
        <v>61</v>
      </c>
      <c r="C1152" s="4">
        <v>12</v>
      </c>
    </row>
    <row r="1153" spans="1:3" ht="15" thickBot="1">
      <c r="A1153" s="3" t="s">
        <v>2226</v>
      </c>
      <c r="B1153" s="3" t="s">
        <v>118</v>
      </c>
      <c r="C1153" s="4">
        <v>1</v>
      </c>
    </row>
    <row r="1154" spans="1:3" ht="15" thickBot="1">
      <c r="A1154" s="3" t="s">
        <v>2227</v>
      </c>
      <c r="B1154" s="3" t="s">
        <v>61</v>
      </c>
      <c r="C1154" s="4">
        <v>1</v>
      </c>
    </row>
    <row r="1155" spans="1:3" ht="15" thickBot="1">
      <c r="A1155" s="3" t="s">
        <v>1473</v>
      </c>
      <c r="B1155" s="3" t="s">
        <v>34</v>
      </c>
      <c r="C1155" s="4">
        <v>5</v>
      </c>
    </row>
    <row r="1156" spans="1:3" ht="15" thickBot="1">
      <c r="A1156" s="3" t="s">
        <v>2228</v>
      </c>
      <c r="B1156" s="3" t="s">
        <v>125</v>
      </c>
      <c r="C1156" s="4">
        <v>8</v>
      </c>
    </row>
    <row r="1157" spans="1:3" ht="15" thickBot="1">
      <c r="A1157" s="3" t="s">
        <v>2229</v>
      </c>
      <c r="B1157" s="3" t="s">
        <v>495</v>
      </c>
      <c r="C1157" s="4">
        <v>4</v>
      </c>
    </row>
    <row r="1158" spans="1:3" ht="15" thickBot="1">
      <c r="A1158" s="3" t="s">
        <v>2230</v>
      </c>
      <c r="B1158" s="3" t="s">
        <v>1814</v>
      </c>
      <c r="C1158" s="4">
        <v>2</v>
      </c>
    </row>
    <row r="1159" spans="1:3" ht="15" thickBot="1">
      <c r="A1159" s="3" t="s">
        <v>284</v>
      </c>
      <c r="B1159" s="3" t="s">
        <v>61</v>
      </c>
      <c r="C1159" s="4">
        <v>3</v>
      </c>
    </row>
    <row r="1160" spans="1:3" ht="15" thickBot="1">
      <c r="A1160" s="3" t="s">
        <v>1499</v>
      </c>
      <c r="B1160" s="3" t="s">
        <v>19</v>
      </c>
      <c r="C1160" s="4">
        <v>3</v>
      </c>
    </row>
    <row r="1161" spans="1:3" ht="15" thickBot="1">
      <c r="A1161" s="3" t="s">
        <v>1739</v>
      </c>
      <c r="B1161" s="3" t="s">
        <v>19</v>
      </c>
      <c r="C1161" s="4">
        <v>4</v>
      </c>
    </row>
    <row r="1162" spans="1:3" ht="15" thickBot="1">
      <c r="A1162" s="3" t="s">
        <v>273</v>
      </c>
      <c r="B1162" s="3" t="s">
        <v>19</v>
      </c>
      <c r="C1162" s="4">
        <v>2</v>
      </c>
    </row>
    <row r="1163" spans="1:3" ht="15" thickBot="1">
      <c r="A1163" s="3" t="s">
        <v>2231</v>
      </c>
      <c r="B1163" s="3" t="s">
        <v>495</v>
      </c>
      <c r="C1163" s="4">
        <v>3</v>
      </c>
    </row>
    <row r="1164" spans="1:3" ht="15" thickBot="1">
      <c r="A1164" s="3" t="s">
        <v>2232</v>
      </c>
      <c r="B1164" s="3" t="s">
        <v>1814</v>
      </c>
      <c r="C1164" s="4">
        <v>3</v>
      </c>
    </row>
    <row r="1165" spans="1:3" ht="15" thickBot="1">
      <c r="A1165" s="3" t="s">
        <v>735</v>
      </c>
      <c r="B1165" s="3" t="s">
        <v>61</v>
      </c>
      <c r="C1165" s="4">
        <v>10</v>
      </c>
    </row>
    <row r="1166" spans="1:3" ht="15" thickBot="1">
      <c r="A1166" s="3" t="s">
        <v>187</v>
      </c>
      <c r="B1166" s="3" t="s">
        <v>1814</v>
      </c>
      <c r="C1166" s="4">
        <v>8</v>
      </c>
    </row>
    <row r="1167" spans="1:3" ht="15" thickBot="1">
      <c r="A1167" s="3" t="s">
        <v>1760</v>
      </c>
      <c r="B1167" s="3" t="s">
        <v>19</v>
      </c>
      <c r="C1167" s="4">
        <v>7</v>
      </c>
    </row>
    <row r="1168" spans="1:3" ht="15" thickBot="1">
      <c r="A1168" s="3" t="s">
        <v>1197</v>
      </c>
      <c r="B1168" s="3" t="s">
        <v>4</v>
      </c>
      <c r="C1168" s="4">
        <v>2</v>
      </c>
    </row>
    <row r="1169" spans="1:3" ht="15" thickBot="1">
      <c r="A1169" s="3" t="s">
        <v>2233</v>
      </c>
      <c r="B1169" s="3" t="s">
        <v>64</v>
      </c>
      <c r="C1169" s="4">
        <v>1</v>
      </c>
    </row>
    <row r="1170" spans="1:3" ht="15" thickBot="1">
      <c r="A1170" s="3" t="s">
        <v>825</v>
      </c>
      <c r="B1170" s="3" t="s">
        <v>64</v>
      </c>
      <c r="C1170" s="4">
        <v>4</v>
      </c>
    </row>
    <row r="1171" spans="1:3" ht="15" thickBot="1">
      <c r="A1171" s="3" t="s">
        <v>380</v>
      </c>
      <c r="B1171" s="3" t="s">
        <v>495</v>
      </c>
      <c r="C1171" s="4">
        <v>3</v>
      </c>
    </row>
    <row r="1172" spans="1:3" ht="15" thickBot="1">
      <c r="A1172" s="3" t="s">
        <v>2234</v>
      </c>
      <c r="B1172" s="3" t="s">
        <v>61</v>
      </c>
      <c r="C1172" s="4">
        <v>1</v>
      </c>
    </row>
    <row r="1173" spans="1:3" ht="15" thickBot="1">
      <c r="A1173" s="3" t="s">
        <v>919</v>
      </c>
      <c r="B1173" s="6" t="s">
        <v>1970</v>
      </c>
      <c r="C1173" s="4">
        <v>1</v>
      </c>
    </row>
    <row r="1174" spans="1:3" ht="15" thickBot="1">
      <c r="A1174" s="3" t="s">
        <v>2235</v>
      </c>
      <c r="B1174" s="6" t="s">
        <v>1970</v>
      </c>
      <c r="C1174" s="4">
        <v>1</v>
      </c>
    </row>
    <row r="1175" spans="1:3" ht="15" thickBot="1">
      <c r="A1175" s="3" t="s">
        <v>267</v>
      </c>
      <c r="B1175" s="3" t="s">
        <v>1802</v>
      </c>
      <c r="C1175" s="4">
        <v>3</v>
      </c>
    </row>
    <row r="1176" spans="1:3" ht="15" thickBot="1">
      <c r="A1176" s="3" t="s">
        <v>2236</v>
      </c>
      <c r="B1176" s="3" t="s">
        <v>118</v>
      </c>
      <c r="C1176" s="4">
        <v>3</v>
      </c>
    </row>
    <row r="1177" spans="1:3" ht="15" thickBot="1">
      <c r="A1177" s="3" t="s">
        <v>705</v>
      </c>
      <c r="B1177" s="3" t="s">
        <v>61</v>
      </c>
      <c r="C1177" s="4">
        <v>2</v>
      </c>
    </row>
    <row r="1178" spans="1:3" ht="15" thickBot="1">
      <c r="A1178" s="3" t="s">
        <v>2237</v>
      </c>
      <c r="B1178" s="6" t="s">
        <v>1970</v>
      </c>
      <c r="C1178" s="4">
        <v>4</v>
      </c>
    </row>
    <row r="1179" spans="1:3" ht="15" thickBot="1">
      <c r="A1179" s="3" t="s">
        <v>2238</v>
      </c>
      <c r="B1179" s="3" t="s">
        <v>34</v>
      </c>
      <c r="C1179" s="4">
        <v>2</v>
      </c>
    </row>
    <row r="1180" spans="1:3" ht="15" thickBot="1">
      <c r="A1180" s="3" t="s">
        <v>2239</v>
      </c>
      <c r="B1180" s="3" t="s">
        <v>125</v>
      </c>
      <c r="C1180" s="4">
        <v>1</v>
      </c>
    </row>
    <row r="1181" spans="1:3" ht="15" thickBot="1">
      <c r="A1181" s="3" t="s">
        <v>1510</v>
      </c>
      <c r="B1181" s="3" t="s">
        <v>24</v>
      </c>
      <c r="C1181" s="4">
        <v>2</v>
      </c>
    </row>
    <row r="1182" spans="1:3" ht="15" thickBot="1">
      <c r="A1182" s="3" t="s">
        <v>283</v>
      </c>
      <c r="B1182" s="3" t="s">
        <v>19</v>
      </c>
      <c r="C1182" s="4">
        <v>8</v>
      </c>
    </row>
    <row r="1183" spans="1:3" ht="15" thickBot="1">
      <c r="A1183" s="3" t="s">
        <v>2240</v>
      </c>
      <c r="B1183" s="3" t="s">
        <v>19</v>
      </c>
      <c r="C1183" s="4">
        <v>1</v>
      </c>
    </row>
    <row r="1184" spans="1:3" ht="15" thickBot="1">
      <c r="A1184" s="3" t="s">
        <v>621</v>
      </c>
      <c r="B1184" s="3" t="s">
        <v>64</v>
      </c>
      <c r="C1184" s="4">
        <v>10</v>
      </c>
    </row>
    <row r="1185" spans="1:3" ht="15" thickBot="1">
      <c r="A1185" s="3" t="s">
        <v>2241</v>
      </c>
      <c r="B1185" s="3" t="s">
        <v>61</v>
      </c>
      <c r="C1185" s="4">
        <v>3</v>
      </c>
    </row>
    <row r="1186" spans="1:3" ht="15" thickBot="1">
      <c r="A1186" s="3" t="s">
        <v>2242</v>
      </c>
      <c r="B1186" s="3" t="s">
        <v>64</v>
      </c>
      <c r="C1186" s="4">
        <v>3</v>
      </c>
    </row>
    <row r="1187" spans="1:3" ht="15" thickBot="1">
      <c r="A1187" s="3" t="s">
        <v>1458</v>
      </c>
      <c r="B1187" s="3" t="s">
        <v>24</v>
      </c>
      <c r="C1187" s="4">
        <v>5</v>
      </c>
    </row>
    <row r="1188" spans="1:3" ht="15" thickBot="1">
      <c r="A1188" s="3" t="s">
        <v>630</v>
      </c>
      <c r="B1188" s="3" t="s">
        <v>61</v>
      </c>
      <c r="C1188" s="4">
        <v>3</v>
      </c>
    </row>
    <row r="1189" spans="1:3" ht="15" thickBot="1">
      <c r="A1189" s="3" t="s">
        <v>2243</v>
      </c>
      <c r="B1189" s="3" t="s">
        <v>125</v>
      </c>
      <c r="C1189" s="4">
        <v>3</v>
      </c>
    </row>
    <row r="1190" spans="1:3" ht="15" thickBot="1">
      <c r="A1190" s="3" t="s">
        <v>2244</v>
      </c>
      <c r="B1190" s="3" t="s">
        <v>61</v>
      </c>
      <c r="C1190" s="4">
        <v>4</v>
      </c>
    </row>
    <row r="1191" spans="1:3" ht="15" thickBot="1">
      <c r="A1191" s="3" t="s">
        <v>774</v>
      </c>
      <c r="B1191" s="3" t="s">
        <v>19</v>
      </c>
      <c r="C1191" s="4">
        <v>5</v>
      </c>
    </row>
    <row r="1192" spans="1:3" ht="15" thickBot="1">
      <c r="A1192" s="3" t="s">
        <v>2245</v>
      </c>
      <c r="B1192" s="3" t="s">
        <v>61</v>
      </c>
      <c r="C1192" s="4">
        <v>3</v>
      </c>
    </row>
    <row r="1193" spans="1:3" ht="15" thickBot="1">
      <c r="A1193" s="3" t="s">
        <v>2246</v>
      </c>
      <c r="B1193" s="3" t="s">
        <v>19</v>
      </c>
      <c r="C1193" s="4">
        <v>3</v>
      </c>
    </row>
    <row r="1194" spans="1:3" ht="15" thickBot="1">
      <c r="A1194" s="3" t="s">
        <v>2247</v>
      </c>
      <c r="B1194" s="3" t="s">
        <v>495</v>
      </c>
      <c r="C1194" s="4">
        <v>3</v>
      </c>
    </row>
    <row r="1195" spans="1:3" ht="15" thickBot="1">
      <c r="A1195" s="3" t="s">
        <v>2248</v>
      </c>
      <c r="B1195" s="3" t="s">
        <v>24</v>
      </c>
      <c r="C1195" s="4">
        <v>3</v>
      </c>
    </row>
    <row r="1196" spans="1:3" ht="15" thickBot="1">
      <c r="A1196" s="3" t="s">
        <v>2249</v>
      </c>
      <c r="B1196" s="3" t="s">
        <v>19</v>
      </c>
      <c r="C1196" s="4">
        <v>1</v>
      </c>
    </row>
    <row r="1197" spans="1:3" ht="15" thickBot="1">
      <c r="A1197" s="3" t="s">
        <v>1349</v>
      </c>
      <c r="B1197" s="3" t="s">
        <v>24</v>
      </c>
      <c r="C1197" s="4">
        <v>4</v>
      </c>
    </row>
    <row r="1198" spans="1:3" ht="15" thickBot="1">
      <c r="A1198" s="3" t="s">
        <v>1348</v>
      </c>
      <c r="B1198" s="3" t="s">
        <v>24</v>
      </c>
      <c r="C1198" s="4">
        <v>3</v>
      </c>
    </row>
    <row r="1199" spans="1:3" ht="15" thickBot="1">
      <c r="A1199" s="3" t="s">
        <v>1639</v>
      </c>
      <c r="B1199" s="3" t="s">
        <v>19</v>
      </c>
      <c r="C1199" s="4">
        <v>1</v>
      </c>
    </row>
    <row r="1200" spans="1:3" ht="15" thickBot="1">
      <c r="A1200" s="3" t="s">
        <v>2250</v>
      </c>
      <c r="B1200" s="3" t="s">
        <v>64</v>
      </c>
      <c r="C1200" s="4">
        <v>1</v>
      </c>
    </row>
    <row r="1201" spans="1:3" ht="15" thickBot="1">
      <c r="A1201" s="3" t="s">
        <v>2251</v>
      </c>
      <c r="B1201" s="3" t="s">
        <v>61</v>
      </c>
      <c r="C1201" s="4">
        <v>4</v>
      </c>
    </row>
    <row r="1202" spans="1:3" ht="15" thickBot="1">
      <c r="A1202" s="3" t="s">
        <v>2252</v>
      </c>
      <c r="B1202" s="3" t="s">
        <v>138</v>
      </c>
      <c r="C1202" s="4">
        <v>1</v>
      </c>
    </row>
    <row r="1203" spans="1:3" ht="15" thickBot="1">
      <c r="A1203" s="3" t="s">
        <v>2253</v>
      </c>
      <c r="B1203" s="3" t="s">
        <v>138</v>
      </c>
      <c r="C1203" s="4">
        <v>1</v>
      </c>
    </row>
    <row r="1204" spans="1:3" ht="15" thickBot="1">
      <c r="A1204" s="3" t="s">
        <v>2254</v>
      </c>
      <c r="B1204" s="3" t="s">
        <v>32</v>
      </c>
      <c r="C1204" s="4">
        <v>1</v>
      </c>
    </row>
    <row r="1205" spans="1:3" ht="15" thickBot="1">
      <c r="A1205" s="3" t="s">
        <v>2255</v>
      </c>
      <c r="B1205" s="3" t="s">
        <v>1802</v>
      </c>
      <c r="C1205" s="4">
        <v>1</v>
      </c>
    </row>
    <row r="1206" spans="1:3" ht="15" thickBot="1">
      <c r="A1206" s="3" t="s">
        <v>1467</v>
      </c>
      <c r="B1206" s="3" t="s">
        <v>125</v>
      </c>
      <c r="C1206" s="4">
        <v>1</v>
      </c>
    </row>
    <row r="1207" spans="1:3" ht="15" thickBot="1">
      <c r="A1207" s="3" t="s">
        <v>867</v>
      </c>
      <c r="B1207" s="3" t="s">
        <v>32</v>
      </c>
      <c r="C1207" s="4">
        <v>1</v>
      </c>
    </row>
    <row r="1208" spans="1:3" ht="15" thickBot="1">
      <c r="A1208" s="3" t="s">
        <v>2256</v>
      </c>
      <c r="B1208" s="3" t="s">
        <v>1814</v>
      </c>
      <c r="C1208" s="4">
        <v>1</v>
      </c>
    </row>
    <row r="1209" spans="1:3" ht="15" thickBot="1">
      <c r="A1209" s="3" t="s">
        <v>1797</v>
      </c>
      <c r="B1209" s="3" t="s">
        <v>138</v>
      </c>
      <c r="C1209" s="4">
        <v>5</v>
      </c>
    </row>
    <row r="1210" spans="1:3" ht="15" thickBot="1">
      <c r="A1210" s="3" t="s">
        <v>1183</v>
      </c>
      <c r="B1210" s="3" t="s">
        <v>4</v>
      </c>
      <c r="C1210" s="4">
        <v>2</v>
      </c>
    </row>
    <row r="1211" spans="1:3" ht="15" thickBot="1">
      <c r="A1211" s="3" t="s">
        <v>792</v>
      </c>
      <c r="B1211" s="3" t="s">
        <v>64</v>
      </c>
      <c r="C1211" s="4">
        <v>2</v>
      </c>
    </row>
    <row r="1212" spans="1:3" ht="15" thickBot="1">
      <c r="A1212" s="3" t="s">
        <v>1088</v>
      </c>
      <c r="B1212" s="3" t="s">
        <v>34</v>
      </c>
      <c r="C1212" s="4">
        <v>3</v>
      </c>
    </row>
    <row r="1213" spans="1:3" ht="15" thickBot="1">
      <c r="A1213" s="3" t="s">
        <v>794</v>
      </c>
      <c r="B1213" s="3" t="s">
        <v>4</v>
      </c>
      <c r="C1213" s="4">
        <v>3</v>
      </c>
    </row>
    <row r="1214" spans="1:3" ht="15" thickBot="1">
      <c r="A1214" s="3" t="s">
        <v>2257</v>
      </c>
      <c r="B1214" s="3" t="s">
        <v>4</v>
      </c>
      <c r="C1214" s="4">
        <v>3</v>
      </c>
    </row>
    <row r="1215" spans="1:3" ht="15" thickBot="1">
      <c r="A1215" s="3" t="s">
        <v>2258</v>
      </c>
      <c r="B1215" s="3" t="s">
        <v>125</v>
      </c>
      <c r="C1215" s="4">
        <v>2</v>
      </c>
    </row>
    <row r="1216" spans="1:3" ht="15" thickBot="1">
      <c r="A1216" s="3" t="s">
        <v>40</v>
      </c>
      <c r="B1216" s="3" t="s">
        <v>19</v>
      </c>
      <c r="C1216" s="4">
        <v>1</v>
      </c>
    </row>
    <row r="1217" spans="1:3" ht="15" thickBot="1">
      <c r="A1217" s="3" t="s">
        <v>2259</v>
      </c>
      <c r="B1217" s="3" t="s">
        <v>1798</v>
      </c>
      <c r="C1217" s="4">
        <v>4</v>
      </c>
    </row>
    <row r="1218" spans="1:3" ht="15" thickBot="1">
      <c r="A1218" s="3" t="s">
        <v>2260</v>
      </c>
      <c r="B1218" s="3" t="s">
        <v>125</v>
      </c>
      <c r="C1218" s="4">
        <v>3</v>
      </c>
    </row>
    <row r="1219" spans="1:3" ht="15" thickBot="1">
      <c r="A1219" s="3" t="s">
        <v>2261</v>
      </c>
      <c r="B1219" s="3" t="s">
        <v>1798</v>
      </c>
      <c r="C1219" s="4">
        <v>4</v>
      </c>
    </row>
    <row r="1220" spans="1:3" ht="15" thickBot="1">
      <c r="A1220" s="3" t="s">
        <v>2262</v>
      </c>
      <c r="B1220" s="3" t="s">
        <v>138</v>
      </c>
      <c r="C1220" s="4">
        <v>1</v>
      </c>
    </row>
    <row r="1221" spans="1:3" ht="15" thickBot="1">
      <c r="A1221" s="3" t="s">
        <v>2263</v>
      </c>
      <c r="B1221" s="3" t="s">
        <v>1802</v>
      </c>
      <c r="C1221" s="4">
        <v>1</v>
      </c>
    </row>
    <row r="1222" spans="1:3" ht="15" thickBot="1">
      <c r="A1222" s="3" t="s">
        <v>552</v>
      </c>
      <c r="B1222" s="3" t="s">
        <v>560</v>
      </c>
      <c r="C1222" s="4">
        <v>1</v>
      </c>
    </row>
    <row r="1223" spans="1:3" ht="15" thickBot="1">
      <c r="A1223" s="3" t="s">
        <v>866</v>
      </c>
      <c r="B1223" s="3" t="s">
        <v>125</v>
      </c>
      <c r="C1223" s="4">
        <v>11</v>
      </c>
    </row>
    <row r="1224" spans="1:3" ht="15" thickBot="1">
      <c r="A1224" s="3" t="s">
        <v>556</v>
      </c>
      <c r="B1224" s="3" t="s">
        <v>560</v>
      </c>
      <c r="C1224" s="4">
        <v>1</v>
      </c>
    </row>
    <row r="1225" spans="1:3" ht="15" thickBot="1">
      <c r="A1225" s="3" t="s">
        <v>899</v>
      </c>
      <c r="B1225" s="3" t="s">
        <v>125</v>
      </c>
      <c r="C1225" s="4">
        <v>7</v>
      </c>
    </row>
    <row r="1226" spans="1:3" ht="15" thickBot="1">
      <c r="A1226" s="3" t="s">
        <v>2264</v>
      </c>
      <c r="B1226" s="3" t="s">
        <v>22</v>
      </c>
      <c r="C1226" s="4">
        <v>1</v>
      </c>
    </row>
    <row r="1227" spans="1:3" ht="15" thickBot="1">
      <c r="A1227" s="3" t="s">
        <v>2265</v>
      </c>
      <c r="B1227" s="3" t="s">
        <v>125</v>
      </c>
      <c r="C1227" s="4">
        <v>3</v>
      </c>
    </row>
    <row r="1228" spans="1:3" ht="15" thickBot="1">
      <c r="A1228" s="3" t="s">
        <v>660</v>
      </c>
      <c r="B1228" s="3" t="s">
        <v>34</v>
      </c>
      <c r="C1228" s="4">
        <v>3</v>
      </c>
    </row>
    <row r="1229" spans="1:3" ht="15" thickBot="1">
      <c r="A1229" s="3" t="s">
        <v>270</v>
      </c>
      <c r="B1229" s="3" t="s">
        <v>125</v>
      </c>
      <c r="C1229" s="4">
        <v>2</v>
      </c>
    </row>
    <row r="1230" spans="1:3" ht="15" thickBot="1">
      <c r="A1230" s="3" t="s">
        <v>2266</v>
      </c>
      <c r="B1230" s="3" t="s">
        <v>26</v>
      </c>
      <c r="C1230" s="4">
        <v>3</v>
      </c>
    </row>
    <row r="1231" spans="1:3" ht="15" thickBot="1">
      <c r="A1231" s="3" t="s">
        <v>1498</v>
      </c>
      <c r="B1231" s="3" t="s">
        <v>64</v>
      </c>
      <c r="C1231" s="4">
        <v>4</v>
      </c>
    </row>
    <row r="1232" spans="1:3" ht="15" thickBot="1">
      <c r="A1232" s="3" t="s">
        <v>2267</v>
      </c>
      <c r="B1232" s="3" t="s">
        <v>1814</v>
      </c>
      <c r="C1232" s="4">
        <v>3</v>
      </c>
    </row>
    <row r="1233" spans="1:3" ht="15" thickBot="1">
      <c r="A1233" s="3" t="s">
        <v>160</v>
      </c>
      <c r="B1233" s="3" t="s">
        <v>1802</v>
      </c>
      <c r="C1233" s="4">
        <v>5</v>
      </c>
    </row>
    <row r="1234" spans="1:3" ht="15" thickBot="1">
      <c r="A1234" s="3" t="s">
        <v>1548</v>
      </c>
      <c r="B1234" s="3" t="s">
        <v>26</v>
      </c>
      <c r="C1234" s="4">
        <v>4</v>
      </c>
    </row>
    <row r="1235" spans="1:3" ht="15" thickBot="1">
      <c r="A1235" s="3" t="s">
        <v>2268</v>
      </c>
      <c r="B1235" s="3" t="s">
        <v>125</v>
      </c>
      <c r="C1235" s="4">
        <v>2</v>
      </c>
    </row>
    <row r="1236" spans="1:3" ht="15" thickBot="1">
      <c r="A1236" s="3" t="s">
        <v>1544</v>
      </c>
      <c r="B1236" s="3" t="s">
        <v>64</v>
      </c>
      <c r="C1236" s="4">
        <v>6</v>
      </c>
    </row>
    <row r="1237" spans="1:3" ht="15" thickBot="1">
      <c r="A1237" s="3" t="s">
        <v>1461</v>
      </c>
      <c r="B1237" s="3" t="s">
        <v>1814</v>
      </c>
      <c r="C1237" s="4">
        <v>5</v>
      </c>
    </row>
    <row r="1238" spans="1:3" ht="15" thickBot="1">
      <c r="A1238" s="3" t="s">
        <v>1198</v>
      </c>
      <c r="B1238" s="3" t="s">
        <v>1802</v>
      </c>
      <c r="C1238" s="4">
        <v>1</v>
      </c>
    </row>
    <row r="1239" spans="1:3" ht="15" thickBot="1">
      <c r="A1239" s="3" t="s">
        <v>2269</v>
      </c>
      <c r="B1239" s="3" t="s">
        <v>125</v>
      </c>
      <c r="C1239" s="4">
        <v>1</v>
      </c>
    </row>
    <row r="1240" spans="1:3" ht="15" thickBot="1">
      <c r="A1240" s="3" t="s">
        <v>1465</v>
      </c>
      <c r="B1240" s="3" t="s">
        <v>64</v>
      </c>
      <c r="C1240" s="4">
        <v>6</v>
      </c>
    </row>
    <row r="1241" spans="1:3" ht="15" thickBot="1">
      <c r="A1241" s="3" t="s">
        <v>2270</v>
      </c>
      <c r="B1241" s="3" t="s">
        <v>1814</v>
      </c>
      <c r="C1241" s="4">
        <v>1</v>
      </c>
    </row>
    <row r="1242" spans="1:3" ht="15" thickBot="1">
      <c r="A1242" s="3" t="s">
        <v>399</v>
      </c>
      <c r="B1242" s="3" t="s">
        <v>4</v>
      </c>
      <c r="C1242" s="4">
        <v>8</v>
      </c>
    </row>
    <row r="1243" spans="1:3" ht="15" thickBot="1">
      <c r="A1243" s="3" t="s">
        <v>1149</v>
      </c>
      <c r="B1243" s="3" t="s">
        <v>26</v>
      </c>
      <c r="C1243" s="4">
        <v>1</v>
      </c>
    </row>
    <row r="1244" spans="1:3" ht="15" thickBot="1">
      <c r="A1244" s="3" t="s">
        <v>2271</v>
      </c>
      <c r="B1244" s="3" t="s">
        <v>26</v>
      </c>
      <c r="C1244" s="4">
        <v>2</v>
      </c>
    </row>
    <row r="1245" spans="1:3" ht="15" thickBot="1">
      <c r="A1245" s="3" t="s">
        <v>2272</v>
      </c>
      <c r="B1245" s="3" t="s">
        <v>19</v>
      </c>
      <c r="C1245" s="4">
        <v>2</v>
      </c>
    </row>
    <row r="1246" spans="1:3" ht="15" thickBot="1">
      <c r="A1246" s="3" t="s">
        <v>2273</v>
      </c>
      <c r="B1246" s="3" t="s">
        <v>115</v>
      </c>
      <c r="C1246" s="4">
        <v>1</v>
      </c>
    </row>
    <row r="1247" spans="1:3" ht="15" thickBot="1">
      <c r="A1247" s="3" t="s">
        <v>2274</v>
      </c>
      <c r="B1247" s="3" t="s">
        <v>1814</v>
      </c>
      <c r="C1247" s="4">
        <v>1</v>
      </c>
    </row>
    <row r="1248" spans="1:3" ht="15" thickBot="1">
      <c r="A1248" s="3" t="s">
        <v>2275</v>
      </c>
      <c r="B1248" s="3" t="s">
        <v>64</v>
      </c>
      <c r="C1248" s="4">
        <v>1</v>
      </c>
    </row>
    <row r="1249" spans="1:3" ht="15" thickBot="1">
      <c r="A1249" s="3" t="s">
        <v>289</v>
      </c>
      <c r="B1249" s="3" t="s">
        <v>1814</v>
      </c>
      <c r="C1249" s="4">
        <v>1</v>
      </c>
    </row>
    <row r="1250" spans="1:3" ht="15" thickBot="1">
      <c r="A1250" s="3" t="s">
        <v>2276</v>
      </c>
      <c r="B1250" s="3" t="s">
        <v>64</v>
      </c>
      <c r="C1250" s="4">
        <v>1</v>
      </c>
    </row>
    <row r="1251" spans="1:3" ht="15" thickBot="1">
      <c r="A1251" s="3" t="s">
        <v>2277</v>
      </c>
      <c r="B1251" s="3" t="s">
        <v>64</v>
      </c>
      <c r="C1251" s="4">
        <v>1</v>
      </c>
    </row>
    <row r="1252" spans="1:3" ht="15" thickBot="1">
      <c r="A1252" s="3" t="s">
        <v>883</v>
      </c>
      <c r="B1252" s="3" t="s">
        <v>64</v>
      </c>
      <c r="C1252" s="4">
        <v>1</v>
      </c>
    </row>
    <row r="1253" spans="1:3" ht="15" thickBot="1">
      <c r="A1253" s="3" t="s">
        <v>2278</v>
      </c>
      <c r="B1253" s="3" t="s">
        <v>1814</v>
      </c>
      <c r="C1253" s="4">
        <v>2</v>
      </c>
    </row>
    <row r="1254" spans="1:3" ht="15" thickBot="1">
      <c r="A1254" s="3" t="s">
        <v>2279</v>
      </c>
      <c r="B1254" s="3" t="s">
        <v>125</v>
      </c>
      <c r="C1254" s="4">
        <v>1</v>
      </c>
    </row>
    <row r="1255" spans="1:3" ht="15" thickBot="1">
      <c r="A1255" s="3" t="s">
        <v>1705</v>
      </c>
      <c r="B1255" s="3" t="s">
        <v>4</v>
      </c>
      <c r="C1255" s="4">
        <v>1</v>
      </c>
    </row>
    <row r="1256" spans="1:3" ht="15" thickBot="1">
      <c r="A1256" s="3" t="s">
        <v>706</v>
      </c>
      <c r="B1256" s="3" t="s">
        <v>1798</v>
      </c>
      <c r="C1256" s="4">
        <v>2</v>
      </c>
    </row>
    <row r="1257" spans="1:3" ht="15" thickBot="1">
      <c r="A1257" s="3" t="s">
        <v>1162</v>
      </c>
      <c r="B1257" s="3" t="s">
        <v>1798</v>
      </c>
      <c r="C1257" s="4">
        <v>1</v>
      </c>
    </row>
    <row r="1258" spans="1:3" ht="15" thickBot="1">
      <c r="A1258" s="3" t="s">
        <v>2280</v>
      </c>
      <c r="B1258" s="3" t="s">
        <v>1810</v>
      </c>
      <c r="C1258" s="4">
        <v>1</v>
      </c>
    </row>
    <row r="1259" spans="1:3" ht="15" thickBot="1">
      <c r="A1259" s="3" t="s">
        <v>1456</v>
      </c>
      <c r="B1259" s="3" t="s">
        <v>61</v>
      </c>
      <c r="C1259" s="4">
        <v>2</v>
      </c>
    </row>
    <row r="1260" spans="1:3" ht="15" thickBot="1">
      <c r="A1260" s="3" t="s">
        <v>1022</v>
      </c>
      <c r="B1260" s="3" t="s">
        <v>4</v>
      </c>
      <c r="C1260" s="4">
        <v>1</v>
      </c>
    </row>
    <row r="1261" spans="1:3" ht="15" thickBot="1">
      <c r="A1261" s="3" t="s">
        <v>1327</v>
      </c>
      <c r="B1261" s="3" t="s">
        <v>115</v>
      </c>
      <c r="C1261" s="4">
        <v>1</v>
      </c>
    </row>
    <row r="1262" spans="1:3" ht="15" thickBot="1">
      <c r="A1262" s="3" t="s">
        <v>2281</v>
      </c>
      <c r="B1262" s="3" t="s">
        <v>64</v>
      </c>
      <c r="C1262" s="4">
        <v>1</v>
      </c>
    </row>
    <row r="1263" spans="1:3" ht="15" thickBot="1">
      <c r="A1263" s="3" t="s">
        <v>2282</v>
      </c>
      <c r="B1263" s="3" t="s">
        <v>118</v>
      </c>
      <c r="C1263" s="4">
        <v>2</v>
      </c>
    </row>
    <row r="1264" spans="1:3" ht="15" thickBot="1">
      <c r="A1264" s="3" t="s">
        <v>1366</v>
      </c>
      <c r="B1264" s="3" t="s">
        <v>26</v>
      </c>
      <c r="C1264" s="4">
        <v>8</v>
      </c>
    </row>
    <row r="1265" spans="1:3" ht="15" thickBot="1">
      <c r="A1265" s="3" t="s">
        <v>2283</v>
      </c>
      <c r="B1265" s="3" t="s">
        <v>34</v>
      </c>
      <c r="C1265" s="4">
        <v>1</v>
      </c>
    </row>
    <row r="1266" spans="1:3" ht="15" thickBot="1">
      <c r="A1266" s="3" t="s">
        <v>1244</v>
      </c>
      <c r="B1266" s="3" t="s">
        <v>61</v>
      </c>
      <c r="C1266" s="4">
        <v>9</v>
      </c>
    </row>
    <row r="1267" spans="1:3" ht="15" thickBot="1">
      <c r="A1267" s="3" t="s">
        <v>257</v>
      </c>
      <c r="B1267" s="3" t="s">
        <v>560</v>
      </c>
      <c r="C1267" s="4">
        <v>10</v>
      </c>
    </row>
    <row r="1268" spans="1:3" ht="15" thickBot="1">
      <c r="A1268" s="3" t="s">
        <v>2284</v>
      </c>
      <c r="B1268" s="3" t="s">
        <v>22</v>
      </c>
      <c r="C1268" s="4">
        <v>5</v>
      </c>
    </row>
    <row r="1269" spans="1:3" ht="15" thickBot="1">
      <c r="A1269" s="3" t="s">
        <v>1445</v>
      </c>
      <c r="B1269" s="3" t="s">
        <v>19</v>
      </c>
      <c r="C1269" s="4">
        <v>10</v>
      </c>
    </row>
    <row r="1270" spans="1:3" ht="15" thickBot="1">
      <c r="A1270" s="3" t="s">
        <v>1489</v>
      </c>
      <c r="B1270" s="3" t="s">
        <v>19</v>
      </c>
      <c r="C1270" s="4">
        <v>7</v>
      </c>
    </row>
    <row r="1271" spans="1:3" ht="15" thickBot="1">
      <c r="A1271" s="3" t="s">
        <v>258</v>
      </c>
      <c r="B1271" s="3" t="s">
        <v>22</v>
      </c>
      <c r="C1271" s="4">
        <v>5</v>
      </c>
    </row>
    <row r="1272" spans="1:3" ht="15" thickBot="1">
      <c r="A1272" s="3" t="s">
        <v>2285</v>
      </c>
      <c r="B1272" s="3" t="s">
        <v>19</v>
      </c>
      <c r="C1272" s="4">
        <v>5</v>
      </c>
    </row>
    <row r="1273" spans="1:3" ht="15" thickBot="1">
      <c r="A1273" s="3" t="s">
        <v>677</v>
      </c>
      <c r="B1273" s="3" t="s">
        <v>19</v>
      </c>
      <c r="C1273" s="4">
        <v>7</v>
      </c>
    </row>
    <row r="1274" spans="1:3" ht="15" thickBot="1">
      <c r="A1274" s="3" t="s">
        <v>2286</v>
      </c>
      <c r="B1274" s="3" t="s">
        <v>19</v>
      </c>
      <c r="C1274" s="4">
        <v>3</v>
      </c>
    </row>
    <row r="1275" spans="1:3" ht="15" thickBot="1">
      <c r="A1275" s="3" t="s">
        <v>2287</v>
      </c>
      <c r="B1275" s="6" t="s">
        <v>1970</v>
      </c>
      <c r="C1275" s="4">
        <v>1</v>
      </c>
    </row>
    <row r="1276" spans="1:3" ht="15" thickBot="1">
      <c r="A1276" s="3" t="s">
        <v>1280</v>
      </c>
      <c r="B1276" s="3" t="s">
        <v>64</v>
      </c>
      <c r="C1276" s="4">
        <v>2</v>
      </c>
    </row>
    <row r="1277" spans="1:3" ht="15" thickBot="1">
      <c r="A1277" s="3" t="s">
        <v>2288</v>
      </c>
      <c r="B1277" s="3" t="s">
        <v>19</v>
      </c>
      <c r="C1277" s="4">
        <v>1</v>
      </c>
    </row>
    <row r="1278" spans="1:3" ht="15" thickBot="1">
      <c r="A1278" s="3" t="s">
        <v>2289</v>
      </c>
      <c r="B1278" s="3" t="s">
        <v>19</v>
      </c>
      <c r="C1278" s="4">
        <v>1</v>
      </c>
    </row>
    <row r="1279" spans="1:3" ht="15" thickBot="1">
      <c r="A1279" s="3" t="s">
        <v>2290</v>
      </c>
      <c r="B1279" s="3" t="s">
        <v>19</v>
      </c>
      <c r="C1279" s="4">
        <v>1</v>
      </c>
    </row>
    <row r="1280" spans="1:3" ht="15" thickBot="1">
      <c r="A1280" s="3" t="s">
        <v>2291</v>
      </c>
      <c r="B1280" s="3" t="s">
        <v>118</v>
      </c>
      <c r="C1280" s="4">
        <v>1</v>
      </c>
    </row>
    <row r="1281" spans="1:3" ht="15" thickBot="1">
      <c r="A1281" s="3" t="s">
        <v>2292</v>
      </c>
      <c r="B1281" s="3" t="s">
        <v>1802</v>
      </c>
      <c r="C1281" s="4">
        <v>1</v>
      </c>
    </row>
    <row r="1282" spans="1:3" ht="15" thickBot="1">
      <c r="A1282" s="3" t="s">
        <v>912</v>
      </c>
      <c r="B1282" s="3" t="s">
        <v>1814</v>
      </c>
      <c r="C1282" s="4">
        <v>2</v>
      </c>
    </row>
    <row r="1283" spans="1:3" ht="15" thickBot="1">
      <c r="A1283" s="3" t="s">
        <v>2293</v>
      </c>
      <c r="B1283" s="3" t="s">
        <v>125</v>
      </c>
      <c r="C1283" s="4">
        <v>2</v>
      </c>
    </row>
    <row r="1284" spans="1:3" ht="15" thickBot="1">
      <c r="A1284" s="3" t="s">
        <v>137</v>
      </c>
      <c r="B1284" s="3" t="s">
        <v>115</v>
      </c>
      <c r="C1284" s="4">
        <v>4</v>
      </c>
    </row>
    <row r="1285" spans="1:3" ht="15" thickBot="1">
      <c r="A1285" s="3" t="s">
        <v>2294</v>
      </c>
      <c r="B1285" s="3" t="s">
        <v>1802</v>
      </c>
      <c r="C1285" s="4">
        <v>4</v>
      </c>
    </row>
    <row r="1286" spans="1:3" ht="15" thickBot="1">
      <c r="A1286" s="3" t="s">
        <v>2295</v>
      </c>
      <c r="B1286" s="3" t="s">
        <v>61</v>
      </c>
      <c r="C1286" s="4">
        <v>9</v>
      </c>
    </row>
    <row r="1287" spans="1:3" ht="15" thickBot="1">
      <c r="A1287" s="3" t="s">
        <v>1453</v>
      </c>
      <c r="B1287" s="3" t="s">
        <v>26</v>
      </c>
      <c r="C1287" s="4">
        <v>1</v>
      </c>
    </row>
    <row r="1288" spans="1:3" ht="15" thickBot="1">
      <c r="A1288" s="3" t="s">
        <v>2296</v>
      </c>
      <c r="B1288" s="3" t="s">
        <v>1802</v>
      </c>
      <c r="C1288" s="4">
        <v>2</v>
      </c>
    </row>
    <row r="1289" spans="1:3" ht="15" thickBot="1">
      <c r="A1289" s="3" t="s">
        <v>839</v>
      </c>
      <c r="B1289" s="3" t="s">
        <v>26</v>
      </c>
      <c r="C1289" s="4">
        <v>3</v>
      </c>
    </row>
    <row r="1290" spans="1:3" ht="15" thickBot="1">
      <c r="A1290" s="3" t="s">
        <v>1208</v>
      </c>
      <c r="B1290" s="3" t="s">
        <v>495</v>
      </c>
      <c r="C1290" s="4">
        <v>3</v>
      </c>
    </row>
    <row r="1291" spans="1:3" ht="15" thickBot="1">
      <c r="A1291" s="3" t="s">
        <v>2297</v>
      </c>
      <c r="B1291" s="3" t="s">
        <v>138</v>
      </c>
      <c r="C1291" s="4">
        <v>1</v>
      </c>
    </row>
    <row r="1292" spans="1:3" ht="15" thickBot="1">
      <c r="A1292" s="3" t="s">
        <v>2298</v>
      </c>
      <c r="B1292" s="3" t="s">
        <v>118</v>
      </c>
      <c r="C1292" s="4">
        <v>3</v>
      </c>
    </row>
    <row r="1293" spans="1:3" ht="15" thickBot="1">
      <c r="A1293" s="3" t="s">
        <v>2299</v>
      </c>
      <c r="B1293" s="3" t="s">
        <v>22</v>
      </c>
      <c r="C1293" s="4">
        <v>3</v>
      </c>
    </row>
    <row r="1294" spans="1:3" ht="15" thickBot="1">
      <c r="A1294" s="3" t="s">
        <v>2300</v>
      </c>
      <c r="B1294" s="3" t="s">
        <v>64</v>
      </c>
      <c r="C1294" s="4">
        <v>5</v>
      </c>
    </row>
    <row r="1295" spans="1:3" ht="15" thickBot="1">
      <c r="A1295" s="3" t="s">
        <v>2301</v>
      </c>
      <c r="B1295" s="3" t="s">
        <v>560</v>
      </c>
      <c r="C1295" s="4">
        <v>2</v>
      </c>
    </row>
    <row r="1296" spans="1:3" ht="15" thickBot="1">
      <c r="A1296" s="3" t="s">
        <v>427</v>
      </c>
      <c r="B1296" s="6" t="s">
        <v>1970</v>
      </c>
      <c r="C1296" s="4">
        <v>5</v>
      </c>
    </row>
    <row r="1297" spans="1:3" ht="15" thickBot="1">
      <c r="A1297" s="3" t="s">
        <v>2302</v>
      </c>
      <c r="B1297" s="3" t="s">
        <v>4</v>
      </c>
      <c r="C1297" s="4">
        <v>4</v>
      </c>
    </row>
    <row r="1298" spans="1:3" ht="15" thickBot="1">
      <c r="A1298" s="3" t="s">
        <v>2303</v>
      </c>
      <c r="B1298" s="3" t="s">
        <v>22</v>
      </c>
      <c r="C1298" s="4">
        <v>4</v>
      </c>
    </row>
    <row r="1299" spans="1:3" ht="15" thickBot="1">
      <c r="A1299" s="3" t="s">
        <v>1136</v>
      </c>
      <c r="B1299" s="3" t="s">
        <v>22</v>
      </c>
      <c r="C1299" s="4">
        <v>6</v>
      </c>
    </row>
    <row r="1300" spans="1:3" ht="15" thickBot="1">
      <c r="A1300" s="3" t="s">
        <v>1767</v>
      </c>
      <c r="B1300" s="3" t="s">
        <v>64</v>
      </c>
      <c r="C1300" s="4">
        <v>7</v>
      </c>
    </row>
    <row r="1301" spans="1:3" ht="15" thickBot="1">
      <c r="A1301" s="3" t="s">
        <v>2304</v>
      </c>
      <c r="B1301" s="3" t="s">
        <v>1810</v>
      </c>
      <c r="C1301" s="4">
        <v>4</v>
      </c>
    </row>
    <row r="1302" spans="1:3" ht="15" thickBot="1">
      <c r="A1302" s="3" t="s">
        <v>1586</v>
      </c>
      <c r="B1302" s="3" t="s">
        <v>26</v>
      </c>
      <c r="C1302" s="4">
        <v>6</v>
      </c>
    </row>
    <row r="1303" spans="1:3" ht="15" thickBot="1">
      <c r="A1303" s="3" t="s">
        <v>1121</v>
      </c>
      <c r="B1303" s="3" t="s">
        <v>64</v>
      </c>
      <c r="C1303" s="4">
        <v>13</v>
      </c>
    </row>
    <row r="1304" spans="1:3" ht="15" thickBot="1">
      <c r="A1304" s="3" t="s">
        <v>2305</v>
      </c>
      <c r="B1304" s="6" t="s">
        <v>1970</v>
      </c>
      <c r="C1304" s="4">
        <v>4</v>
      </c>
    </row>
    <row r="1305" spans="1:3" ht="15" thickBot="1">
      <c r="A1305" s="3" t="s">
        <v>2306</v>
      </c>
      <c r="B1305" s="3" t="s">
        <v>22</v>
      </c>
      <c r="C1305" s="4">
        <v>4</v>
      </c>
    </row>
    <row r="1306" spans="1:3" ht="15" thickBot="1">
      <c r="A1306" s="3" t="s">
        <v>2307</v>
      </c>
      <c r="B1306" s="3" t="s">
        <v>34</v>
      </c>
      <c r="C1306" s="4">
        <v>2</v>
      </c>
    </row>
    <row r="1307" spans="1:3" ht="15" thickBot="1">
      <c r="A1307" s="3" t="s">
        <v>2308</v>
      </c>
      <c r="B1307" s="3" t="s">
        <v>34</v>
      </c>
      <c r="C1307" s="4">
        <v>2</v>
      </c>
    </row>
    <row r="1308" spans="1:3" ht="15" thickBot="1">
      <c r="A1308" s="3" t="s">
        <v>1316</v>
      </c>
      <c r="B1308" s="3" t="s">
        <v>4</v>
      </c>
      <c r="C1308" s="4">
        <v>9</v>
      </c>
    </row>
    <row r="1309" spans="1:3" ht="15" thickBot="1">
      <c r="A1309" s="3" t="s">
        <v>2309</v>
      </c>
      <c r="B1309" s="3" t="s">
        <v>34</v>
      </c>
      <c r="C1309" s="4">
        <v>1</v>
      </c>
    </row>
    <row r="1310" spans="1:3" ht="15" thickBot="1">
      <c r="A1310" s="3" t="s">
        <v>2310</v>
      </c>
      <c r="B1310" s="3" t="s">
        <v>1814</v>
      </c>
      <c r="C1310" s="4">
        <v>2</v>
      </c>
    </row>
    <row r="1311" spans="1:3" ht="15" thickBot="1">
      <c r="A1311" s="3" t="s">
        <v>2311</v>
      </c>
      <c r="B1311" s="6" t="s">
        <v>1970</v>
      </c>
      <c r="C1311" s="4">
        <v>1</v>
      </c>
    </row>
    <row r="1312" spans="1:3" ht="15" thickBot="1">
      <c r="A1312" s="3" t="s">
        <v>1094</v>
      </c>
      <c r="B1312" s="3" t="s">
        <v>24</v>
      </c>
      <c r="C1312" s="4">
        <v>11</v>
      </c>
    </row>
    <row r="1313" spans="1:3" ht="15" thickBot="1">
      <c r="A1313" s="3" t="s">
        <v>2312</v>
      </c>
      <c r="B1313" s="3" t="s">
        <v>125</v>
      </c>
      <c r="C1313" s="4">
        <v>2</v>
      </c>
    </row>
    <row r="1314" spans="1:3" ht="15" thickBot="1">
      <c r="A1314" s="3" t="s">
        <v>1405</v>
      </c>
      <c r="B1314" s="3" t="s">
        <v>125</v>
      </c>
      <c r="C1314" s="4">
        <v>4</v>
      </c>
    </row>
    <row r="1315" spans="1:3" ht="15" thickBot="1">
      <c r="A1315" s="3" t="s">
        <v>2313</v>
      </c>
      <c r="B1315" s="3" t="s">
        <v>34</v>
      </c>
      <c r="C1315" s="4">
        <v>1</v>
      </c>
    </row>
    <row r="1316" spans="1:3" ht="15" thickBot="1">
      <c r="A1316" s="3" t="s">
        <v>1314</v>
      </c>
      <c r="B1316" s="3" t="s">
        <v>560</v>
      </c>
      <c r="C1316" s="4">
        <v>1</v>
      </c>
    </row>
    <row r="1317" spans="1:3" ht="15" thickBot="1">
      <c r="A1317" s="3" t="s">
        <v>690</v>
      </c>
      <c r="B1317" s="3" t="s">
        <v>125</v>
      </c>
      <c r="C1317" s="4">
        <v>8</v>
      </c>
    </row>
    <row r="1318" spans="1:3" ht="15" thickBot="1">
      <c r="A1318" s="3" t="s">
        <v>2314</v>
      </c>
      <c r="B1318" s="3" t="s">
        <v>1810</v>
      </c>
      <c r="C1318" s="4">
        <v>1</v>
      </c>
    </row>
    <row r="1319" spans="1:3" ht="15" thickBot="1">
      <c r="A1319" s="3" t="s">
        <v>1379</v>
      </c>
      <c r="B1319" s="3" t="s">
        <v>26</v>
      </c>
      <c r="C1319" s="4">
        <v>1</v>
      </c>
    </row>
    <row r="1320" spans="1:3" ht="15" thickBot="1">
      <c r="A1320" s="3" t="s">
        <v>2315</v>
      </c>
      <c r="B1320" s="3" t="s">
        <v>115</v>
      </c>
      <c r="C1320" s="4">
        <v>6</v>
      </c>
    </row>
    <row r="1321" spans="1:3" ht="15" thickBot="1">
      <c r="A1321" s="3" t="s">
        <v>2316</v>
      </c>
      <c r="B1321" s="3" t="s">
        <v>1814</v>
      </c>
      <c r="C1321" s="4">
        <v>9</v>
      </c>
    </row>
    <row r="1322" spans="1:3" ht="15" thickBot="1">
      <c r="A1322" s="3" t="s">
        <v>2317</v>
      </c>
      <c r="B1322" s="3" t="s">
        <v>4</v>
      </c>
      <c r="C1322" s="4">
        <v>1</v>
      </c>
    </row>
    <row r="1323" spans="1:3" ht="15" thickBot="1">
      <c r="A1323" s="3" t="s">
        <v>2318</v>
      </c>
      <c r="B1323" s="3" t="s">
        <v>1810</v>
      </c>
      <c r="C1323" s="4">
        <v>4</v>
      </c>
    </row>
    <row r="1324" spans="1:3" ht="15" thickBot="1">
      <c r="A1324" s="3" t="s">
        <v>2319</v>
      </c>
      <c r="B1324" s="3" t="s">
        <v>4</v>
      </c>
      <c r="C1324" s="4">
        <v>1</v>
      </c>
    </row>
    <row r="1325" spans="1:3" ht="15" thickBot="1">
      <c r="A1325" s="3" t="s">
        <v>684</v>
      </c>
      <c r="B1325" s="3" t="s">
        <v>1810</v>
      </c>
      <c r="C1325" s="4">
        <v>2</v>
      </c>
    </row>
    <row r="1326" spans="1:3" ht="15" thickBot="1">
      <c r="A1326" s="3" t="s">
        <v>2320</v>
      </c>
      <c r="B1326" s="3" t="s">
        <v>34</v>
      </c>
      <c r="C1326" s="4">
        <v>8</v>
      </c>
    </row>
    <row r="1327" spans="1:3" ht="15" thickBot="1">
      <c r="A1327" s="3" t="s">
        <v>2321</v>
      </c>
      <c r="B1327" s="3" t="s">
        <v>1814</v>
      </c>
      <c r="C1327" s="4">
        <v>1</v>
      </c>
    </row>
    <row r="1328" spans="1:3" ht="15" thickBot="1">
      <c r="A1328" s="3" t="s">
        <v>147</v>
      </c>
      <c r="B1328" s="3" t="s">
        <v>1810</v>
      </c>
      <c r="C1328" s="4">
        <v>13</v>
      </c>
    </row>
    <row r="1329" spans="1:3" ht="15" thickBot="1">
      <c r="A1329" s="3" t="s">
        <v>2322</v>
      </c>
      <c r="B1329" s="3" t="s">
        <v>22</v>
      </c>
      <c r="C1329" s="4">
        <v>1</v>
      </c>
    </row>
    <row r="1330" spans="1:3" ht="15" thickBot="1">
      <c r="A1330" s="3" t="s">
        <v>2323</v>
      </c>
      <c r="B1330" s="3" t="s">
        <v>34</v>
      </c>
      <c r="C1330" s="4">
        <v>1</v>
      </c>
    </row>
    <row r="1331" spans="1:3" ht="15" thickBot="1">
      <c r="A1331" s="3" t="s">
        <v>202</v>
      </c>
      <c r="B1331" s="3" t="s">
        <v>24</v>
      </c>
      <c r="C1331" s="4">
        <v>8</v>
      </c>
    </row>
    <row r="1332" spans="1:3" ht="15" thickBot="1">
      <c r="A1332" s="3" t="s">
        <v>2324</v>
      </c>
      <c r="B1332" s="3" t="s">
        <v>1814</v>
      </c>
      <c r="C1332" s="4">
        <v>3</v>
      </c>
    </row>
    <row r="1333" spans="1:3" ht="15" thickBot="1">
      <c r="A1333" s="3" t="s">
        <v>2325</v>
      </c>
      <c r="B1333" s="3" t="s">
        <v>24</v>
      </c>
      <c r="C1333" s="4">
        <v>1</v>
      </c>
    </row>
    <row r="1334" spans="1:3" ht="15" thickBot="1">
      <c r="A1334" s="3" t="s">
        <v>2326</v>
      </c>
      <c r="B1334" s="3" t="s">
        <v>138</v>
      </c>
      <c r="C1334" s="4">
        <v>5</v>
      </c>
    </row>
    <row r="1335" spans="1:3" ht="15" thickBot="1">
      <c r="A1335" s="3" t="s">
        <v>2327</v>
      </c>
      <c r="B1335" s="3" t="s">
        <v>4</v>
      </c>
      <c r="C1335" s="4">
        <v>1</v>
      </c>
    </row>
    <row r="1336" spans="1:3" ht="15" thickBot="1">
      <c r="A1336" s="3" t="s">
        <v>2328</v>
      </c>
      <c r="B1336" s="3" t="s">
        <v>1798</v>
      </c>
      <c r="C1336" s="4">
        <v>2</v>
      </c>
    </row>
    <row r="1337" spans="1:3" ht="15" thickBot="1">
      <c r="A1337" s="3" t="s">
        <v>2329</v>
      </c>
      <c r="B1337" s="3" t="s">
        <v>61</v>
      </c>
      <c r="C1337" s="4">
        <v>1</v>
      </c>
    </row>
    <row r="1338" spans="1:3" ht="15" thickBot="1">
      <c r="A1338" s="3" t="s">
        <v>2330</v>
      </c>
      <c r="B1338" s="3" t="s">
        <v>64</v>
      </c>
      <c r="C1338" s="4">
        <v>1</v>
      </c>
    </row>
    <row r="1339" spans="1:3" ht="15" thickBot="1">
      <c r="A1339" s="3" t="s">
        <v>2331</v>
      </c>
      <c r="B1339" s="3" t="s">
        <v>115</v>
      </c>
      <c r="C1339" s="4">
        <v>4</v>
      </c>
    </row>
    <row r="1340" spans="1:3" ht="15" thickBot="1">
      <c r="A1340" s="3" t="s">
        <v>2332</v>
      </c>
      <c r="B1340" s="3" t="s">
        <v>34</v>
      </c>
      <c r="C1340" s="4">
        <v>1</v>
      </c>
    </row>
    <row r="1341" spans="1:3" ht="15" thickBot="1">
      <c r="A1341" s="3" t="s">
        <v>333</v>
      </c>
      <c r="B1341" s="3" t="s">
        <v>24</v>
      </c>
      <c r="C1341" s="4">
        <v>6</v>
      </c>
    </row>
    <row r="1342" spans="1:3" ht="15" thickBot="1">
      <c r="A1342" s="3" t="s">
        <v>2333</v>
      </c>
      <c r="B1342" s="3" t="s">
        <v>19</v>
      </c>
      <c r="C1342" s="4">
        <v>3</v>
      </c>
    </row>
    <row r="1343" spans="1:3" ht="15" thickBot="1">
      <c r="A1343" s="3" t="s">
        <v>2334</v>
      </c>
      <c r="B1343" s="3" t="s">
        <v>19</v>
      </c>
      <c r="C1343" s="4">
        <v>1</v>
      </c>
    </row>
    <row r="1344" spans="1:3" ht="15" thickBot="1">
      <c r="A1344" s="3" t="s">
        <v>726</v>
      </c>
      <c r="B1344" s="3" t="s">
        <v>560</v>
      </c>
      <c r="C1344" s="4">
        <v>2</v>
      </c>
    </row>
    <row r="1345" spans="1:3" ht="15" thickBot="1">
      <c r="A1345" s="3" t="s">
        <v>978</v>
      </c>
      <c r="B1345" s="3" t="s">
        <v>26</v>
      </c>
      <c r="C1345" s="4">
        <v>5</v>
      </c>
    </row>
    <row r="1346" spans="1:3" ht="15" thickBot="1">
      <c r="A1346" s="3" t="s">
        <v>2335</v>
      </c>
      <c r="B1346" s="3" t="s">
        <v>1798</v>
      </c>
      <c r="C1346" s="4">
        <v>1</v>
      </c>
    </row>
    <row r="1347" spans="1:3" ht="15" thickBot="1">
      <c r="A1347" s="3" t="s">
        <v>2336</v>
      </c>
      <c r="B1347" s="3" t="s">
        <v>34</v>
      </c>
      <c r="C1347" s="4">
        <v>1</v>
      </c>
    </row>
    <row r="1348" spans="1:3" ht="15" thickBot="1">
      <c r="A1348" s="3" t="s">
        <v>2337</v>
      </c>
      <c r="B1348" s="3" t="s">
        <v>1802</v>
      </c>
      <c r="C1348" s="4">
        <v>1</v>
      </c>
    </row>
    <row r="1349" spans="1:3" ht="15" thickBot="1">
      <c r="A1349" s="3" t="s">
        <v>2338</v>
      </c>
      <c r="B1349" s="3" t="s">
        <v>1814</v>
      </c>
      <c r="C1349" s="4">
        <v>1</v>
      </c>
    </row>
    <row r="1350" spans="1:3" ht="15" thickBot="1">
      <c r="A1350" s="3" t="s">
        <v>2339</v>
      </c>
      <c r="B1350" s="3" t="s">
        <v>1810</v>
      </c>
      <c r="C1350" s="4">
        <v>1</v>
      </c>
    </row>
    <row r="1351" spans="1:3" ht="15" thickBot="1">
      <c r="A1351" s="3" t="s">
        <v>2340</v>
      </c>
      <c r="B1351" s="3" t="s">
        <v>138</v>
      </c>
      <c r="C1351" s="4">
        <v>1</v>
      </c>
    </row>
    <row r="1352" spans="1:3" ht="15" thickBot="1">
      <c r="A1352" s="3" t="s">
        <v>795</v>
      </c>
      <c r="B1352" s="3" t="s">
        <v>1814</v>
      </c>
      <c r="C1352" s="4">
        <v>4</v>
      </c>
    </row>
    <row r="1353" spans="1:3" ht="15" thickBot="1">
      <c r="A1353" s="3" t="s">
        <v>2341</v>
      </c>
      <c r="B1353" s="3" t="s">
        <v>61</v>
      </c>
      <c r="C1353" s="4">
        <v>1</v>
      </c>
    </row>
    <row r="1354" spans="1:3" ht="15" thickBot="1">
      <c r="A1354" s="3" t="s">
        <v>2342</v>
      </c>
      <c r="B1354" s="3" t="s">
        <v>1798</v>
      </c>
      <c r="C1354" s="4">
        <v>2</v>
      </c>
    </row>
    <row r="1355" spans="1:3" ht="15" thickBot="1">
      <c r="A1355" s="3" t="s">
        <v>2343</v>
      </c>
      <c r="B1355" s="3" t="s">
        <v>61</v>
      </c>
      <c r="C1355" s="4">
        <v>3</v>
      </c>
    </row>
    <row r="1356" spans="1:3" ht="15" thickBot="1">
      <c r="A1356" s="3" t="s">
        <v>2344</v>
      </c>
      <c r="B1356" s="3" t="s">
        <v>64</v>
      </c>
      <c r="C1356" s="4">
        <v>3</v>
      </c>
    </row>
    <row r="1357" spans="1:3" ht="15" thickBot="1">
      <c r="A1357" s="3" t="s">
        <v>2345</v>
      </c>
      <c r="B1357" s="3" t="s">
        <v>64</v>
      </c>
      <c r="C1357" s="4">
        <v>3</v>
      </c>
    </row>
    <row r="1358" spans="1:3" ht="15" thickBot="1">
      <c r="A1358" s="3" t="s">
        <v>838</v>
      </c>
      <c r="B1358" s="3" t="s">
        <v>138</v>
      </c>
      <c r="C1358" s="4">
        <v>10</v>
      </c>
    </row>
    <row r="1359" spans="1:3" ht="15" thickBot="1">
      <c r="A1359" s="3" t="s">
        <v>2346</v>
      </c>
      <c r="B1359" s="3" t="s">
        <v>138</v>
      </c>
      <c r="C1359" s="4">
        <v>3</v>
      </c>
    </row>
    <row r="1360" spans="1:3" ht="15" thickBot="1">
      <c r="A1360" s="3" t="s">
        <v>2347</v>
      </c>
      <c r="B1360" s="3" t="s">
        <v>64</v>
      </c>
      <c r="C1360" s="4">
        <v>5</v>
      </c>
    </row>
    <row r="1361" spans="1:3" ht="15" thickBot="1">
      <c r="A1361" s="3" t="s">
        <v>2348</v>
      </c>
      <c r="B1361" s="3" t="s">
        <v>118</v>
      </c>
      <c r="C1361" s="4">
        <v>5</v>
      </c>
    </row>
    <row r="1362" spans="1:3" ht="15" thickBot="1">
      <c r="A1362" s="3" t="s">
        <v>1275</v>
      </c>
      <c r="B1362" s="3" t="s">
        <v>1802</v>
      </c>
      <c r="C1362" s="4">
        <v>7</v>
      </c>
    </row>
    <row r="1363" spans="1:3" ht="15" thickBot="1">
      <c r="A1363" s="3" t="s">
        <v>2349</v>
      </c>
      <c r="B1363" s="3" t="s">
        <v>118</v>
      </c>
      <c r="C1363" s="4">
        <v>1</v>
      </c>
    </row>
    <row r="1364" spans="1:3" ht="15" thickBot="1">
      <c r="A1364" s="3" t="s">
        <v>1487</v>
      </c>
      <c r="B1364" s="3" t="s">
        <v>24</v>
      </c>
      <c r="C1364" s="4">
        <v>2</v>
      </c>
    </row>
    <row r="1365" spans="1:3" ht="15" thickBot="1">
      <c r="A1365" s="3" t="s">
        <v>1620</v>
      </c>
      <c r="B1365" s="3" t="s">
        <v>26</v>
      </c>
      <c r="C1365" s="4">
        <v>1</v>
      </c>
    </row>
    <row r="1366" spans="1:3" ht="15" thickBot="1">
      <c r="A1366" s="3" t="s">
        <v>2350</v>
      </c>
      <c r="B1366" s="3" t="s">
        <v>26</v>
      </c>
      <c r="C1366" s="4">
        <v>1</v>
      </c>
    </row>
    <row r="1367" spans="1:3" ht="15" thickBot="1">
      <c r="A1367" s="3" t="s">
        <v>2351</v>
      </c>
      <c r="B1367" s="3" t="s">
        <v>26</v>
      </c>
      <c r="C1367" s="4">
        <v>3</v>
      </c>
    </row>
    <row r="1368" spans="1:3" ht="15" thickBot="1">
      <c r="A1368" s="3" t="s">
        <v>1337</v>
      </c>
      <c r="B1368" s="3" t="s">
        <v>34</v>
      </c>
      <c r="C1368" s="4">
        <v>1</v>
      </c>
    </row>
    <row r="1369" spans="1:3" ht="15" thickBot="1">
      <c r="A1369" s="3" t="s">
        <v>2352</v>
      </c>
      <c r="B1369" s="3" t="s">
        <v>118</v>
      </c>
      <c r="C1369" s="4">
        <v>1</v>
      </c>
    </row>
    <row r="1370" spans="1:3" ht="15" thickBot="1">
      <c r="A1370" s="3" t="s">
        <v>1364</v>
      </c>
      <c r="B1370" s="3" t="s">
        <v>24</v>
      </c>
      <c r="C1370" s="4">
        <v>5</v>
      </c>
    </row>
    <row r="1371" spans="1:3" ht="15" thickBot="1">
      <c r="A1371" s="3" t="s">
        <v>445</v>
      </c>
      <c r="B1371" s="3" t="s">
        <v>26</v>
      </c>
      <c r="C1371" s="4">
        <v>8</v>
      </c>
    </row>
    <row r="1372" spans="1:3" ht="15" thickBot="1">
      <c r="A1372" s="3" t="s">
        <v>1087</v>
      </c>
      <c r="B1372" s="3" t="s">
        <v>64</v>
      </c>
      <c r="C1372" s="4">
        <v>2</v>
      </c>
    </row>
    <row r="1373" spans="1:3" ht="15" thickBot="1">
      <c r="A1373" s="3" t="s">
        <v>2353</v>
      </c>
      <c r="B1373" s="3" t="s">
        <v>1798</v>
      </c>
      <c r="C1373" s="4">
        <v>1</v>
      </c>
    </row>
    <row r="1374" spans="1:3" ht="15" thickBot="1">
      <c r="A1374" s="3" t="s">
        <v>632</v>
      </c>
      <c r="B1374" s="3" t="s">
        <v>24</v>
      </c>
      <c r="C1374" s="4">
        <v>3</v>
      </c>
    </row>
    <row r="1375" spans="1:3" ht="15" thickBot="1">
      <c r="A1375" s="3" t="s">
        <v>2354</v>
      </c>
      <c r="B1375" s="3" t="s">
        <v>26</v>
      </c>
      <c r="C1375" s="4">
        <v>3</v>
      </c>
    </row>
    <row r="1376" spans="1:3" ht="15" thickBot="1">
      <c r="A1376" s="3" t="s">
        <v>452</v>
      </c>
      <c r="B1376" s="3" t="s">
        <v>125</v>
      </c>
      <c r="C1376" s="4">
        <v>2</v>
      </c>
    </row>
    <row r="1377" spans="1:3" ht="15" thickBot="1">
      <c r="A1377" s="3" t="s">
        <v>2355</v>
      </c>
      <c r="B1377" s="3" t="s">
        <v>34</v>
      </c>
      <c r="C1377" s="4">
        <v>1</v>
      </c>
    </row>
    <row r="1378" spans="1:3" ht="15" thickBot="1">
      <c r="A1378" s="3" t="s">
        <v>2356</v>
      </c>
      <c r="B1378" s="6" t="s">
        <v>1970</v>
      </c>
      <c r="C1378" s="4">
        <v>1</v>
      </c>
    </row>
    <row r="1379" spans="1:3" ht="15" thickBot="1">
      <c r="A1379" s="3" t="s">
        <v>829</v>
      </c>
      <c r="B1379" s="3" t="s">
        <v>1802</v>
      </c>
      <c r="C1379" s="4">
        <v>1</v>
      </c>
    </row>
    <row r="1380" spans="1:3" ht="15" thickBot="1">
      <c r="A1380" s="3" t="s">
        <v>2357</v>
      </c>
      <c r="B1380" s="3" t="s">
        <v>1802</v>
      </c>
      <c r="C1380" s="4">
        <v>4</v>
      </c>
    </row>
    <row r="1381" spans="1:3" ht="15" thickBot="1">
      <c r="A1381" s="3" t="s">
        <v>2358</v>
      </c>
      <c r="B1381" s="3" t="s">
        <v>2359</v>
      </c>
      <c r="C1381" s="4">
        <v>1</v>
      </c>
    </row>
    <row r="1382" spans="1:3" ht="15" thickBot="1">
      <c r="A1382" s="3" t="s">
        <v>2360</v>
      </c>
      <c r="B1382" s="3" t="s">
        <v>1807</v>
      </c>
      <c r="C1382" s="4">
        <v>10</v>
      </c>
    </row>
    <row r="1383" spans="1:3" ht="15" thickBot="1">
      <c r="A1383" s="3" t="s">
        <v>2361</v>
      </c>
      <c r="B1383" s="6" t="s">
        <v>1804</v>
      </c>
      <c r="C1383" s="4">
        <v>9</v>
      </c>
    </row>
    <row r="1384" spans="1:3" ht="15" thickBot="1">
      <c r="A1384" s="3" t="s">
        <v>2362</v>
      </c>
      <c r="B1384" s="3" t="s">
        <v>26</v>
      </c>
      <c r="C1384" s="4">
        <v>2</v>
      </c>
    </row>
    <row r="1385" spans="1:3" ht="15" thickBot="1">
      <c r="A1385" s="3" t="s">
        <v>2363</v>
      </c>
      <c r="B1385" s="3" t="s">
        <v>125</v>
      </c>
      <c r="C1385" s="4">
        <v>6</v>
      </c>
    </row>
    <row r="1386" spans="1:3" ht="15" thickBot="1">
      <c r="A1386" s="3" t="s">
        <v>1325</v>
      </c>
      <c r="B1386" s="3" t="s">
        <v>1802</v>
      </c>
      <c r="C1386" s="4">
        <v>5</v>
      </c>
    </row>
    <row r="1387" spans="1:3" ht="15" thickBot="1">
      <c r="A1387" s="3" t="s">
        <v>1050</v>
      </c>
      <c r="B1387" s="3" t="s">
        <v>2359</v>
      </c>
      <c r="C1387" s="4">
        <v>3</v>
      </c>
    </row>
    <row r="1388" spans="1:3" ht="15" thickBot="1">
      <c r="A1388" s="3" t="s">
        <v>2364</v>
      </c>
      <c r="B1388" s="3" t="s">
        <v>2365</v>
      </c>
      <c r="C1388" s="4">
        <v>1</v>
      </c>
    </row>
    <row r="1389" spans="1:3" ht="15" thickBot="1">
      <c r="A1389" s="3" t="s">
        <v>2366</v>
      </c>
      <c r="B1389" s="3" t="s">
        <v>32</v>
      </c>
      <c r="C1389" s="4">
        <v>6</v>
      </c>
    </row>
    <row r="1390" spans="1:3" ht="15" thickBot="1">
      <c r="A1390" s="3" t="s">
        <v>2367</v>
      </c>
      <c r="B1390" s="3" t="s">
        <v>32</v>
      </c>
      <c r="C1390" s="4">
        <v>2</v>
      </c>
    </row>
    <row r="1391" spans="1:3" ht="15" thickBot="1">
      <c r="A1391" s="3" t="s">
        <v>557</v>
      </c>
      <c r="B1391" s="3" t="s">
        <v>61</v>
      </c>
      <c r="C1391" s="4">
        <v>7</v>
      </c>
    </row>
    <row r="1392" spans="1:3" ht="15" thickBot="1">
      <c r="A1392" s="3" t="s">
        <v>2368</v>
      </c>
      <c r="B1392" s="3" t="s">
        <v>34</v>
      </c>
      <c r="C1392" s="4">
        <v>5</v>
      </c>
    </row>
    <row r="1393" spans="1:3" ht="15" thickBot="1">
      <c r="A1393" s="3" t="s">
        <v>1462</v>
      </c>
      <c r="B1393" s="3" t="s">
        <v>26</v>
      </c>
      <c r="C1393" s="4">
        <v>6</v>
      </c>
    </row>
    <row r="1394" spans="1:3" ht="15" thickBot="1">
      <c r="A1394" s="3" t="s">
        <v>2369</v>
      </c>
      <c r="B1394" s="3" t="s">
        <v>125</v>
      </c>
      <c r="C1394" s="4">
        <v>2</v>
      </c>
    </row>
    <row r="1395" spans="1:3" ht="15" thickBot="1">
      <c r="A1395" s="3" t="s">
        <v>2370</v>
      </c>
      <c r="B1395" s="3" t="s">
        <v>2365</v>
      </c>
      <c r="C1395" s="4">
        <v>1</v>
      </c>
    </row>
    <row r="1396" spans="1:3" ht="15" thickBot="1">
      <c r="A1396" s="3" t="s">
        <v>1669</v>
      </c>
      <c r="B1396" s="3" t="s">
        <v>34</v>
      </c>
      <c r="C1396" s="4">
        <v>2</v>
      </c>
    </row>
    <row r="1397" spans="1:3" ht="15" thickBot="1">
      <c r="A1397" s="3" t="s">
        <v>1567</v>
      </c>
      <c r="B1397" s="3" t="s">
        <v>115</v>
      </c>
      <c r="C1397" s="4">
        <v>9</v>
      </c>
    </row>
    <row r="1398" spans="1:3" ht="15" thickBot="1">
      <c r="A1398" s="3" t="s">
        <v>2371</v>
      </c>
      <c r="B1398" s="3" t="s">
        <v>2372</v>
      </c>
      <c r="C1398" s="4">
        <v>1</v>
      </c>
    </row>
    <row r="1399" spans="1:3" ht="15" thickBot="1">
      <c r="A1399" s="3" t="s">
        <v>15</v>
      </c>
      <c r="B1399" s="3" t="s">
        <v>2372</v>
      </c>
      <c r="C1399" s="4">
        <v>1</v>
      </c>
    </row>
    <row r="1400" spans="1:3" ht="15" thickBot="1">
      <c r="A1400" s="3" t="s">
        <v>276</v>
      </c>
      <c r="B1400" s="3" t="s">
        <v>4</v>
      </c>
      <c r="C1400" s="4">
        <v>1</v>
      </c>
    </row>
    <row r="1401" spans="1:3" ht="15" thickBot="1">
      <c r="A1401" s="3" t="s">
        <v>243</v>
      </c>
      <c r="B1401" s="3" t="s">
        <v>4</v>
      </c>
      <c r="C1401" s="4">
        <v>4</v>
      </c>
    </row>
    <row r="1402" spans="1:3" ht="15" thickBot="1">
      <c r="A1402" s="3" t="s">
        <v>2373</v>
      </c>
      <c r="B1402" s="3" t="s">
        <v>125</v>
      </c>
      <c r="C1402" s="4">
        <v>2</v>
      </c>
    </row>
    <row r="1403" spans="1:3" ht="15" thickBot="1">
      <c r="A1403" s="3" t="s">
        <v>1291</v>
      </c>
      <c r="B1403" s="3" t="s">
        <v>1802</v>
      </c>
      <c r="C1403" s="4">
        <v>4</v>
      </c>
    </row>
    <row r="1404" spans="1:3" ht="15" thickBot="1">
      <c r="A1404" s="3" t="s">
        <v>1734</v>
      </c>
      <c r="B1404" s="3" t="s">
        <v>410</v>
      </c>
      <c r="C1404" s="4">
        <v>2</v>
      </c>
    </row>
    <row r="1405" spans="1:3" ht="15" thickBot="1">
      <c r="A1405" s="3" t="s">
        <v>420</v>
      </c>
      <c r="B1405" s="3" t="s">
        <v>125</v>
      </c>
      <c r="C1405" s="4">
        <v>2</v>
      </c>
    </row>
    <row r="1406" spans="1:3" ht="15" thickBot="1">
      <c r="A1406" s="3" t="s">
        <v>1414</v>
      </c>
      <c r="B1406" s="3" t="s">
        <v>2372</v>
      </c>
      <c r="C1406" s="4">
        <v>4</v>
      </c>
    </row>
    <row r="1407" spans="1:3" ht="15" thickBot="1">
      <c r="A1407" s="3" t="s">
        <v>2374</v>
      </c>
      <c r="B1407" s="3" t="s">
        <v>61</v>
      </c>
      <c r="C1407" s="4">
        <v>2</v>
      </c>
    </row>
    <row r="1408" spans="1:3" ht="15" thickBot="1">
      <c r="A1408" s="3" t="s">
        <v>932</v>
      </c>
      <c r="B1408" s="3" t="s">
        <v>410</v>
      </c>
      <c r="C1408" s="4">
        <v>4</v>
      </c>
    </row>
    <row r="1409" spans="1:3" ht="15" thickBot="1">
      <c r="A1409" s="3" t="s">
        <v>845</v>
      </c>
      <c r="B1409" s="3" t="s">
        <v>1809</v>
      </c>
      <c r="C1409" s="4">
        <v>3</v>
      </c>
    </row>
    <row r="1410" spans="1:3" ht="15" thickBot="1">
      <c r="A1410" s="3" t="s">
        <v>2375</v>
      </c>
      <c r="B1410" s="3" t="s">
        <v>61</v>
      </c>
      <c r="C1410" s="4">
        <v>2</v>
      </c>
    </row>
    <row r="1411" spans="1:3" ht="15" thickBot="1">
      <c r="A1411" s="3" t="s">
        <v>906</v>
      </c>
      <c r="B1411" s="3" t="s">
        <v>2365</v>
      </c>
      <c r="C1411" s="4">
        <v>3</v>
      </c>
    </row>
    <row r="1412" spans="1:3" ht="15" thickBot="1">
      <c r="A1412" s="3" t="s">
        <v>2376</v>
      </c>
      <c r="B1412" s="3" t="s">
        <v>2372</v>
      </c>
      <c r="C1412" s="4">
        <v>2</v>
      </c>
    </row>
    <row r="1413" spans="1:3" ht="15" thickBot="1">
      <c r="A1413" s="3" t="s">
        <v>39</v>
      </c>
      <c r="B1413" s="3" t="s">
        <v>118</v>
      </c>
      <c r="C1413" s="4">
        <v>4</v>
      </c>
    </row>
    <row r="1414" spans="1:3" ht="15" thickBot="1">
      <c r="A1414" s="3" t="s">
        <v>2377</v>
      </c>
      <c r="B1414" s="3" t="s">
        <v>61</v>
      </c>
      <c r="C1414" s="4">
        <v>3</v>
      </c>
    </row>
    <row r="1415" spans="1:3" ht="15" thickBot="1">
      <c r="A1415" s="3" t="s">
        <v>2378</v>
      </c>
      <c r="B1415" s="3" t="s">
        <v>61</v>
      </c>
      <c r="C1415" s="4">
        <v>4</v>
      </c>
    </row>
    <row r="1416" spans="1:3" ht="15" thickBot="1">
      <c r="A1416" s="3" t="s">
        <v>2379</v>
      </c>
      <c r="B1416" s="3" t="s">
        <v>1805</v>
      </c>
      <c r="C1416" s="4">
        <v>2</v>
      </c>
    </row>
    <row r="1417" spans="1:3" ht="15" thickBot="1">
      <c r="A1417" s="3" t="s">
        <v>902</v>
      </c>
      <c r="B1417" s="3" t="s">
        <v>2365</v>
      </c>
      <c r="C1417" s="4">
        <v>2</v>
      </c>
    </row>
    <row r="1418" spans="1:3" ht="15" thickBot="1">
      <c r="A1418" s="3" t="s">
        <v>907</v>
      </c>
      <c r="B1418" s="3" t="s">
        <v>2365</v>
      </c>
      <c r="C1418" s="4">
        <v>5</v>
      </c>
    </row>
    <row r="1419" spans="1:3" ht="15" thickBot="1">
      <c r="A1419" s="3" t="s">
        <v>2380</v>
      </c>
      <c r="B1419" s="3" t="s">
        <v>2365</v>
      </c>
      <c r="C1419" s="4">
        <v>2</v>
      </c>
    </row>
    <row r="1420" spans="1:3" ht="15" thickBot="1">
      <c r="A1420" s="3" t="s">
        <v>33</v>
      </c>
      <c r="B1420" s="3" t="s">
        <v>2365</v>
      </c>
      <c r="C1420" s="4">
        <v>7</v>
      </c>
    </row>
    <row r="1421" spans="1:3" ht="15" thickBot="1">
      <c r="A1421" s="3" t="s">
        <v>2381</v>
      </c>
      <c r="B1421" s="3" t="s">
        <v>2382</v>
      </c>
      <c r="C1421" s="4">
        <v>1</v>
      </c>
    </row>
    <row r="1422" spans="1:3" ht="15" thickBot="1">
      <c r="A1422" s="3" t="s">
        <v>2383</v>
      </c>
      <c r="B1422" s="3" t="s">
        <v>125</v>
      </c>
      <c r="C1422" s="4">
        <v>1</v>
      </c>
    </row>
    <row r="1423" spans="1:3" ht="15" thickBot="1">
      <c r="A1423" s="3" t="s">
        <v>2384</v>
      </c>
      <c r="B1423" s="3" t="s">
        <v>34</v>
      </c>
      <c r="C1423" s="4">
        <v>2</v>
      </c>
    </row>
    <row r="1424" spans="1:3" ht="15" thickBot="1">
      <c r="A1424" s="3" t="s">
        <v>1630</v>
      </c>
      <c r="B1424" s="3" t="s">
        <v>2372</v>
      </c>
      <c r="C1424" s="4">
        <v>1</v>
      </c>
    </row>
    <row r="1425" spans="1:3" ht="15" thickBot="1">
      <c r="A1425" s="3" t="s">
        <v>719</v>
      </c>
      <c r="B1425" s="3" t="s">
        <v>2359</v>
      </c>
      <c r="C1425" s="4">
        <v>1</v>
      </c>
    </row>
    <row r="1426" spans="1:3" ht="15" thickBot="1">
      <c r="A1426" s="3" t="s">
        <v>2385</v>
      </c>
      <c r="B1426" s="3" t="s">
        <v>26</v>
      </c>
      <c r="C1426" s="4">
        <v>1</v>
      </c>
    </row>
    <row r="1427" spans="1:3" ht="15" thickBot="1">
      <c r="A1427" s="3" t="s">
        <v>140</v>
      </c>
      <c r="B1427" s="3" t="s">
        <v>2372</v>
      </c>
      <c r="C1427" s="4">
        <v>2</v>
      </c>
    </row>
    <row r="1428" spans="1:3" ht="15" thickBot="1">
      <c r="A1428" s="3" t="s">
        <v>2386</v>
      </c>
      <c r="B1428" s="3" t="s">
        <v>34</v>
      </c>
      <c r="C1428" s="4">
        <v>1</v>
      </c>
    </row>
    <row r="1429" spans="1:3" ht="15" thickBot="1">
      <c r="A1429" s="3" t="s">
        <v>1390</v>
      </c>
      <c r="B1429" s="3" t="s">
        <v>2372</v>
      </c>
      <c r="C1429" s="4">
        <v>1</v>
      </c>
    </row>
    <row r="1430" spans="1:3" ht="15" thickBot="1">
      <c r="A1430" s="3" t="s">
        <v>736</v>
      </c>
      <c r="B1430" s="3" t="s">
        <v>2382</v>
      </c>
      <c r="C1430" s="4">
        <v>8</v>
      </c>
    </row>
    <row r="1431" spans="1:3" ht="15" thickBot="1">
      <c r="A1431" s="3" t="s">
        <v>2387</v>
      </c>
      <c r="B1431" s="3" t="s">
        <v>22</v>
      </c>
      <c r="C1431" s="4">
        <v>1</v>
      </c>
    </row>
    <row r="1432" spans="1:3" ht="15" thickBot="1">
      <c r="A1432" s="3" t="s">
        <v>2388</v>
      </c>
      <c r="B1432" s="3" t="s">
        <v>2359</v>
      </c>
      <c r="C1432" s="4">
        <v>1</v>
      </c>
    </row>
    <row r="1433" spans="1:3" ht="15" thickBot="1">
      <c r="A1433" s="3" t="s">
        <v>2389</v>
      </c>
      <c r="B1433" s="3" t="s">
        <v>2359</v>
      </c>
      <c r="C1433" s="4">
        <v>2</v>
      </c>
    </row>
    <row r="1434" spans="1:3" ht="15" thickBot="1">
      <c r="A1434" s="3" t="s">
        <v>2390</v>
      </c>
      <c r="B1434" s="3" t="s">
        <v>26</v>
      </c>
      <c r="C1434" s="4">
        <v>1</v>
      </c>
    </row>
    <row r="1435" spans="1:3" ht="15" thickBot="1">
      <c r="A1435" s="3" t="s">
        <v>2391</v>
      </c>
      <c r="B1435" s="3" t="s">
        <v>2372</v>
      </c>
      <c r="C1435" s="4">
        <v>1</v>
      </c>
    </row>
    <row r="1436" spans="1:3" ht="15" thickBot="1">
      <c r="A1436" s="3" t="s">
        <v>2392</v>
      </c>
      <c r="B1436" s="3" t="s">
        <v>118</v>
      </c>
      <c r="C1436" s="4">
        <v>1</v>
      </c>
    </row>
    <row r="1437" spans="1:3" ht="15" thickBot="1">
      <c r="A1437" s="3" t="s">
        <v>2393</v>
      </c>
      <c r="B1437" s="3" t="s">
        <v>118</v>
      </c>
      <c r="C1437" s="4">
        <v>1</v>
      </c>
    </row>
    <row r="1438" spans="1:3" ht="15" thickBot="1">
      <c r="A1438" s="3" t="s">
        <v>2394</v>
      </c>
      <c r="B1438" s="3" t="s">
        <v>1802</v>
      </c>
      <c r="C1438" s="4">
        <v>1</v>
      </c>
    </row>
    <row r="1439" spans="1:3" ht="15" thickBot="1">
      <c r="A1439" s="3" t="s">
        <v>1566</v>
      </c>
      <c r="B1439" s="3" t="s">
        <v>34</v>
      </c>
      <c r="C1439" s="4">
        <v>1</v>
      </c>
    </row>
    <row r="1440" spans="1:3" ht="15" thickBot="1">
      <c r="A1440" s="3" t="s">
        <v>1346</v>
      </c>
      <c r="B1440" s="3" t="s">
        <v>1802</v>
      </c>
      <c r="C1440" s="4">
        <v>1</v>
      </c>
    </row>
    <row r="1441" spans="1:3" ht="15" thickBot="1">
      <c r="A1441" s="3" t="s">
        <v>2395</v>
      </c>
      <c r="B1441" s="3" t="s">
        <v>2359</v>
      </c>
      <c r="C1441" s="4">
        <v>2</v>
      </c>
    </row>
    <row r="1442" spans="1:3" ht="15" thickBot="1">
      <c r="A1442" s="3" t="s">
        <v>1411</v>
      </c>
      <c r="B1442" s="3" t="s">
        <v>125</v>
      </c>
      <c r="C1442" s="4">
        <v>4</v>
      </c>
    </row>
    <row r="1443" spans="1:3" ht="15" thickBot="1">
      <c r="A1443" s="3" t="s">
        <v>2396</v>
      </c>
      <c r="B1443" s="3" t="s">
        <v>2359</v>
      </c>
      <c r="C1443" s="4">
        <v>2</v>
      </c>
    </row>
    <row r="1444" spans="1:3" ht="15" thickBot="1">
      <c r="A1444" s="3" t="s">
        <v>2397</v>
      </c>
      <c r="B1444" s="3" t="s">
        <v>1802</v>
      </c>
      <c r="C1444" s="4">
        <v>1</v>
      </c>
    </row>
    <row r="1445" spans="1:3" ht="15" thickBot="1">
      <c r="A1445" s="3" t="s">
        <v>2398</v>
      </c>
      <c r="B1445" s="3" t="s">
        <v>2359</v>
      </c>
      <c r="C1445" s="4">
        <v>7</v>
      </c>
    </row>
    <row r="1446" spans="1:3" ht="15" thickBot="1">
      <c r="A1446" s="3" t="s">
        <v>2399</v>
      </c>
      <c r="B1446" s="3" t="s">
        <v>2400</v>
      </c>
      <c r="C1446" s="4">
        <v>1</v>
      </c>
    </row>
    <row r="1447" spans="1:3" ht="15" thickBot="1">
      <c r="A1447" s="3" t="s">
        <v>2401</v>
      </c>
      <c r="B1447" s="3" t="s">
        <v>125</v>
      </c>
      <c r="C1447" s="4">
        <v>1</v>
      </c>
    </row>
    <row r="1448" spans="1:3" ht="15" thickBot="1">
      <c r="A1448" s="3" t="s">
        <v>2402</v>
      </c>
      <c r="B1448" s="3" t="s">
        <v>2400</v>
      </c>
      <c r="C1448" s="4">
        <v>2</v>
      </c>
    </row>
    <row r="1449" spans="1:3" ht="15" thickBot="1">
      <c r="A1449" s="3" t="s">
        <v>2403</v>
      </c>
      <c r="B1449" s="3" t="s">
        <v>1802</v>
      </c>
      <c r="C1449" s="4">
        <v>1</v>
      </c>
    </row>
    <row r="1450" spans="1:3" ht="15" thickBot="1">
      <c r="A1450" s="3" t="s">
        <v>777</v>
      </c>
      <c r="B1450" s="3" t="s">
        <v>26</v>
      </c>
      <c r="C1450" s="4">
        <v>1</v>
      </c>
    </row>
    <row r="1451" spans="1:3" ht="15" thickBot="1">
      <c r="A1451" s="3" t="s">
        <v>2404</v>
      </c>
      <c r="B1451" s="3" t="s">
        <v>26</v>
      </c>
      <c r="C1451" s="4">
        <v>1</v>
      </c>
    </row>
    <row r="1452" spans="1:3" ht="15" thickBot="1">
      <c r="A1452" s="3" t="s">
        <v>597</v>
      </c>
      <c r="B1452" s="3" t="s">
        <v>1802</v>
      </c>
      <c r="C1452" s="4">
        <v>1</v>
      </c>
    </row>
    <row r="1453" spans="1:3" ht="15" thickBot="1">
      <c r="A1453" s="3" t="s">
        <v>2405</v>
      </c>
      <c r="B1453" s="3" t="s">
        <v>138</v>
      </c>
      <c r="C1453" s="4">
        <v>1</v>
      </c>
    </row>
    <row r="1454" spans="1:3" ht="15" thickBot="1">
      <c r="A1454" s="3" t="s">
        <v>400</v>
      </c>
      <c r="B1454" s="3" t="s">
        <v>26</v>
      </c>
      <c r="C1454" s="4">
        <v>6</v>
      </c>
    </row>
    <row r="1455" spans="1:3" ht="15" thickBot="1">
      <c r="A1455" s="3" t="s">
        <v>2406</v>
      </c>
      <c r="B1455" s="3" t="s">
        <v>125</v>
      </c>
      <c r="C1455" s="4">
        <v>1</v>
      </c>
    </row>
    <row r="1456" spans="1:3" ht="15" thickBot="1">
      <c r="A1456" s="3" t="s">
        <v>1296</v>
      </c>
      <c r="B1456" s="3" t="s">
        <v>19</v>
      </c>
      <c r="C1456" s="4">
        <v>1</v>
      </c>
    </row>
    <row r="1457" spans="1:3" ht="15" thickBot="1">
      <c r="A1457" s="3" t="s">
        <v>2407</v>
      </c>
      <c r="B1457" s="3" t="s">
        <v>61</v>
      </c>
      <c r="C1457" s="4">
        <v>2</v>
      </c>
    </row>
    <row r="1458" spans="1:3" ht="15" thickBot="1">
      <c r="A1458" s="3" t="s">
        <v>1101</v>
      </c>
      <c r="B1458" s="3" t="s">
        <v>24</v>
      </c>
      <c r="C1458" s="4">
        <v>3</v>
      </c>
    </row>
    <row r="1459" spans="1:3" ht="15" thickBot="1">
      <c r="A1459" s="3" t="s">
        <v>551</v>
      </c>
      <c r="B1459" s="3" t="s">
        <v>61</v>
      </c>
      <c r="C1459" s="4">
        <v>5</v>
      </c>
    </row>
    <row r="1460" spans="1:3" ht="15" thickBot="1">
      <c r="A1460" s="3" t="s">
        <v>1431</v>
      </c>
      <c r="B1460" s="3" t="s">
        <v>61</v>
      </c>
      <c r="C1460" s="4">
        <v>1</v>
      </c>
    </row>
    <row r="1461" spans="1:3" ht="15" thickBot="1">
      <c r="A1461" s="3" t="s">
        <v>1367</v>
      </c>
      <c r="B1461" s="3" t="s">
        <v>61</v>
      </c>
      <c r="C1461" s="4">
        <v>3</v>
      </c>
    </row>
    <row r="1462" spans="1:3" ht="15" thickBot="1">
      <c r="A1462" s="3" t="s">
        <v>1536</v>
      </c>
      <c r="B1462" s="3" t="s">
        <v>61</v>
      </c>
      <c r="C1462" s="4">
        <v>1</v>
      </c>
    </row>
    <row r="1463" spans="1:3" ht="15" thickBot="1">
      <c r="A1463" s="3" t="s">
        <v>2408</v>
      </c>
      <c r="B1463" s="3" t="s">
        <v>61</v>
      </c>
      <c r="C1463" s="4">
        <v>1</v>
      </c>
    </row>
    <row r="1464" spans="1:3" ht="15" thickBot="1">
      <c r="A1464" s="3" t="s">
        <v>1137</v>
      </c>
      <c r="B1464" s="3" t="s">
        <v>61</v>
      </c>
      <c r="C1464" s="4">
        <v>4</v>
      </c>
    </row>
    <row r="1465" spans="1:3" ht="15" thickBot="1">
      <c r="A1465" s="3" t="s">
        <v>2409</v>
      </c>
      <c r="B1465" s="3" t="s">
        <v>61</v>
      </c>
      <c r="C1465" s="4">
        <v>1</v>
      </c>
    </row>
    <row r="1466" spans="1:3" ht="15" thickBot="1">
      <c r="A1466" s="3" t="s">
        <v>813</v>
      </c>
      <c r="B1466" s="3" t="s">
        <v>1802</v>
      </c>
      <c r="C1466" s="4">
        <v>15</v>
      </c>
    </row>
    <row r="1467" spans="1:3" ht="15" thickBot="1">
      <c r="A1467" s="3" t="s">
        <v>1679</v>
      </c>
      <c r="B1467" s="3" t="s">
        <v>2382</v>
      </c>
      <c r="C1467" s="4">
        <v>12</v>
      </c>
    </row>
    <row r="1468" spans="1:3" ht="15" thickBot="1">
      <c r="A1468" s="3" t="s">
        <v>377</v>
      </c>
      <c r="B1468" s="3" t="s">
        <v>61</v>
      </c>
      <c r="C1468" s="4">
        <v>4</v>
      </c>
    </row>
    <row r="1469" spans="1:3" ht="15" thickBot="1">
      <c r="A1469" s="3" t="s">
        <v>2410</v>
      </c>
      <c r="B1469" s="3" t="s">
        <v>1802</v>
      </c>
      <c r="C1469" s="4">
        <v>3</v>
      </c>
    </row>
    <row r="1470" spans="1:3" ht="15" thickBot="1">
      <c r="A1470" s="3" t="s">
        <v>2411</v>
      </c>
      <c r="B1470" s="3" t="s">
        <v>1802</v>
      </c>
      <c r="C1470" s="4">
        <v>6</v>
      </c>
    </row>
    <row r="1471" spans="1:3" ht="15" thickBot="1">
      <c r="A1471" s="3" t="s">
        <v>156</v>
      </c>
      <c r="B1471" s="3" t="s">
        <v>34</v>
      </c>
      <c r="C1471" s="4">
        <v>2</v>
      </c>
    </row>
    <row r="1472" spans="1:3" ht="15" thickBot="1">
      <c r="A1472" s="3" t="s">
        <v>503</v>
      </c>
      <c r="B1472" s="3" t="s">
        <v>2372</v>
      </c>
      <c r="C1472" s="4">
        <v>1</v>
      </c>
    </row>
    <row r="1473" spans="1:3" ht="15" thickBot="1">
      <c r="A1473" s="3" t="s">
        <v>1328</v>
      </c>
      <c r="B1473" s="3" t="s">
        <v>2372</v>
      </c>
      <c r="C1473" s="4">
        <v>3</v>
      </c>
    </row>
    <row r="1474" spans="1:3" ht="15" thickBot="1">
      <c r="A1474" s="3" t="s">
        <v>983</v>
      </c>
      <c r="B1474" s="3" t="s">
        <v>26</v>
      </c>
      <c r="C1474" s="4">
        <v>3</v>
      </c>
    </row>
    <row r="1475" spans="1:3" ht="15" thickBot="1">
      <c r="A1475" s="3" t="s">
        <v>653</v>
      </c>
      <c r="B1475" s="3" t="s">
        <v>1802</v>
      </c>
      <c r="C1475" s="4">
        <v>17</v>
      </c>
    </row>
    <row r="1476" spans="1:3" ht="15" thickBot="1">
      <c r="A1476" s="3" t="s">
        <v>308</v>
      </c>
      <c r="B1476" s="3" t="s">
        <v>1805</v>
      </c>
      <c r="C1476" s="4">
        <v>1</v>
      </c>
    </row>
    <row r="1477" spans="1:3" ht="15" thickBot="1">
      <c r="A1477" s="3" t="s">
        <v>2412</v>
      </c>
      <c r="B1477" s="3" t="s">
        <v>1802</v>
      </c>
      <c r="C1477" s="4">
        <v>4</v>
      </c>
    </row>
    <row r="1478" spans="1:3" ht="15" thickBot="1">
      <c r="A1478" s="3" t="s">
        <v>2413</v>
      </c>
      <c r="B1478" s="3" t="s">
        <v>24</v>
      </c>
      <c r="C1478" s="4">
        <v>1</v>
      </c>
    </row>
    <row r="1479" spans="1:3" ht="15" thickBot="1">
      <c r="A1479" s="3" t="s">
        <v>2414</v>
      </c>
      <c r="B1479" s="3" t="s">
        <v>1802</v>
      </c>
      <c r="C1479" s="4">
        <v>1</v>
      </c>
    </row>
    <row r="1480" spans="1:3" ht="15" thickBot="1">
      <c r="A1480" s="3" t="s">
        <v>1418</v>
      </c>
      <c r="B1480" s="3" t="s">
        <v>34</v>
      </c>
      <c r="C1480" s="4">
        <v>7</v>
      </c>
    </row>
    <row r="1481" spans="1:3" ht="15" thickBot="1">
      <c r="A1481" s="3" t="s">
        <v>1207</v>
      </c>
      <c r="B1481" s="3" t="s">
        <v>34</v>
      </c>
      <c r="C1481" s="4">
        <v>1</v>
      </c>
    </row>
    <row r="1482" spans="1:3" ht="15" thickBot="1">
      <c r="A1482" s="3" t="s">
        <v>2415</v>
      </c>
      <c r="B1482" s="3" t="s">
        <v>34</v>
      </c>
      <c r="C1482" s="4">
        <v>1</v>
      </c>
    </row>
    <row r="1483" spans="1:3" ht="15" thickBot="1">
      <c r="A1483" s="3" t="s">
        <v>1091</v>
      </c>
      <c r="B1483" s="3" t="s">
        <v>2359</v>
      </c>
      <c r="C1483" s="4">
        <v>5</v>
      </c>
    </row>
    <row r="1484" spans="1:3" ht="15" thickBot="1">
      <c r="A1484" s="3" t="s">
        <v>508</v>
      </c>
      <c r="B1484" s="3" t="s">
        <v>2372</v>
      </c>
      <c r="C1484" s="4">
        <v>1</v>
      </c>
    </row>
    <row r="1485" spans="1:3" ht="15" thickBot="1">
      <c r="A1485" s="3" t="s">
        <v>1141</v>
      </c>
      <c r="B1485" s="3" t="s">
        <v>115</v>
      </c>
      <c r="C1485" s="4">
        <v>3</v>
      </c>
    </row>
    <row r="1486" spans="1:3" ht="15" thickBot="1">
      <c r="A1486" s="3" t="s">
        <v>1174</v>
      </c>
      <c r="B1486" s="3" t="s">
        <v>1802</v>
      </c>
      <c r="C1486" s="4">
        <v>1</v>
      </c>
    </row>
    <row r="1487" spans="1:3" ht="15" thickBot="1">
      <c r="A1487" s="3" t="s">
        <v>2416</v>
      </c>
      <c r="B1487" s="3" t="s">
        <v>1802</v>
      </c>
      <c r="C1487" s="4">
        <v>1</v>
      </c>
    </row>
    <row r="1488" spans="1:3" ht="15" thickBot="1">
      <c r="A1488" s="3" t="s">
        <v>268</v>
      </c>
      <c r="B1488" s="3" t="s">
        <v>2359</v>
      </c>
      <c r="C1488" s="4">
        <v>1</v>
      </c>
    </row>
    <row r="1489" spans="1:3" ht="15" thickBot="1">
      <c r="A1489" s="3" t="s">
        <v>2417</v>
      </c>
      <c r="B1489" s="3" t="s">
        <v>118</v>
      </c>
      <c r="C1489" s="4">
        <v>1</v>
      </c>
    </row>
    <row r="1490" spans="1:3" ht="15" thickBot="1">
      <c r="A1490" s="3" t="s">
        <v>2418</v>
      </c>
      <c r="B1490" s="3" t="s">
        <v>2372</v>
      </c>
      <c r="C1490" s="4">
        <v>12</v>
      </c>
    </row>
    <row r="1491" spans="1:3" ht="15" thickBot="1">
      <c r="A1491" s="3" t="s">
        <v>1518</v>
      </c>
      <c r="B1491" s="3" t="s">
        <v>22</v>
      </c>
      <c r="C1491" s="4">
        <v>4</v>
      </c>
    </row>
    <row r="1492" spans="1:3" ht="15" thickBot="1">
      <c r="A1492" s="3" t="s">
        <v>1413</v>
      </c>
      <c r="B1492" s="3" t="s">
        <v>24</v>
      </c>
      <c r="C1492" s="4">
        <v>4</v>
      </c>
    </row>
    <row r="1493" spans="1:3" ht="15" thickBot="1">
      <c r="A1493" s="3" t="s">
        <v>2419</v>
      </c>
      <c r="B1493" s="3" t="s">
        <v>4</v>
      </c>
      <c r="C1493" s="4">
        <v>1</v>
      </c>
    </row>
    <row r="1494" spans="1:3" ht="15" thickBot="1">
      <c r="A1494" s="3" t="s">
        <v>924</v>
      </c>
      <c r="B1494" s="3" t="s">
        <v>2420</v>
      </c>
      <c r="C1494" s="4">
        <v>3</v>
      </c>
    </row>
    <row r="1495" spans="1:3" ht="15" thickBot="1">
      <c r="A1495" s="3" t="s">
        <v>2421</v>
      </c>
      <c r="B1495" s="3" t="s">
        <v>1810</v>
      </c>
      <c r="C1495" s="4">
        <v>1</v>
      </c>
    </row>
    <row r="1496" spans="1:3" ht="15" thickBot="1">
      <c r="A1496" s="3" t="s">
        <v>2422</v>
      </c>
      <c r="B1496" s="3" t="s">
        <v>34</v>
      </c>
      <c r="C1496" s="4">
        <v>1</v>
      </c>
    </row>
    <row r="1497" spans="1:3" ht="15" thickBot="1">
      <c r="A1497" s="3" t="s">
        <v>2423</v>
      </c>
      <c r="B1497" s="3" t="s">
        <v>2359</v>
      </c>
      <c r="C1497" s="4">
        <v>5</v>
      </c>
    </row>
    <row r="1498" spans="1:3" ht="15" thickBot="1">
      <c r="A1498" s="3" t="s">
        <v>2424</v>
      </c>
      <c r="B1498" s="3" t="s">
        <v>19</v>
      </c>
      <c r="C1498" s="4">
        <v>4</v>
      </c>
    </row>
    <row r="1499" spans="1:3" ht="15" thickBot="1">
      <c r="A1499" s="3" t="s">
        <v>60</v>
      </c>
      <c r="B1499" s="3" t="s">
        <v>26</v>
      </c>
      <c r="C1499" s="4">
        <v>4</v>
      </c>
    </row>
    <row r="1500" spans="1:3" ht="15" thickBot="1">
      <c r="A1500" s="3" t="s">
        <v>1017</v>
      </c>
      <c r="B1500" s="3" t="s">
        <v>2359</v>
      </c>
      <c r="C1500" s="4">
        <v>4</v>
      </c>
    </row>
    <row r="1501" spans="1:3" ht="15" thickBot="1">
      <c r="A1501" s="3" t="s">
        <v>2425</v>
      </c>
      <c r="B1501" s="3" t="s">
        <v>26</v>
      </c>
      <c r="C1501" s="4">
        <v>2</v>
      </c>
    </row>
    <row r="1502" spans="1:3" ht="15" thickBot="1">
      <c r="A1502" s="3" t="s">
        <v>1715</v>
      </c>
      <c r="B1502" s="3" t="s">
        <v>26</v>
      </c>
      <c r="C1502" s="4">
        <v>2</v>
      </c>
    </row>
    <row r="1503" spans="1:3" ht="15" thickBot="1">
      <c r="A1503" s="3" t="s">
        <v>2426</v>
      </c>
      <c r="B1503" s="3" t="s">
        <v>115</v>
      </c>
      <c r="C1503" s="4">
        <v>1</v>
      </c>
    </row>
    <row r="1504" spans="1:3" ht="15" thickBot="1">
      <c r="A1504" s="3" t="s">
        <v>2427</v>
      </c>
      <c r="B1504" s="3" t="s">
        <v>1802</v>
      </c>
      <c r="C1504" s="4">
        <v>2</v>
      </c>
    </row>
    <row r="1505" spans="1:3" ht="15" thickBot="1">
      <c r="A1505" s="3" t="s">
        <v>2428</v>
      </c>
      <c r="B1505" s="3" t="s">
        <v>1802</v>
      </c>
      <c r="C1505" s="4">
        <v>1</v>
      </c>
    </row>
    <row r="1506" spans="1:3" ht="15" thickBot="1">
      <c r="A1506" s="3" t="s">
        <v>2429</v>
      </c>
      <c r="B1506" s="3" t="s">
        <v>19</v>
      </c>
      <c r="C1506" s="4">
        <v>6</v>
      </c>
    </row>
    <row r="1507" spans="1:3" ht="15" thickBot="1">
      <c r="A1507" s="3" t="s">
        <v>2430</v>
      </c>
      <c r="B1507" s="3" t="s">
        <v>4</v>
      </c>
      <c r="C1507" s="4">
        <v>1</v>
      </c>
    </row>
    <row r="1508" spans="1:3" ht="15" thickBot="1">
      <c r="A1508" s="3" t="s">
        <v>2431</v>
      </c>
      <c r="B1508" s="3" t="s">
        <v>34</v>
      </c>
      <c r="C1508" s="4">
        <v>1</v>
      </c>
    </row>
    <row r="1509" spans="1:3" ht="15" thickBot="1">
      <c r="A1509" s="3" t="s">
        <v>2432</v>
      </c>
      <c r="B1509" s="3" t="s">
        <v>125</v>
      </c>
      <c r="C1509" s="4">
        <v>1</v>
      </c>
    </row>
    <row r="1510" spans="1:3" ht="15" thickBot="1">
      <c r="A1510" s="3" t="s">
        <v>2433</v>
      </c>
      <c r="B1510" s="6" t="s">
        <v>1806</v>
      </c>
      <c r="C1510" s="4">
        <v>1</v>
      </c>
    </row>
    <row r="1511" spans="1:3" ht="15" thickBot="1">
      <c r="A1511" s="3" t="s">
        <v>2434</v>
      </c>
      <c r="B1511" s="3" t="s">
        <v>34</v>
      </c>
      <c r="C1511" s="4">
        <v>1</v>
      </c>
    </row>
    <row r="1512" spans="1:3" ht="15" thickBot="1">
      <c r="A1512" s="3" t="s">
        <v>2435</v>
      </c>
      <c r="B1512" s="3" t="s">
        <v>24</v>
      </c>
      <c r="C1512" s="4">
        <v>1</v>
      </c>
    </row>
    <row r="1513" spans="1:3" ht="15" thickBot="1">
      <c r="A1513" s="3" t="s">
        <v>2436</v>
      </c>
      <c r="B1513" s="3" t="s">
        <v>4</v>
      </c>
      <c r="C1513" s="4">
        <v>2</v>
      </c>
    </row>
    <row r="1514" spans="1:3" ht="15" thickBot="1">
      <c r="A1514" s="3" t="s">
        <v>2437</v>
      </c>
      <c r="B1514" s="3" t="s">
        <v>410</v>
      </c>
      <c r="C1514" s="4">
        <v>2</v>
      </c>
    </row>
    <row r="1515" spans="1:3" ht="15" thickBot="1">
      <c r="A1515" s="3" t="s">
        <v>2438</v>
      </c>
      <c r="B1515" s="3" t="s">
        <v>125</v>
      </c>
      <c r="C1515" s="4">
        <v>2</v>
      </c>
    </row>
    <row r="1516" spans="1:3" ht="15" thickBot="1">
      <c r="A1516" s="3" t="s">
        <v>1564</v>
      </c>
      <c r="B1516" s="3" t="s">
        <v>34</v>
      </c>
      <c r="C1516" s="4">
        <v>2</v>
      </c>
    </row>
    <row r="1517" spans="1:3" ht="15" thickBot="1">
      <c r="A1517" s="3" t="s">
        <v>2439</v>
      </c>
      <c r="B1517" s="3" t="s">
        <v>22</v>
      </c>
      <c r="C1517" s="4">
        <v>2</v>
      </c>
    </row>
    <row r="1518" spans="1:3" ht="15" thickBot="1">
      <c r="A1518" s="3" t="s">
        <v>2440</v>
      </c>
      <c r="B1518" s="3" t="s">
        <v>61</v>
      </c>
      <c r="C1518" s="4">
        <v>2</v>
      </c>
    </row>
    <row r="1519" spans="1:3" ht="15" thickBot="1">
      <c r="A1519" s="3" t="s">
        <v>2441</v>
      </c>
      <c r="B1519" s="3" t="s">
        <v>2382</v>
      </c>
      <c r="C1519" s="4">
        <v>1</v>
      </c>
    </row>
    <row r="1520" spans="1:3" ht="15" thickBot="1">
      <c r="A1520" s="3" t="s">
        <v>2442</v>
      </c>
      <c r="B1520" s="3" t="s">
        <v>22</v>
      </c>
      <c r="C1520" s="4">
        <v>1</v>
      </c>
    </row>
    <row r="1521" spans="1:3" ht="15" thickBot="1">
      <c r="A1521" s="3" t="s">
        <v>1604</v>
      </c>
      <c r="B1521" s="3" t="s">
        <v>115</v>
      </c>
      <c r="C1521" s="4">
        <v>2</v>
      </c>
    </row>
    <row r="1522" spans="1:3" ht="15" thickBot="1">
      <c r="A1522" s="3" t="s">
        <v>2443</v>
      </c>
      <c r="B1522" s="3" t="s">
        <v>32</v>
      </c>
      <c r="C1522" s="4">
        <v>1</v>
      </c>
    </row>
    <row r="1523" spans="1:3" ht="15" thickBot="1">
      <c r="A1523" s="3" t="s">
        <v>721</v>
      </c>
      <c r="B1523" s="3" t="s">
        <v>125</v>
      </c>
      <c r="C1523" s="4">
        <v>1</v>
      </c>
    </row>
    <row r="1524" spans="1:3" ht="15" thickBot="1">
      <c r="A1524" s="3" t="s">
        <v>2444</v>
      </c>
      <c r="B1524" s="3" t="s">
        <v>1805</v>
      </c>
      <c r="C1524" s="4">
        <v>1</v>
      </c>
    </row>
    <row r="1525" spans="1:3" ht="15" thickBot="1">
      <c r="A1525" s="3" t="s">
        <v>1235</v>
      </c>
      <c r="B1525" s="3" t="s">
        <v>32</v>
      </c>
      <c r="C1525" s="4">
        <v>3</v>
      </c>
    </row>
    <row r="1526" spans="1:3" ht="15" thickBot="1">
      <c r="A1526" s="3" t="s">
        <v>2445</v>
      </c>
      <c r="B1526" s="3" t="s">
        <v>138</v>
      </c>
      <c r="C1526" s="4">
        <v>1</v>
      </c>
    </row>
    <row r="1527" spans="1:3" ht="15" thickBot="1">
      <c r="A1527" s="3" t="s">
        <v>2446</v>
      </c>
      <c r="B1527" s="3" t="s">
        <v>26</v>
      </c>
      <c r="C1527" s="4">
        <v>2</v>
      </c>
    </row>
    <row r="1528" spans="1:3" ht="15" thickBot="1">
      <c r="A1528" s="3" t="s">
        <v>2447</v>
      </c>
      <c r="B1528" s="3" t="s">
        <v>1802</v>
      </c>
      <c r="C1528" s="4">
        <v>2</v>
      </c>
    </row>
    <row r="1529" spans="1:3" ht="15" thickBot="1">
      <c r="A1529" s="3" t="s">
        <v>1543</v>
      </c>
      <c r="B1529" s="3" t="s">
        <v>1802</v>
      </c>
      <c r="C1529" s="4">
        <v>2</v>
      </c>
    </row>
    <row r="1530" spans="1:3" ht="15" thickBot="1">
      <c r="A1530" s="3" t="s">
        <v>2448</v>
      </c>
      <c r="B1530" s="3" t="s">
        <v>1802</v>
      </c>
      <c r="C1530" s="4">
        <v>2</v>
      </c>
    </row>
    <row r="1531" spans="1:3" ht="15" thickBot="1">
      <c r="A1531" s="3" t="s">
        <v>2449</v>
      </c>
      <c r="B1531" s="3" t="s">
        <v>61</v>
      </c>
      <c r="C1531" s="4">
        <v>1</v>
      </c>
    </row>
    <row r="1532" spans="1:3" ht="15" thickBot="1">
      <c r="A1532" s="3" t="s">
        <v>612</v>
      </c>
      <c r="B1532" s="3" t="s">
        <v>125</v>
      </c>
      <c r="C1532" s="4">
        <v>2</v>
      </c>
    </row>
    <row r="1533" spans="1:3" ht="15" thickBot="1">
      <c r="A1533" s="3" t="s">
        <v>2450</v>
      </c>
      <c r="B1533" s="3" t="s">
        <v>1805</v>
      </c>
      <c r="C1533" s="4">
        <v>1</v>
      </c>
    </row>
    <row r="1534" spans="1:3" ht="15" thickBot="1">
      <c r="A1534" s="3" t="s">
        <v>2451</v>
      </c>
      <c r="B1534" s="3" t="s">
        <v>1802</v>
      </c>
      <c r="C1534" s="4">
        <v>1</v>
      </c>
    </row>
    <row r="1535" spans="1:3" ht="15" thickBot="1">
      <c r="A1535" s="3" t="s">
        <v>252</v>
      </c>
      <c r="B1535" s="3" t="s">
        <v>1805</v>
      </c>
      <c r="C1535" s="4">
        <v>1</v>
      </c>
    </row>
    <row r="1536" spans="1:3" ht="15" thickBot="1">
      <c r="A1536" s="3" t="s">
        <v>2452</v>
      </c>
      <c r="B1536" s="3" t="s">
        <v>1802</v>
      </c>
      <c r="C1536" s="4">
        <v>2</v>
      </c>
    </row>
    <row r="1537" spans="1:3" ht="15" thickBot="1">
      <c r="A1537" s="3" t="s">
        <v>2453</v>
      </c>
      <c r="B1537" s="3" t="s">
        <v>1805</v>
      </c>
      <c r="C1537" s="4">
        <v>1</v>
      </c>
    </row>
    <row r="1538" spans="1:3" ht="15" thickBot="1">
      <c r="A1538" s="3" t="s">
        <v>226</v>
      </c>
      <c r="B1538" s="3" t="s">
        <v>2359</v>
      </c>
      <c r="C1538" s="4">
        <v>4</v>
      </c>
    </row>
    <row r="1539" spans="1:3" ht="15" thickBot="1">
      <c r="A1539" s="3" t="s">
        <v>2454</v>
      </c>
      <c r="B1539" s="3" t="s">
        <v>4</v>
      </c>
      <c r="C1539" s="4">
        <v>1</v>
      </c>
    </row>
    <row r="1540" spans="1:3" ht="15" thickBot="1">
      <c r="A1540" s="3" t="s">
        <v>2455</v>
      </c>
      <c r="B1540" s="3" t="s">
        <v>1810</v>
      </c>
      <c r="C1540" s="4">
        <v>10</v>
      </c>
    </row>
    <row r="1541" spans="1:3" ht="15" thickBot="1">
      <c r="A1541" s="3" t="s">
        <v>2456</v>
      </c>
      <c r="B1541" s="3" t="s">
        <v>1810</v>
      </c>
      <c r="C1541" s="4">
        <v>2</v>
      </c>
    </row>
    <row r="1542" spans="1:3" ht="15" thickBot="1">
      <c r="A1542" s="3" t="s">
        <v>2457</v>
      </c>
      <c r="B1542" s="3" t="s">
        <v>2420</v>
      </c>
      <c r="C1542" s="4">
        <v>1</v>
      </c>
    </row>
    <row r="1543" spans="1:3" ht="15" thickBot="1">
      <c r="A1543" s="3" t="s">
        <v>985</v>
      </c>
      <c r="B1543" s="3" t="s">
        <v>4</v>
      </c>
      <c r="C1543" s="4">
        <v>1</v>
      </c>
    </row>
    <row r="1544" spans="1:3" ht="15" thickBot="1">
      <c r="A1544" s="3" t="s">
        <v>1005</v>
      </c>
      <c r="B1544" s="3" t="s">
        <v>26</v>
      </c>
      <c r="C1544" s="4">
        <v>10</v>
      </c>
    </row>
    <row r="1545" spans="1:3" ht="15" thickBot="1">
      <c r="A1545" s="3" t="s">
        <v>577</v>
      </c>
      <c r="B1545" s="3" t="s">
        <v>2420</v>
      </c>
      <c r="C1545" s="4">
        <v>2</v>
      </c>
    </row>
    <row r="1546" spans="1:3" ht="15" thickBot="1">
      <c r="A1546" s="3" t="s">
        <v>1541</v>
      </c>
      <c r="B1546" s="3" t="s">
        <v>61</v>
      </c>
      <c r="C1546" s="4">
        <v>3</v>
      </c>
    </row>
    <row r="1547" spans="1:3" ht="15" thickBot="1">
      <c r="A1547" s="3" t="s">
        <v>1590</v>
      </c>
      <c r="B1547" s="3" t="s">
        <v>61</v>
      </c>
      <c r="C1547" s="4">
        <v>3</v>
      </c>
    </row>
    <row r="1548" spans="1:3" ht="15" thickBot="1">
      <c r="A1548" s="3" t="s">
        <v>2458</v>
      </c>
      <c r="B1548" s="3" t="s">
        <v>2359</v>
      </c>
      <c r="C1548" s="4">
        <v>1</v>
      </c>
    </row>
    <row r="1549" spans="1:3" ht="15" thickBot="1">
      <c r="A1549" s="3" t="s">
        <v>1611</v>
      </c>
      <c r="B1549" s="3" t="s">
        <v>2372</v>
      </c>
      <c r="C1549" s="4">
        <v>3</v>
      </c>
    </row>
    <row r="1550" spans="1:3" ht="15" thickBot="1">
      <c r="A1550" s="3" t="s">
        <v>2459</v>
      </c>
      <c r="B1550" s="3" t="s">
        <v>24</v>
      </c>
      <c r="C1550" s="4">
        <v>1</v>
      </c>
    </row>
    <row r="1551" spans="1:3" ht="15" thickBot="1">
      <c r="A1551" s="3" t="s">
        <v>1180</v>
      </c>
      <c r="B1551" s="3" t="s">
        <v>34</v>
      </c>
      <c r="C1551" s="4">
        <v>1</v>
      </c>
    </row>
    <row r="1552" spans="1:3" ht="15" thickBot="1">
      <c r="A1552" s="3" t="s">
        <v>2460</v>
      </c>
      <c r="B1552" s="3" t="s">
        <v>24</v>
      </c>
      <c r="C1552" s="4">
        <v>1</v>
      </c>
    </row>
    <row r="1553" spans="1:3" ht="15" thickBot="1">
      <c r="A1553" s="3" t="s">
        <v>2461</v>
      </c>
      <c r="B1553" s="3" t="s">
        <v>2365</v>
      </c>
      <c r="C1553" s="4">
        <v>1</v>
      </c>
    </row>
    <row r="1554" spans="1:3" ht="15" thickBot="1">
      <c r="A1554" s="3" t="s">
        <v>975</v>
      </c>
      <c r="B1554" s="3" t="s">
        <v>2359</v>
      </c>
      <c r="C1554" s="4">
        <v>1</v>
      </c>
    </row>
    <row r="1555" spans="1:3" ht="15" thickBot="1">
      <c r="A1555" s="3" t="s">
        <v>2462</v>
      </c>
      <c r="B1555" s="3" t="s">
        <v>2359</v>
      </c>
      <c r="C1555" s="4">
        <v>1</v>
      </c>
    </row>
    <row r="1556" spans="1:3" ht="15" thickBot="1">
      <c r="A1556" s="3" t="s">
        <v>2463</v>
      </c>
      <c r="B1556" s="3" t="s">
        <v>2359</v>
      </c>
      <c r="C1556" s="4">
        <v>1</v>
      </c>
    </row>
    <row r="1557" spans="1:3" ht="15" thickBot="1">
      <c r="A1557" s="3" t="s">
        <v>2464</v>
      </c>
      <c r="B1557" s="3" t="s">
        <v>2372</v>
      </c>
      <c r="C1557" s="4">
        <v>8</v>
      </c>
    </row>
    <row r="1558" spans="1:3" ht="15" thickBot="1">
      <c r="A1558" s="3" t="s">
        <v>2465</v>
      </c>
      <c r="B1558" s="3" t="s">
        <v>2382</v>
      </c>
      <c r="C1558" s="4">
        <v>1</v>
      </c>
    </row>
    <row r="1559" spans="1:3" ht="15" thickBot="1">
      <c r="A1559" s="3" t="s">
        <v>1744</v>
      </c>
      <c r="B1559" s="3" t="s">
        <v>26</v>
      </c>
      <c r="C1559" s="4">
        <v>2</v>
      </c>
    </row>
    <row r="1560" spans="1:3" ht="15" thickBot="1">
      <c r="A1560" s="3" t="s">
        <v>1412</v>
      </c>
      <c r="B1560" s="3" t="s">
        <v>2359</v>
      </c>
      <c r="C1560" s="4">
        <v>4</v>
      </c>
    </row>
    <row r="1561" spans="1:3" ht="15" thickBot="1">
      <c r="A1561" s="3" t="s">
        <v>2466</v>
      </c>
      <c r="B1561" s="3" t="s">
        <v>34</v>
      </c>
      <c r="C1561" s="4">
        <v>3</v>
      </c>
    </row>
    <row r="1562" spans="1:3" ht="15" thickBot="1">
      <c r="A1562" s="3" t="s">
        <v>2467</v>
      </c>
      <c r="B1562" s="3" t="s">
        <v>2359</v>
      </c>
      <c r="C1562" s="4">
        <v>2</v>
      </c>
    </row>
    <row r="1563" spans="1:3" ht="15" thickBot="1">
      <c r="A1563" s="3" t="s">
        <v>2468</v>
      </c>
      <c r="B1563" s="3" t="s">
        <v>1802</v>
      </c>
      <c r="C1563" s="4">
        <v>1</v>
      </c>
    </row>
    <row r="1564" spans="1:3" ht="15" thickBot="1">
      <c r="A1564" s="3" t="s">
        <v>1153</v>
      </c>
      <c r="B1564" s="3" t="s">
        <v>125</v>
      </c>
      <c r="C1564" s="4">
        <v>2</v>
      </c>
    </row>
    <row r="1565" spans="1:3" ht="15" thickBot="1">
      <c r="A1565" s="3" t="s">
        <v>1351</v>
      </c>
      <c r="B1565" s="3" t="s">
        <v>34</v>
      </c>
      <c r="C1565" s="4">
        <v>3</v>
      </c>
    </row>
    <row r="1566" spans="1:3" ht="15" thickBot="1">
      <c r="A1566" s="3" t="s">
        <v>1521</v>
      </c>
      <c r="B1566" s="3" t="s">
        <v>125</v>
      </c>
      <c r="C1566" s="4">
        <v>1</v>
      </c>
    </row>
    <row r="1567" spans="1:3" ht="15" thickBot="1">
      <c r="A1567" s="3" t="s">
        <v>2469</v>
      </c>
      <c r="B1567" s="3" t="s">
        <v>2365</v>
      </c>
      <c r="C1567" s="4">
        <v>1</v>
      </c>
    </row>
    <row r="1568" spans="1:3" ht="15" thickBot="1">
      <c r="A1568" s="3" t="s">
        <v>42</v>
      </c>
      <c r="B1568" s="3" t="s">
        <v>2365</v>
      </c>
      <c r="C1568" s="4">
        <v>2</v>
      </c>
    </row>
    <row r="1569" spans="1:3" ht="15" thickBot="1">
      <c r="A1569" s="3" t="s">
        <v>2470</v>
      </c>
      <c r="B1569" s="3" t="s">
        <v>26</v>
      </c>
      <c r="C1569" s="4">
        <v>3</v>
      </c>
    </row>
    <row r="1570" spans="1:3" ht="15" thickBot="1">
      <c r="A1570" s="3" t="s">
        <v>2471</v>
      </c>
      <c r="B1570" s="3" t="s">
        <v>61</v>
      </c>
      <c r="C1570" s="4">
        <v>3</v>
      </c>
    </row>
    <row r="1571" spans="1:3" ht="15" thickBot="1">
      <c r="A1571" s="3" t="s">
        <v>1055</v>
      </c>
      <c r="B1571" s="3" t="s">
        <v>61</v>
      </c>
      <c r="C1571" s="4">
        <v>3</v>
      </c>
    </row>
    <row r="1572" spans="1:3" ht="15" thickBot="1">
      <c r="A1572" s="3" t="s">
        <v>2472</v>
      </c>
      <c r="B1572" s="3" t="s">
        <v>61</v>
      </c>
      <c r="C1572" s="4">
        <v>3</v>
      </c>
    </row>
    <row r="1573" spans="1:3" ht="15" thickBot="1">
      <c r="A1573" s="3" t="s">
        <v>659</v>
      </c>
      <c r="B1573" s="3" t="s">
        <v>61</v>
      </c>
      <c r="C1573" s="4">
        <v>1</v>
      </c>
    </row>
    <row r="1574" spans="1:3" ht="15" thickBot="1">
      <c r="A1574" s="3" t="s">
        <v>2473</v>
      </c>
      <c r="B1574" s="3" t="s">
        <v>2359</v>
      </c>
      <c r="C1574" s="4">
        <v>1</v>
      </c>
    </row>
    <row r="1575" spans="1:3" ht="15" thickBot="1">
      <c r="A1575" s="3" t="s">
        <v>409</v>
      </c>
      <c r="B1575" s="3" t="s">
        <v>410</v>
      </c>
      <c r="C1575" s="4">
        <v>2</v>
      </c>
    </row>
    <row r="1576" spans="1:3" ht="15" thickBot="1">
      <c r="A1576" s="3" t="s">
        <v>1035</v>
      </c>
      <c r="B1576" s="3" t="s">
        <v>19</v>
      </c>
      <c r="C1576" s="4">
        <v>3</v>
      </c>
    </row>
    <row r="1577" spans="1:3" ht="15" thickBot="1">
      <c r="A1577" s="3" t="s">
        <v>2474</v>
      </c>
      <c r="B1577" s="3" t="s">
        <v>2359</v>
      </c>
      <c r="C1577" s="4">
        <v>1</v>
      </c>
    </row>
    <row r="1578" spans="1:3" ht="15" thickBot="1">
      <c r="A1578" s="3" t="s">
        <v>2475</v>
      </c>
      <c r="B1578" s="3" t="s">
        <v>2372</v>
      </c>
      <c r="C1578" s="4">
        <v>1</v>
      </c>
    </row>
    <row r="1579" spans="1:3" ht="15" thickBot="1">
      <c r="A1579" s="3" t="s">
        <v>2476</v>
      </c>
      <c r="B1579" s="3" t="s">
        <v>1802</v>
      </c>
      <c r="C1579" s="4">
        <v>2</v>
      </c>
    </row>
    <row r="1580" spans="1:3" ht="15" thickBot="1">
      <c r="A1580" s="3" t="s">
        <v>1290</v>
      </c>
      <c r="B1580" s="3" t="s">
        <v>1802</v>
      </c>
      <c r="C1580" s="4">
        <v>2</v>
      </c>
    </row>
    <row r="1581" spans="1:3" ht="15" thickBot="1">
      <c r="A1581" s="3" t="s">
        <v>2477</v>
      </c>
      <c r="B1581" s="3" t="s">
        <v>32</v>
      </c>
      <c r="C1581" s="4">
        <v>3</v>
      </c>
    </row>
    <row r="1582" spans="1:3" ht="15" thickBot="1">
      <c r="A1582" s="3" t="s">
        <v>2478</v>
      </c>
      <c r="B1582" s="3" t="s">
        <v>2372</v>
      </c>
      <c r="C1582" s="4">
        <v>3</v>
      </c>
    </row>
    <row r="1583" spans="1:3" ht="15" thickBot="1">
      <c r="A1583" s="3" t="s">
        <v>806</v>
      </c>
      <c r="B1583" s="3" t="s">
        <v>2359</v>
      </c>
      <c r="C1583" s="4">
        <v>1</v>
      </c>
    </row>
    <row r="1584" spans="1:3" ht="15" thickBot="1">
      <c r="A1584" s="3" t="s">
        <v>709</v>
      </c>
      <c r="B1584" s="3" t="s">
        <v>1802</v>
      </c>
      <c r="C1584" s="4">
        <v>8</v>
      </c>
    </row>
    <row r="1585" spans="1:3" ht="15" thickBot="1">
      <c r="A1585" s="3" t="s">
        <v>2479</v>
      </c>
      <c r="B1585" s="3" t="s">
        <v>34</v>
      </c>
      <c r="C1585" s="4">
        <v>1</v>
      </c>
    </row>
    <row r="1586" spans="1:3" ht="15" thickBot="1">
      <c r="A1586" s="3" t="s">
        <v>1682</v>
      </c>
      <c r="B1586" s="3" t="s">
        <v>61</v>
      </c>
      <c r="C1586" s="4">
        <v>3</v>
      </c>
    </row>
    <row r="1587" spans="1:3" ht="15" thickBot="1">
      <c r="A1587" s="3" t="s">
        <v>2480</v>
      </c>
      <c r="B1587" s="3" t="s">
        <v>61</v>
      </c>
      <c r="C1587" s="4">
        <v>1</v>
      </c>
    </row>
    <row r="1588" spans="1:3" ht="15" thickBot="1">
      <c r="A1588" s="3" t="s">
        <v>2481</v>
      </c>
      <c r="B1588" s="3" t="s">
        <v>1802</v>
      </c>
      <c r="C1588" s="4">
        <v>2</v>
      </c>
    </row>
    <row r="1589" spans="1:3" ht="15" thickBot="1">
      <c r="A1589" s="3" t="s">
        <v>1085</v>
      </c>
      <c r="B1589" s="3" t="s">
        <v>2359</v>
      </c>
      <c r="C1589" s="4">
        <v>4</v>
      </c>
    </row>
    <row r="1590" spans="1:3" ht="15" thickBot="1">
      <c r="A1590" s="3" t="s">
        <v>2482</v>
      </c>
      <c r="B1590" s="3" t="s">
        <v>2359</v>
      </c>
      <c r="C1590" s="4">
        <v>3</v>
      </c>
    </row>
    <row r="1591" spans="1:3" ht="15" thickBot="1">
      <c r="A1591" s="3" t="s">
        <v>2483</v>
      </c>
      <c r="B1591" s="3" t="s">
        <v>22</v>
      </c>
      <c r="C1591" s="4">
        <v>3</v>
      </c>
    </row>
    <row r="1592" spans="1:3" ht="15" thickBot="1">
      <c r="A1592" s="3" t="s">
        <v>2484</v>
      </c>
      <c r="B1592" s="3" t="s">
        <v>1802</v>
      </c>
      <c r="C1592" s="4">
        <v>4</v>
      </c>
    </row>
    <row r="1593" spans="1:3" ht="15" thickBot="1">
      <c r="A1593" s="3" t="s">
        <v>2485</v>
      </c>
      <c r="B1593" s="3" t="s">
        <v>1802</v>
      </c>
      <c r="C1593" s="4">
        <v>2</v>
      </c>
    </row>
    <row r="1594" spans="1:3" ht="15" thickBot="1">
      <c r="A1594" s="3" t="s">
        <v>2486</v>
      </c>
      <c r="B1594" s="3" t="s">
        <v>125</v>
      </c>
      <c r="C1594" s="4">
        <v>1</v>
      </c>
    </row>
    <row r="1595" spans="1:3" ht="15" thickBot="1">
      <c r="A1595" s="3" t="s">
        <v>2487</v>
      </c>
      <c r="B1595" s="3" t="s">
        <v>1947</v>
      </c>
      <c r="C1595" s="4">
        <v>1</v>
      </c>
    </row>
    <row r="1596" spans="1:3" ht="15" thickBot="1">
      <c r="A1596" s="3" t="s">
        <v>2488</v>
      </c>
      <c r="B1596" s="3" t="s">
        <v>24</v>
      </c>
      <c r="C1596" s="4">
        <v>1</v>
      </c>
    </row>
    <row r="1597" spans="1:3" ht="15" thickBot="1">
      <c r="A1597" s="3" t="s">
        <v>2489</v>
      </c>
      <c r="B1597" s="3" t="s">
        <v>22</v>
      </c>
      <c r="C1597" s="4">
        <v>1</v>
      </c>
    </row>
    <row r="1598" spans="1:3" ht="15" thickBot="1">
      <c r="A1598" s="3" t="s">
        <v>2490</v>
      </c>
      <c r="B1598" s="3" t="s">
        <v>1802</v>
      </c>
      <c r="C1598" s="4">
        <v>2</v>
      </c>
    </row>
    <row r="1599" spans="1:3" ht="15" thickBot="1">
      <c r="A1599" s="3" t="s">
        <v>2491</v>
      </c>
      <c r="B1599" s="3" t="s">
        <v>118</v>
      </c>
      <c r="C1599" s="4">
        <v>1</v>
      </c>
    </row>
    <row r="1600" spans="1:3" ht="15" thickBot="1">
      <c r="A1600" s="3" t="s">
        <v>2492</v>
      </c>
      <c r="B1600" s="3" t="s">
        <v>1810</v>
      </c>
      <c r="C1600" s="4">
        <v>1</v>
      </c>
    </row>
    <row r="1601" spans="1:3" ht="15" thickBot="1">
      <c r="A1601" s="3" t="s">
        <v>2493</v>
      </c>
      <c r="B1601" s="3" t="s">
        <v>24</v>
      </c>
      <c r="C1601" s="4">
        <v>1</v>
      </c>
    </row>
    <row r="1602" spans="1:3" ht="15" thickBot="1">
      <c r="A1602" s="3" t="s">
        <v>2494</v>
      </c>
      <c r="B1602" s="3" t="s">
        <v>2372</v>
      </c>
      <c r="C1602" s="4">
        <v>1</v>
      </c>
    </row>
    <row r="1603" spans="1:3" ht="15" thickBot="1">
      <c r="A1603" s="3" t="s">
        <v>260</v>
      </c>
      <c r="B1603" s="3" t="s">
        <v>2420</v>
      </c>
      <c r="C1603" s="4">
        <v>8</v>
      </c>
    </row>
    <row r="1604" spans="1:3" ht="15" thickBot="1">
      <c r="A1604" s="3" t="s">
        <v>1195</v>
      </c>
      <c r="B1604" s="3" t="s">
        <v>22</v>
      </c>
      <c r="C1604" s="4">
        <v>1</v>
      </c>
    </row>
    <row r="1605" spans="1:3" ht="15" thickBot="1">
      <c r="A1605" s="3" t="s">
        <v>2495</v>
      </c>
      <c r="B1605" s="3" t="s">
        <v>1802</v>
      </c>
      <c r="C1605" s="4">
        <v>3</v>
      </c>
    </row>
    <row r="1606" spans="1:3" ht="15" thickBot="1">
      <c r="A1606" s="3" t="s">
        <v>2496</v>
      </c>
      <c r="B1606" s="3" t="s">
        <v>34</v>
      </c>
      <c r="C1606" s="4">
        <v>1</v>
      </c>
    </row>
    <row r="1607" spans="1:3" ht="15" thickBot="1">
      <c r="A1607" s="3" t="s">
        <v>2497</v>
      </c>
      <c r="B1607" s="3" t="s">
        <v>1802</v>
      </c>
      <c r="C1607" s="4">
        <v>1</v>
      </c>
    </row>
    <row r="1608" spans="1:3" ht="15" thickBot="1">
      <c r="A1608" s="3" t="s">
        <v>1282</v>
      </c>
      <c r="B1608" s="3" t="s">
        <v>24</v>
      </c>
      <c r="C1608" s="4">
        <v>2</v>
      </c>
    </row>
    <row r="1609" spans="1:3" ht="15" thickBot="1">
      <c r="A1609" s="3" t="s">
        <v>2498</v>
      </c>
      <c r="B1609" s="3" t="s">
        <v>34</v>
      </c>
      <c r="C1609" s="4">
        <v>1</v>
      </c>
    </row>
    <row r="1610" spans="1:3" ht="15" thickBot="1">
      <c r="A1610" s="3" t="s">
        <v>2499</v>
      </c>
      <c r="B1610" s="3" t="s">
        <v>410</v>
      </c>
      <c r="C1610" s="4">
        <v>2</v>
      </c>
    </row>
    <row r="1611" spans="1:3" ht="15" thickBot="1">
      <c r="A1611" s="3" t="s">
        <v>2500</v>
      </c>
      <c r="B1611" s="3" t="s">
        <v>1802</v>
      </c>
      <c r="C1611" s="4">
        <v>1</v>
      </c>
    </row>
    <row r="1612" spans="1:3" ht="15" thickBot="1">
      <c r="A1612" s="3" t="s">
        <v>2501</v>
      </c>
      <c r="B1612" s="3" t="s">
        <v>2420</v>
      </c>
      <c r="C1612" s="4">
        <v>1</v>
      </c>
    </row>
    <row r="1613" spans="1:3" ht="15" thickBot="1">
      <c r="A1613" s="3" t="s">
        <v>2502</v>
      </c>
      <c r="B1613" s="3" t="s">
        <v>2420</v>
      </c>
      <c r="C1613" s="4">
        <v>2</v>
      </c>
    </row>
    <row r="1614" spans="1:3" ht="15" thickBot="1">
      <c r="A1614" s="3" t="s">
        <v>2503</v>
      </c>
      <c r="B1614" s="3" t="s">
        <v>26</v>
      </c>
      <c r="C1614" s="4">
        <v>1</v>
      </c>
    </row>
    <row r="1615" spans="1:3" ht="15" thickBot="1">
      <c r="A1615" s="3" t="s">
        <v>1684</v>
      </c>
      <c r="B1615" s="3" t="s">
        <v>4</v>
      </c>
      <c r="C1615" s="4">
        <v>1</v>
      </c>
    </row>
    <row r="1616" spans="1:3" ht="15" thickBot="1">
      <c r="A1616" s="3" t="s">
        <v>1569</v>
      </c>
      <c r="B1616" s="3" t="s">
        <v>125</v>
      </c>
      <c r="C1616" s="4">
        <v>1</v>
      </c>
    </row>
    <row r="1617" spans="1:3" ht="15" thickBot="1">
      <c r="A1617" s="3" t="s">
        <v>2504</v>
      </c>
      <c r="B1617" s="3" t="s">
        <v>1802</v>
      </c>
      <c r="C1617" s="4">
        <v>2</v>
      </c>
    </row>
    <row r="1618" spans="1:3" ht="15" thickBot="1">
      <c r="A1618" s="3" t="s">
        <v>1056</v>
      </c>
      <c r="B1618" s="3" t="s">
        <v>2420</v>
      </c>
      <c r="C1618" s="4">
        <v>8</v>
      </c>
    </row>
    <row r="1619" spans="1:3" ht="15" thickBot="1">
      <c r="A1619" s="3" t="s">
        <v>2505</v>
      </c>
      <c r="B1619" s="3" t="s">
        <v>2372</v>
      </c>
      <c r="C1619" s="4">
        <v>1</v>
      </c>
    </row>
    <row r="1620" spans="1:3" ht="15" thickBot="1">
      <c r="A1620" s="3" t="s">
        <v>1219</v>
      </c>
      <c r="B1620" s="3" t="s">
        <v>61</v>
      </c>
      <c r="C1620" s="4">
        <v>3</v>
      </c>
    </row>
    <row r="1621" spans="1:3" ht="15" thickBot="1">
      <c r="A1621" s="3" t="s">
        <v>1523</v>
      </c>
      <c r="B1621" s="3" t="s">
        <v>2372</v>
      </c>
      <c r="C1621" s="4">
        <v>1</v>
      </c>
    </row>
    <row r="1622" spans="1:3" ht="15" thickBot="1">
      <c r="A1622" s="3" t="s">
        <v>2506</v>
      </c>
      <c r="B1622" s="3" t="s">
        <v>26</v>
      </c>
      <c r="C1622" s="4">
        <v>2</v>
      </c>
    </row>
    <row r="1623" spans="1:3" ht="15" thickBot="1">
      <c r="A1623" s="3" t="s">
        <v>1143</v>
      </c>
      <c r="B1623" s="3" t="s">
        <v>125</v>
      </c>
      <c r="C1623" s="4">
        <v>2</v>
      </c>
    </row>
    <row r="1624" spans="1:3" ht="15" thickBot="1">
      <c r="A1624" s="3" t="s">
        <v>2507</v>
      </c>
      <c r="B1624" s="3" t="s">
        <v>61</v>
      </c>
      <c r="C1624" s="4">
        <v>1</v>
      </c>
    </row>
    <row r="1625" spans="1:3" ht="15" thickBot="1">
      <c r="A1625" s="3" t="s">
        <v>145</v>
      </c>
      <c r="B1625" s="3" t="s">
        <v>2382</v>
      </c>
      <c r="C1625" s="4">
        <v>3</v>
      </c>
    </row>
    <row r="1626" spans="1:3" ht="15" thickBot="1">
      <c r="A1626" s="3" t="s">
        <v>2508</v>
      </c>
      <c r="B1626" s="3" t="s">
        <v>1810</v>
      </c>
      <c r="C1626" s="4">
        <v>1</v>
      </c>
    </row>
    <row r="1627" spans="1:3" ht="15" thickBot="1">
      <c r="A1627" s="3" t="s">
        <v>2509</v>
      </c>
      <c r="B1627" s="3" t="s">
        <v>4</v>
      </c>
      <c r="C1627" s="4">
        <v>1</v>
      </c>
    </row>
    <row r="1628" spans="1:3" ht="15" thickBot="1">
      <c r="A1628" s="3" t="s">
        <v>1665</v>
      </c>
      <c r="B1628" s="3" t="s">
        <v>4</v>
      </c>
      <c r="C1628" s="4">
        <v>2</v>
      </c>
    </row>
    <row r="1629" spans="1:3" ht="15" thickBot="1">
      <c r="A1629" s="3" t="s">
        <v>2510</v>
      </c>
      <c r="B1629" s="3" t="s">
        <v>4</v>
      </c>
      <c r="C1629" s="4">
        <v>5</v>
      </c>
    </row>
    <row r="1630" spans="1:3" ht="15" thickBot="1">
      <c r="A1630" s="3" t="s">
        <v>292</v>
      </c>
      <c r="B1630" s="3" t="s">
        <v>24</v>
      </c>
      <c r="C1630" s="4">
        <v>1</v>
      </c>
    </row>
    <row r="1631" spans="1:3" ht="15" thickBot="1">
      <c r="A1631" s="3" t="s">
        <v>676</v>
      </c>
      <c r="B1631" s="3" t="s">
        <v>125</v>
      </c>
      <c r="C1631" s="4">
        <v>2</v>
      </c>
    </row>
    <row r="1632" spans="1:3" ht="15" thickBot="1">
      <c r="A1632" s="3" t="s">
        <v>2511</v>
      </c>
      <c r="B1632" s="3" t="s">
        <v>125</v>
      </c>
      <c r="C1632" s="4">
        <v>1</v>
      </c>
    </row>
    <row r="1633" spans="1:3" ht="15" thickBot="1">
      <c r="A1633" s="3" t="s">
        <v>2512</v>
      </c>
      <c r="B1633" s="3" t="s">
        <v>1802</v>
      </c>
      <c r="C1633" s="4">
        <v>1</v>
      </c>
    </row>
    <row r="1634" spans="1:3" ht="15" thickBot="1">
      <c r="A1634" s="3" t="s">
        <v>2513</v>
      </c>
      <c r="B1634" s="3" t="s">
        <v>115</v>
      </c>
      <c r="C1634" s="4">
        <v>1</v>
      </c>
    </row>
    <row r="1635" spans="1:3" ht="15" thickBot="1">
      <c r="A1635" s="3" t="s">
        <v>1358</v>
      </c>
      <c r="B1635" s="3" t="s">
        <v>24</v>
      </c>
      <c r="C1635" s="4">
        <v>3</v>
      </c>
    </row>
    <row r="1636" spans="1:3" ht="15" thickBot="1">
      <c r="A1636" s="3" t="s">
        <v>1245</v>
      </c>
      <c r="B1636" s="3" t="s">
        <v>32</v>
      </c>
      <c r="C1636" s="4">
        <v>1</v>
      </c>
    </row>
    <row r="1637" spans="1:3" ht="15" thickBot="1">
      <c r="A1637" s="3" t="s">
        <v>221</v>
      </c>
      <c r="B1637" s="3" t="s">
        <v>32</v>
      </c>
      <c r="C1637" s="4">
        <v>1</v>
      </c>
    </row>
    <row r="1638" spans="1:3" ht="15" thickBot="1">
      <c r="A1638" s="3" t="s">
        <v>2514</v>
      </c>
      <c r="B1638" s="3" t="s">
        <v>2359</v>
      </c>
      <c r="C1638" s="4">
        <v>1</v>
      </c>
    </row>
    <row r="1639" spans="1:3" ht="15" thickBot="1">
      <c r="A1639" s="3" t="s">
        <v>970</v>
      </c>
      <c r="B1639" s="3" t="s">
        <v>2372</v>
      </c>
      <c r="C1639" s="4">
        <v>5</v>
      </c>
    </row>
    <row r="1640" spans="1:3" ht="15" thickBot="1">
      <c r="A1640" s="3" t="s">
        <v>600</v>
      </c>
      <c r="B1640" s="3" t="s">
        <v>2400</v>
      </c>
      <c r="C1640" s="4">
        <v>1</v>
      </c>
    </row>
    <row r="1641" spans="1:3" ht="15" thickBot="1">
      <c r="A1641" s="3" t="s">
        <v>2515</v>
      </c>
      <c r="B1641" s="3" t="s">
        <v>61</v>
      </c>
      <c r="C1641" s="4">
        <v>1</v>
      </c>
    </row>
    <row r="1642" spans="1:3" ht="15" thickBot="1">
      <c r="A1642" s="3" t="s">
        <v>2516</v>
      </c>
      <c r="B1642" s="3" t="s">
        <v>61</v>
      </c>
      <c r="C1642" s="4">
        <v>4</v>
      </c>
    </row>
    <row r="1643" spans="1:3" ht="15" thickBot="1">
      <c r="A1643" s="3" t="s">
        <v>2517</v>
      </c>
      <c r="B1643" s="3" t="s">
        <v>125</v>
      </c>
      <c r="C1643" s="4">
        <v>1</v>
      </c>
    </row>
    <row r="1644" spans="1:3" ht="15" thickBot="1">
      <c r="A1644" s="3" t="s">
        <v>195</v>
      </c>
      <c r="B1644" s="3" t="s">
        <v>26</v>
      </c>
      <c r="C1644" s="4">
        <v>2</v>
      </c>
    </row>
    <row r="1645" spans="1:3" ht="15" thickBot="1">
      <c r="A1645" s="3" t="s">
        <v>2518</v>
      </c>
      <c r="B1645" s="3" t="s">
        <v>22</v>
      </c>
      <c r="C1645" s="4">
        <v>1</v>
      </c>
    </row>
    <row r="1646" spans="1:3" ht="15" thickBot="1">
      <c r="A1646" s="3" t="s">
        <v>2519</v>
      </c>
      <c r="B1646" s="3" t="s">
        <v>125</v>
      </c>
      <c r="C1646" s="4">
        <v>1</v>
      </c>
    </row>
    <row r="1647" spans="1:3" ht="15" thickBot="1">
      <c r="A1647" s="3" t="s">
        <v>2520</v>
      </c>
      <c r="B1647" s="3" t="s">
        <v>2372</v>
      </c>
      <c r="C1647" s="4">
        <v>1</v>
      </c>
    </row>
    <row r="1648" spans="1:3" ht="15" thickBot="1">
      <c r="A1648" s="3" t="s">
        <v>1378</v>
      </c>
      <c r="B1648" s="3" t="s">
        <v>24</v>
      </c>
      <c r="C1648" s="4">
        <v>6</v>
      </c>
    </row>
    <row r="1649" spans="1:3" ht="15" thickBot="1">
      <c r="A1649" s="3" t="s">
        <v>778</v>
      </c>
      <c r="B1649" s="3" t="s">
        <v>61</v>
      </c>
      <c r="C1649" s="4">
        <v>2</v>
      </c>
    </row>
    <row r="1650" spans="1:3" ht="15" thickBot="1">
      <c r="A1650" s="3" t="s">
        <v>2521</v>
      </c>
      <c r="B1650" s="3" t="s">
        <v>118</v>
      </c>
      <c r="C1650" s="4">
        <v>2</v>
      </c>
    </row>
    <row r="1651" spans="1:3" ht="15" thickBot="1">
      <c r="A1651" s="3" t="s">
        <v>2522</v>
      </c>
      <c r="B1651" s="3" t="s">
        <v>1802</v>
      </c>
      <c r="C1651" s="4">
        <v>1</v>
      </c>
    </row>
    <row r="1652" spans="1:3" ht="15" thickBot="1">
      <c r="A1652" s="3" t="s">
        <v>2523</v>
      </c>
      <c r="B1652" s="3" t="s">
        <v>410</v>
      </c>
      <c r="C1652" s="4">
        <v>2</v>
      </c>
    </row>
    <row r="1653" spans="1:3" ht="15" thickBot="1">
      <c r="A1653" s="3" t="s">
        <v>2524</v>
      </c>
      <c r="B1653" s="3" t="s">
        <v>125</v>
      </c>
      <c r="C1653" s="4">
        <v>1</v>
      </c>
    </row>
    <row r="1654" spans="1:3" ht="15" thickBot="1">
      <c r="A1654" s="3" t="s">
        <v>810</v>
      </c>
      <c r="B1654" s="3" t="s">
        <v>1802</v>
      </c>
      <c r="C1654" s="4">
        <v>2</v>
      </c>
    </row>
    <row r="1655" spans="1:3" ht="15" thickBot="1">
      <c r="A1655" s="3" t="s">
        <v>2525</v>
      </c>
      <c r="B1655" s="3" t="s">
        <v>138</v>
      </c>
      <c r="C1655" s="4">
        <v>1</v>
      </c>
    </row>
    <row r="1656" spans="1:3" ht="15" thickBot="1">
      <c r="A1656" s="3" t="s">
        <v>2526</v>
      </c>
      <c r="B1656" s="3" t="s">
        <v>61</v>
      </c>
      <c r="C1656" s="4">
        <v>1</v>
      </c>
    </row>
    <row r="1657" spans="1:3" ht="15" thickBot="1">
      <c r="A1657" s="3" t="s">
        <v>2527</v>
      </c>
      <c r="B1657" s="3" t="s">
        <v>61</v>
      </c>
      <c r="C1657" s="4">
        <v>1</v>
      </c>
    </row>
    <row r="1658" spans="1:3" ht="15" thickBot="1">
      <c r="A1658" s="3" t="s">
        <v>2528</v>
      </c>
      <c r="B1658" s="3" t="s">
        <v>2359</v>
      </c>
      <c r="C1658" s="4">
        <v>2</v>
      </c>
    </row>
    <row r="1659" spans="1:3" ht="15" thickBot="1">
      <c r="A1659" s="3" t="s">
        <v>2529</v>
      </c>
      <c r="B1659" s="3" t="s">
        <v>26</v>
      </c>
      <c r="C1659" s="4">
        <v>1</v>
      </c>
    </row>
    <row r="1660" spans="1:3" ht="15" thickBot="1">
      <c r="A1660" s="3" t="s">
        <v>2530</v>
      </c>
      <c r="B1660" s="3" t="s">
        <v>26</v>
      </c>
      <c r="C1660" s="4">
        <v>1</v>
      </c>
    </row>
    <row r="1661" spans="1:3" ht="15" thickBot="1">
      <c r="A1661" s="3" t="s">
        <v>2531</v>
      </c>
      <c r="B1661" s="3" t="s">
        <v>410</v>
      </c>
      <c r="C1661" s="4">
        <v>2</v>
      </c>
    </row>
    <row r="1662" spans="1:3" ht="15" thickBot="1">
      <c r="A1662" s="3" t="s">
        <v>1686</v>
      </c>
      <c r="B1662" s="3" t="s">
        <v>4</v>
      </c>
      <c r="C1662" s="4">
        <v>2</v>
      </c>
    </row>
    <row r="1663" spans="1:3" ht="15" thickBot="1">
      <c r="A1663" s="3" t="s">
        <v>182</v>
      </c>
      <c r="B1663" s="3" t="s">
        <v>34</v>
      </c>
      <c r="C1663" s="4">
        <v>1</v>
      </c>
    </row>
    <row r="1664" spans="1:3" ht="15" thickBot="1">
      <c r="A1664" s="3" t="s">
        <v>323</v>
      </c>
      <c r="B1664" s="3" t="s">
        <v>2359</v>
      </c>
      <c r="C1664" s="4">
        <v>1</v>
      </c>
    </row>
    <row r="1665" spans="1:3" ht="15" thickBot="1">
      <c r="A1665" s="3" t="s">
        <v>2532</v>
      </c>
      <c r="B1665" s="3" t="s">
        <v>19</v>
      </c>
      <c r="C1665" s="4">
        <v>1</v>
      </c>
    </row>
    <row r="1666" spans="1:3" ht="15" thickBot="1">
      <c r="A1666" s="3" t="s">
        <v>2533</v>
      </c>
      <c r="B1666" s="3" t="s">
        <v>2359</v>
      </c>
      <c r="C1666" s="4">
        <v>2</v>
      </c>
    </row>
    <row r="1667" spans="1:3" ht="15" thickBot="1">
      <c r="A1667" s="3" t="s">
        <v>724</v>
      </c>
      <c r="B1667" s="3" t="s">
        <v>1805</v>
      </c>
      <c r="C1667" s="4">
        <v>6</v>
      </c>
    </row>
    <row r="1668" spans="1:3" ht="15" thickBot="1">
      <c r="A1668" s="3" t="s">
        <v>2534</v>
      </c>
      <c r="B1668" s="3" t="s">
        <v>2359</v>
      </c>
      <c r="C1668" s="4">
        <v>3</v>
      </c>
    </row>
    <row r="1669" spans="1:3" ht="15" thickBot="1">
      <c r="A1669" s="3" t="s">
        <v>2535</v>
      </c>
      <c r="B1669" s="3" t="s">
        <v>1810</v>
      </c>
      <c r="C1669" s="4">
        <v>2</v>
      </c>
    </row>
    <row r="1670" spans="1:3" ht="15" thickBot="1">
      <c r="A1670" s="3" t="s">
        <v>882</v>
      </c>
      <c r="B1670" s="3" t="s">
        <v>34</v>
      </c>
      <c r="C1670" s="4">
        <v>4</v>
      </c>
    </row>
    <row r="1671" spans="1:3" ht="15" thickBot="1">
      <c r="A1671" s="3" t="s">
        <v>2536</v>
      </c>
      <c r="B1671" s="3" t="s">
        <v>2365</v>
      </c>
      <c r="C1671" s="4">
        <v>1</v>
      </c>
    </row>
    <row r="1672" spans="1:3" ht="15" thickBot="1">
      <c r="A1672" s="3" t="s">
        <v>2537</v>
      </c>
      <c r="B1672" s="3" t="s">
        <v>24</v>
      </c>
      <c r="C1672" s="4">
        <v>1</v>
      </c>
    </row>
    <row r="1673" spans="1:3" ht="15" thickBot="1">
      <c r="A1673" s="3" t="s">
        <v>2538</v>
      </c>
      <c r="B1673" s="3" t="s">
        <v>4</v>
      </c>
      <c r="C1673" s="4">
        <v>1</v>
      </c>
    </row>
    <row r="1674" spans="1:3" ht="15" thickBot="1">
      <c r="A1674" s="3" t="s">
        <v>2539</v>
      </c>
      <c r="B1674" s="3" t="s">
        <v>2359</v>
      </c>
      <c r="C1674" s="4">
        <v>5</v>
      </c>
    </row>
    <row r="1675" spans="1:3" ht="15" thickBot="1">
      <c r="A1675" s="3" t="s">
        <v>693</v>
      </c>
      <c r="B1675" s="3" t="s">
        <v>118</v>
      </c>
      <c r="C1675" s="4">
        <v>1</v>
      </c>
    </row>
    <row r="1676" spans="1:3" ht="15" thickBot="1">
      <c r="A1676" s="3" t="s">
        <v>1645</v>
      </c>
      <c r="B1676" s="3" t="s">
        <v>125</v>
      </c>
      <c r="C1676" s="4">
        <v>2</v>
      </c>
    </row>
    <row r="1677" spans="1:3" ht="15" thickBot="1">
      <c r="A1677" s="3" t="s">
        <v>2540</v>
      </c>
      <c r="B1677" s="3" t="s">
        <v>1802</v>
      </c>
      <c r="C1677" s="4">
        <v>1</v>
      </c>
    </row>
    <row r="1678" spans="1:3" ht="15" thickBot="1">
      <c r="A1678" s="3" t="s">
        <v>2541</v>
      </c>
      <c r="B1678" s="3" t="s">
        <v>19</v>
      </c>
      <c r="C1678" s="4">
        <v>1</v>
      </c>
    </row>
    <row r="1679" spans="1:3" ht="15" thickBot="1">
      <c r="A1679" s="3" t="s">
        <v>2542</v>
      </c>
      <c r="B1679" s="3" t="s">
        <v>19</v>
      </c>
      <c r="C1679" s="4">
        <v>1</v>
      </c>
    </row>
    <row r="1680" spans="1:3" ht="15" thickBot="1">
      <c r="A1680" s="3" t="s">
        <v>1202</v>
      </c>
      <c r="B1680" s="3" t="s">
        <v>115</v>
      </c>
      <c r="C1680" s="4">
        <v>2</v>
      </c>
    </row>
    <row r="1681" spans="1:3" ht="15" thickBot="1">
      <c r="A1681" s="3" t="s">
        <v>2543</v>
      </c>
      <c r="B1681" s="3" t="s">
        <v>138</v>
      </c>
      <c r="C1681" s="4">
        <v>1</v>
      </c>
    </row>
    <row r="1682" spans="1:3" ht="15" thickBot="1">
      <c r="A1682" s="3" t="s">
        <v>1203</v>
      </c>
      <c r="B1682" s="3" t="s">
        <v>2382</v>
      </c>
      <c r="C1682" s="4">
        <v>1</v>
      </c>
    </row>
    <row r="1683" spans="1:3" ht="15" thickBot="1">
      <c r="A1683" s="3" t="s">
        <v>1387</v>
      </c>
      <c r="B1683" s="3" t="s">
        <v>34</v>
      </c>
      <c r="C1683" s="4">
        <v>2</v>
      </c>
    </row>
    <row r="1684" spans="1:3" ht="15" thickBot="1">
      <c r="A1684" s="3" t="s">
        <v>2544</v>
      </c>
      <c r="B1684" s="3" t="s">
        <v>34</v>
      </c>
      <c r="C1684" s="4">
        <v>3</v>
      </c>
    </row>
    <row r="1685" spans="1:3" ht="15" thickBot="1">
      <c r="A1685" s="3" t="s">
        <v>2545</v>
      </c>
      <c r="B1685" s="3" t="s">
        <v>2400</v>
      </c>
      <c r="C1685" s="4">
        <v>1</v>
      </c>
    </row>
    <row r="1686" spans="1:3" ht="15" thickBot="1">
      <c r="A1686" s="3" t="s">
        <v>2546</v>
      </c>
      <c r="B1686" s="3" t="s">
        <v>26</v>
      </c>
      <c r="C1686" s="4">
        <v>1</v>
      </c>
    </row>
    <row r="1687" spans="1:3" ht="15" thickBot="1">
      <c r="A1687" s="3" t="s">
        <v>2547</v>
      </c>
      <c r="B1687" s="3" t="s">
        <v>61</v>
      </c>
      <c r="C1687" s="4">
        <v>2</v>
      </c>
    </row>
    <row r="1688" spans="1:3" ht="15" thickBot="1">
      <c r="A1688" s="3" t="s">
        <v>955</v>
      </c>
      <c r="B1688" s="3" t="s">
        <v>1802</v>
      </c>
      <c r="C1688" s="4">
        <v>2</v>
      </c>
    </row>
    <row r="1689" spans="1:3" ht="15" thickBot="1">
      <c r="A1689" s="3" t="s">
        <v>2548</v>
      </c>
      <c r="B1689" s="3" t="s">
        <v>2420</v>
      </c>
      <c r="C1689" s="4">
        <v>2</v>
      </c>
    </row>
    <row r="1690" spans="1:3" ht="15" thickBot="1">
      <c r="A1690" s="3" t="s">
        <v>1026</v>
      </c>
      <c r="B1690" s="3" t="s">
        <v>1810</v>
      </c>
      <c r="C1690" s="4">
        <v>2</v>
      </c>
    </row>
    <row r="1691" spans="1:3" ht="15" thickBot="1">
      <c r="A1691" s="3" t="s">
        <v>2549</v>
      </c>
      <c r="B1691" s="3" t="s">
        <v>125</v>
      </c>
      <c r="C1691" s="4">
        <v>1</v>
      </c>
    </row>
    <row r="1692" spans="1:3" ht="15" thickBot="1">
      <c r="A1692" s="3" t="s">
        <v>2550</v>
      </c>
      <c r="B1692" s="3" t="s">
        <v>125</v>
      </c>
      <c r="C1692" s="4">
        <v>1</v>
      </c>
    </row>
    <row r="1693" spans="1:3" ht="15" thickBot="1">
      <c r="A1693" s="3" t="s">
        <v>1175</v>
      </c>
      <c r="B1693" s="3" t="s">
        <v>24</v>
      </c>
      <c r="C1693" s="4">
        <v>1</v>
      </c>
    </row>
    <row r="1694" spans="1:3" ht="15" thickBot="1">
      <c r="A1694" s="3" t="s">
        <v>1300</v>
      </c>
      <c r="B1694" s="3" t="s">
        <v>61</v>
      </c>
      <c r="C1694" s="4">
        <v>1</v>
      </c>
    </row>
    <row r="1695" spans="1:3" ht="15" thickBot="1">
      <c r="A1695" s="3" t="s">
        <v>2551</v>
      </c>
      <c r="B1695" s="3" t="s">
        <v>19</v>
      </c>
      <c r="C1695" s="4">
        <v>1</v>
      </c>
    </row>
    <row r="1696" spans="1:3" ht="15" thickBot="1">
      <c r="A1696" s="3" t="s">
        <v>1169</v>
      </c>
      <c r="B1696" s="3" t="s">
        <v>2372</v>
      </c>
      <c r="C1696" s="4">
        <v>1</v>
      </c>
    </row>
    <row r="1697" spans="1:3" ht="15" thickBot="1">
      <c r="A1697" s="3" t="s">
        <v>454</v>
      </c>
      <c r="B1697" s="3" t="s">
        <v>26</v>
      </c>
      <c r="C1697" s="4">
        <v>4</v>
      </c>
    </row>
    <row r="1698" spans="1:3" ht="15" thickBot="1">
      <c r="A1698" s="3" t="s">
        <v>2552</v>
      </c>
      <c r="B1698" s="3" t="s">
        <v>2359</v>
      </c>
      <c r="C1698" s="4">
        <v>3</v>
      </c>
    </row>
    <row r="1699" spans="1:3" ht="15" thickBot="1">
      <c r="A1699" s="3" t="s">
        <v>979</v>
      </c>
      <c r="B1699" s="3" t="s">
        <v>61</v>
      </c>
      <c r="C1699" s="4">
        <v>2</v>
      </c>
    </row>
    <row r="1700" spans="1:3" ht="15" thickBot="1">
      <c r="A1700" s="3" t="s">
        <v>1081</v>
      </c>
      <c r="B1700" s="3" t="s">
        <v>125</v>
      </c>
      <c r="C1700" s="4">
        <v>2</v>
      </c>
    </row>
    <row r="1701" spans="1:3" ht="15" thickBot="1">
      <c r="A1701" s="3" t="s">
        <v>2553</v>
      </c>
      <c r="B1701" s="3" t="s">
        <v>61</v>
      </c>
      <c r="C1701" s="4">
        <v>3</v>
      </c>
    </row>
    <row r="1702" spans="1:3" ht="15" thickBot="1">
      <c r="A1702" s="3" t="s">
        <v>2554</v>
      </c>
      <c r="B1702" s="3" t="s">
        <v>22</v>
      </c>
      <c r="C1702" s="4">
        <v>1</v>
      </c>
    </row>
    <row r="1703" spans="1:3" ht="15" thickBot="1">
      <c r="A1703" s="3" t="s">
        <v>2555</v>
      </c>
      <c r="B1703" s="3" t="s">
        <v>24</v>
      </c>
      <c r="C1703" s="4">
        <v>1</v>
      </c>
    </row>
    <row r="1704" spans="1:3" ht="15" thickBot="1">
      <c r="A1704" s="3" t="s">
        <v>2556</v>
      </c>
      <c r="B1704" s="3" t="s">
        <v>19</v>
      </c>
      <c r="C1704" s="4">
        <v>1</v>
      </c>
    </row>
    <row r="1705" spans="1:3" ht="15" thickBot="1">
      <c r="A1705" s="3" t="s">
        <v>2557</v>
      </c>
      <c r="B1705" s="3" t="s">
        <v>19</v>
      </c>
      <c r="C1705" s="4">
        <v>2</v>
      </c>
    </row>
    <row r="1706" spans="1:3" ht="15" thickBot="1">
      <c r="A1706" s="3" t="s">
        <v>2558</v>
      </c>
      <c r="B1706" s="3" t="s">
        <v>1802</v>
      </c>
      <c r="C1706" s="4">
        <v>2</v>
      </c>
    </row>
    <row r="1707" spans="1:3" ht="15" thickBot="1">
      <c r="A1707" s="3" t="s">
        <v>2559</v>
      </c>
      <c r="B1707" s="3" t="s">
        <v>125</v>
      </c>
      <c r="C1707" s="4">
        <v>1</v>
      </c>
    </row>
    <row r="1708" spans="1:3" ht="15" thickBot="1">
      <c r="A1708" s="3" t="s">
        <v>2560</v>
      </c>
      <c r="B1708" s="3" t="s">
        <v>34</v>
      </c>
      <c r="C1708" s="4">
        <v>2</v>
      </c>
    </row>
    <row r="1709" spans="1:3" ht="15" thickBot="1">
      <c r="A1709" s="3" t="s">
        <v>725</v>
      </c>
      <c r="B1709" s="3" t="s">
        <v>1802</v>
      </c>
      <c r="C1709" s="4">
        <v>4</v>
      </c>
    </row>
    <row r="1710" spans="1:3" ht="15" thickBot="1">
      <c r="A1710" s="3" t="s">
        <v>509</v>
      </c>
      <c r="B1710" s="3" t="s">
        <v>125</v>
      </c>
      <c r="C1710" s="4">
        <v>2</v>
      </c>
    </row>
    <row r="1711" spans="1:3" ht="15" thickBot="1">
      <c r="A1711" s="3" t="s">
        <v>2561</v>
      </c>
      <c r="B1711" s="3" t="s">
        <v>2382</v>
      </c>
      <c r="C1711" s="4">
        <v>1</v>
      </c>
    </row>
    <row r="1712" spans="1:3" ht="15" thickBot="1">
      <c r="A1712" s="3" t="s">
        <v>1231</v>
      </c>
      <c r="B1712" s="3" t="s">
        <v>2420</v>
      </c>
      <c r="C1712" s="4">
        <v>1</v>
      </c>
    </row>
    <row r="1713" spans="1:3" ht="15" thickBot="1">
      <c r="A1713" s="3" t="s">
        <v>2562</v>
      </c>
      <c r="B1713" s="3" t="s">
        <v>125</v>
      </c>
      <c r="C1713" s="4">
        <v>1</v>
      </c>
    </row>
    <row r="1714" spans="1:3" ht="15" thickBot="1">
      <c r="A1714" s="3" t="s">
        <v>2563</v>
      </c>
      <c r="B1714" s="3" t="s">
        <v>61</v>
      </c>
      <c r="C1714" s="4">
        <v>1</v>
      </c>
    </row>
    <row r="1715" spans="1:3" ht="15" thickBot="1">
      <c r="A1715" s="3" t="s">
        <v>2564</v>
      </c>
      <c r="B1715" s="3" t="s">
        <v>4</v>
      </c>
      <c r="C1715" s="4">
        <v>1</v>
      </c>
    </row>
    <row r="1716" spans="1:3" ht="15" thickBot="1">
      <c r="A1716" s="3" t="s">
        <v>926</v>
      </c>
      <c r="B1716" s="3" t="s">
        <v>115</v>
      </c>
      <c r="C1716" s="4">
        <v>9</v>
      </c>
    </row>
    <row r="1717" spans="1:3" ht="15" thickBot="1">
      <c r="A1717" s="3" t="s">
        <v>2565</v>
      </c>
      <c r="B1717" s="3" t="s">
        <v>115</v>
      </c>
      <c r="C1717" s="4">
        <v>2</v>
      </c>
    </row>
    <row r="1718" spans="1:3" ht="15" thickBot="1">
      <c r="A1718" s="3" t="s">
        <v>2566</v>
      </c>
      <c r="B1718" s="3" t="s">
        <v>125</v>
      </c>
      <c r="C1718" s="4">
        <v>1</v>
      </c>
    </row>
    <row r="1719" spans="1:3" ht="15" thickBot="1">
      <c r="A1719" s="3" t="s">
        <v>2567</v>
      </c>
      <c r="B1719" s="3" t="s">
        <v>34</v>
      </c>
      <c r="C1719" s="4">
        <v>1</v>
      </c>
    </row>
    <row r="1720" spans="1:3" ht="15" thickBot="1">
      <c r="A1720" s="3" t="s">
        <v>591</v>
      </c>
      <c r="B1720" s="3" t="s">
        <v>1805</v>
      </c>
      <c r="C1720" s="4">
        <v>1</v>
      </c>
    </row>
    <row r="1721" spans="1:3" ht="15" thickBot="1">
      <c r="A1721" s="3" t="s">
        <v>2568</v>
      </c>
      <c r="B1721" s="3" t="s">
        <v>26</v>
      </c>
      <c r="C1721" s="4">
        <v>1</v>
      </c>
    </row>
    <row r="1722" spans="1:3" ht="15" thickBot="1">
      <c r="A1722" s="3" t="s">
        <v>2569</v>
      </c>
      <c r="B1722" s="3" t="s">
        <v>125</v>
      </c>
      <c r="C1722" s="4">
        <v>1</v>
      </c>
    </row>
    <row r="1723" spans="1:3" ht="15" thickBot="1">
      <c r="A1723" s="3" t="s">
        <v>2570</v>
      </c>
      <c r="B1723" s="3" t="s">
        <v>138</v>
      </c>
      <c r="C1723" s="4">
        <v>1</v>
      </c>
    </row>
    <row r="1724" spans="1:3" ht="15" thickBot="1">
      <c r="A1724" s="3" t="s">
        <v>2571</v>
      </c>
      <c r="B1724" s="3" t="s">
        <v>26</v>
      </c>
      <c r="C1724" s="4">
        <v>1</v>
      </c>
    </row>
    <row r="1725" spans="1:3" ht="15" thickBot="1">
      <c r="A1725" s="3" t="s">
        <v>1161</v>
      </c>
      <c r="B1725" s="3" t="s">
        <v>2420</v>
      </c>
      <c r="C1725" s="4">
        <v>2</v>
      </c>
    </row>
    <row r="1726" spans="1:3" ht="15" thickBot="1">
      <c r="A1726" s="3" t="s">
        <v>2572</v>
      </c>
      <c r="B1726" s="3" t="s">
        <v>34</v>
      </c>
      <c r="C1726" s="4">
        <v>5</v>
      </c>
    </row>
    <row r="1727" spans="1:3" ht="15" thickBot="1">
      <c r="A1727" s="3" t="s">
        <v>2573</v>
      </c>
      <c r="B1727" s="3" t="s">
        <v>1802</v>
      </c>
      <c r="C1727" s="4">
        <v>3</v>
      </c>
    </row>
    <row r="1728" spans="1:3" ht="15" thickBot="1">
      <c r="A1728" s="3" t="s">
        <v>44</v>
      </c>
      <c r="B1728" s="3" t="s">
        <v>34</v>
      </c>
      <c r="C1728" s="4">
        <v>1</v>
      </c>
    </row>
    <row r="1729" spans="1:3" ht="15" thickBot="1">
      <c r="A1729" s="3" t="s">
        <v>1376</v>
      </c>
      <c r="B1729" s="3" t="s">
        <v>61</v>
      </c>
      <c r="C1729" s="4">
        <v>1</v>
      </c>
    </row>
    <row r="1730" spans="1:3" ht="15" thickBot="1">
      <c r="A1730" s="3" t="s">
        <v>2574</v>
      </c>
      <c r="B1730" s="3" t="s">
        <v>2359</v>
      </c>
      <c r="C1730" s="4">
        <v>1</v>
      </c>
    </row>
    <row r="1731" spans="1:3" ht="15" thickBot="1">
      <c r="A1731" s="3" t="s">
        <v>2575</v>
      </c>
      <c r="B1731" s="3" t="s">
        <v>2372</v>
      </c>
      <c r="C1731" s="4">
        <v>1</v>
      </c>
    </row>
    <row r="1732" spans="1:3" ht="15" thickBot="1">
      <c r="A1732" s="3" t="s">
        <v>2576</v>
      </c>
      <c r="B1732" s="3" t="s">
        <v>1802</v>
      </c>
      <c r="C1732" s="4">
        <v>2</v>
      </c>
    </row>
    <row r="1733" spans="1:3" ht="15" thickBot="1">
      <c r="A1733" s="3" t="s">
        <v>85</v>
      </c>
      <c r="B1733" s="3" t="s">
        <v>61</v>
      </c>
      <c r="C1733" s="4">
        <v>2</v>
      </c>
    </row>
    <row r="1734" spans="1:3" ht="15" thickBot="1">
      <c r="A1734" s="3" t="s">
        <v>2577</v>
      </c>
      <c r="B1734" s="3" t="s">
        <v>34</v>
      </c>
      <c r="C1734" s="4">
        <v>1</v>
      </c>
    </row>
    <row r="1735" spans="1:3" ht="15" thickBot="1">
      <c r="A1735" s="3" t="s">
        <v>2578</v>
      </c>
      <c r="B1735" s="3" t="s">
        <v>61</v>
      </c>
      <c r="C1735" s="4">
        <v>2</v>
      </c>
    </row>
    <row r="1736" spans="1:3" ht="15" thickBot="1">
      <c r="A1736" s="3" t="s">
        <v>2579</v>
      </c>
      <c r="B1736" s="3" t="s">
        <v>1802</v>
      </c>
      <c r="C1736" s="4">
        <v>1</v>
      </c>
    </row>
    <row r="1737" spans="1:3" ht="15" thickBot="1">
      <c r="A1737" s="3" t="s">
        <v>1080</v>
      </c>
      <c r="B1737" s="3" t="s">
        <v>26</v>
      </c>
      <c r="C1737" s="4">
        <v>2</v>
      </c>
    </row>
    <row r="1738" spans="1:3" ht="15" thickBot="1">
      <c r="A1738" s="3" t="s">
        <v>2580</v>
      </c>
      <c r="B1738" s="3" t="s">
        <v>1802</v>
      </c>
      <c r="C1738" s="4">
        <v>1</v>
      </c>
    </row>
    <row r="1739" spans="1:3" ht="15" thickBot="1">
      <c r="A1739" s="3" t="s">
        <v>1796</v>
      </c>
      <c r="B1739" s="3" t="s">
        <v>34</v>
      </c>
      <c r="C1739" s="4">
        <v>1</v>
      </c>
    </row>
    <row r="1740" spans="1:3" ht="15" thickBot="1">
      <c r="A1740" s="3" t="s">
        <v>2581</v>
      </c>
      <c r="B1740" s="3" t="s">
        <v>26</v>
      </c>
      <c r="C1740" s="4">
        <v>2</v>
      </c>
    </row>
    <row r="1741" spans="1:3" ht="15" thickBot="1">
      <c r="A1741" s="3" t="s">
        <v>502</v>
      </c>
      <c r="B1741" s="3" t="s">
        <v>1805</v>
      </c>
      <c r="C1741" s="4">
        <v>3</v>
      </c>
    </row>
    <row r="1742" spans="1:3" ht="15" thickBot="1">
      <c r="A1742" s="3" t="s">
        <v>749</v>
      </c>
      <c r="B1742" s="3" t="s">
        <v>2382</v>
      </c>
      <c r="C1742" s="4">
        <v>1</v>
      </c>
    </row>
    <row r="1743" spans="1:3" ht="15" thickBot="1">
      <c r="A1743" s="3" t="s">
        <v>1285</v>
      </c>
      <c r="B1743" s="3" t="s">
        <v>34</v>
      </c>
      <c r="C1743" s="4">
        <v>1</v>
      </c>
    </row>
    <row r="1744" spans="1:3" ht="15" thickBot="1">
      <c r="A1744" s="3" t="s">
        <v>2582</v>
      </c>
      <c r="B1744" s="3" t="s">
        <v>32</v>
      </c>
      <c r="C1744" s="4">
        <v>2</v>
      </c>
    </row>
    <row r="1745" spans="1:3" ht="15" thickBot="1">
      <c r="A1745" s="3" t="s">
        <v>2583</v>
      </c>
      <c r="B1745" s="3" t="s">
        <v>2365</v>
      </c>
      <c r="C1745" s="4">
        <v>1</v>
      </c>
    </row>
    <row r="1746" spans="1:3" ht="15" thickBot="1">
      <c r="A1746" s="3" t="s">
        <v>2584</v>
      </c>
      <c r="B1746" s="3" t="s">
        <v>4</v>
      </c>
      <c r="C1746" s="4">
        <v>2</v>
      </c>
    </row>
    <row r="1747" spans="1:3" ht="15" thickBot="1">
      <c r="A1747" s="3" t="s">
        <v>239</v>
      </c>
      <c r="B1747" s="3" t="s">
        <v>1802</v>
      </c>
      <c r="C1747" s="4">
        <v>3</v>
      </c>
    </row>
    <row r="1748" spans="1:3" ht="15" thickBot="1">
      <c r="A1748" s="3" t="s">
        <v>2585</v>
      </c>
      <c r="B1748" s="3" t="s">
        <v>34</v>
      </c>
      <c r="C1748" s="4">
        <v>1</v>
      </c>
    </row>
    <row r="1749" spans="1:3" ht="15" thickBot="1">
      <c r="A1749" s="3" t="s">
        <v>1572</v>
      </c>
      <c r="B1749" s="3" t="s">
        <v>125</v>
      </c>
      <c r="C1749" s="4">
        <v>2</v>
      </c>
    </row>
    <row r="1750" spans="1:3" ht="15" thickBot="1">
      <c r="A1750" s="3" t="s">
        <v>2586</v>
      </c>
      <c r="B1750" s="3" t="s">
        <v>61</v>
      </c>
      <c r="C1750" s="4">
        <v>1</v>
      </c>
    </row>
    <row r="1751" spans="1:3" ht="15" thickBot="1">
      <c r="A1751" s="3" t="s">
        <v>636</v>
      </c>
      <c r="B1751" s="3" t="s">
        <v>24</v>
      </c>
      <c r="C1751" s="4">
        <v>2</v>
      </c>
    </row>
    <row r="1752" spans="1:3" ht="15" thickBot="1">
      <c r="A1752" s="3" t="s">
        <v>2587</v>
      </c>
      <c r="B1752" s="3" t="s">
        <v>2372</v>
      </c>
      <c r="C1752" s="4">
        <v>1</v>
      </c>
    </row>
    <row r="1753" spans="1:3" ht="15" thickBot="1">
      <c r="A1753" s="3" t="s">
        <v>2588</v>
      </c>
      <c r="B1753" s="3" t="s">
        <v>118</v>
      </c>
      <c r="C1753" s="4">
        <v>1</v>
      </c>
    </row>
    <row r="1754" spans="1:3" ht="15" thickBot="1">
      <c r="A1754" s="3" t="s">
        <v>2589</v>
      </c>
      <c r="B1754" s="3" t="s">
        <v>125</v>
      </c>
      <c r="C1754" s="4">
        <v>1</v>
      </c>
    </row>
    <row r="1755" spans="1:3" ht="15" thickBot="1">
      <c r="A1755" s="3" t="s">
        <v>2590</v>
      </c>
      <c r="B1755" s="3" t="s">
        <v>26</v>
      </c>
      <c r="C1755" s="4">
        <v>1</v>
      </c>
    </row>
    <row r="1756" spans="1:3" ht="15" thickBot="1">
      <c r="A1756" s="3" t="s">
        <v>2591</v>
      </c>
      <c r="B1756" s="3" t="s">
        <v>2359</v>
      </c>
      <c r="C1756" s="4">
        <v>2</v>
      </c>
    </row>
    <row r="1757" spans="1:3" ht="15" thickBot="1">
      <c r="A1757" s="3" t="s">
        <v>2592</v>
      </c>
      <c r="B1757" s="3" t="s">
        <v>2365</v>
      </c>
      <c r="C1757" s="4">
        <v>1</v>
      </c>
    </row>
    <row r="1758" spans="1:3" ht="15" thickBot="1">
      <c r="A1758" s="3" t="s">
        <v>2593</v>
      </c>
      <c r="B1758" s="3" t="s">
        <v>34</v>
      </c>
      <c r="C1758" s="4">
        <v>2</v>
      </c>
    </row>
    <row r="1759" spans="1:3" ht="15" thickBot="1">
      <c r="A1759" s="3" t="s">
        <v>626</v>
      </c>
      <c r="B1759" s="3" t="s">
        <v>34</v>
      </c>
      <c r="C1759" s="4">
        <v>1</v>
      </c>
    </row>
    <row r="1760" spans="1:3" ht="15" thickBot="1">
      <c r="A1760" s="3" t="s">
        <v>1093</v>
      </c>
      <c r="B1760" s="3" t="s">
        <v>2359</v>
      </c>
      <c r="C1760" s="4">
        <v>1</v>
      </c>
    </row>
    <row r="1761" spans="1:3" ht="15" thickBot="1">
      <c r="A1761" s="3" t="s">
        <v>2594</v>
      </c>
      <c r="B1761" s="3" t="s">
        <v>1802</v>
      </c>
      <c r="C1761" s="4">
        <v>1</v>
      </c>
    </row>
    <row r="1762" spans="1:3" ht="15" thickBot="1">
      <c r="A1762" s="3" t="s">
        <v>767</v>
      </c>
      <c r="B1762" s="3" t="s">
        <v>125</v>
      </c>
      <c r="C1762" s="4">
        <v>2</v>
      </c>
    </row>
    <row r="1763" spans="1:3" ht="15" thickBot="1">
      <c r="A1763" s="3" t="s">
        <v>1023</v>
      </c>
      <c r="B1763" s="3" t="s">
        <v>1802</v>
      </c>
      <c r="C1763" s="4">
        <v>2</v>
      </c>
    </row>
    <row r="1764" spans="1:3" ht="15" thickBot="1">
      <c r="A1764" s="3" t="s">
        <v>2595</v>
      </c>
      <c r="B1764" s="3" t="s">
        <v>125</v>
      </c>
      <c r="C1764" s="4">
        <v>1</v>
      </c>
    </row>
    <row r="1765" spans="1:3" ht="15" thickBot="1">
      <c r="A1765" s="3" t="s">
        <v>2596</v>
      </c>
      <c r="B1765" s="3" t="s">
        <v>2382</v>
      </c>
      <c r="C1765" s="4">
        <v>1</v>
      </c>
    </row>
    <row r="1766" spans="1:3" ht="15" thickBot="1">
      <c r="A1766" s="3" t="s">
        <v>2597</v>
      </c>
      <c r="B1766" s="3" t="s">
        <v>61</v>
      </c>
      <c r="C1766" s="4">
        <v>1</v>
      </c>
    </row>
    <row r="1767" spans="1:3" ht="15" thickBot="1">
      <c r="A1767" s="3" t="s">
        <v>2598</v>
      </c>
      <c r="B1767" s="3" t="s">
        <v>2359</v>
      </c>
      <c r="C1767" s="4">
        <v>1</v>
      </c>
    </row>
    <row r="1768" spans="1:3" ht="15" thickBot="1">
      <c r="A1768" s="3" t="s">
        <v>1681</v>
      </c>
      <c r="B1768" s="3" t="s">
        <v>61</v>
      </c>
      <c r="C1768" s="4">
        <v>6</v>
      </c>
    </row>
    <row r="1769" spans="1:3" ht="15" thickBot="1">
      <c r="A1769" s="3" t="s">
        <v>2599</v>
      </c>
      <c r="B1769" s="3" t="s">
        <v>118</v>
      </c>
      <c r="C1769" s="4">
        <v>1</v>
      </c>
    </row>
    <row r="1770" spans="1:3" ht="15" thickBot="1">
      <c r="A1770" s="3" t="s">
        <v>2600</v>
      </c>
      <c r="B1770" s="3" t="s">
        <v>61</v>
      </c>
      <c r="C1770" s="4">
        <v>5</v>
      </c>
    </row>
    <row r="1771" spans="1:3" ht="15" thickBot="1">
      <c r="A1771" s="3" t="s">
        <v>2601</v>
      </c>
      <c r="B1771" s="3" t="s">
        <v>125</v>
      </c>
      <c r="C1771" s="4">
        <v>1</v>
      </c>
    </row>
    <row r="1772" spans="1:3" ht="15" thickBot="1">
      <c r="A1772" s="3" t="s">
        <v>2602</v>
      </c>
      <c r="B1772" s="3" t="s">
        <v>2382</v>
      </c>
      <c r="C1772" s="4">
        <v>1</v>
      </c>
    </row>
    <row r="1773" spans="1:3" ht="15" thickBot="1">
      <c r="A1773" s="3" t="s">
        <v>842</v>
      </c>
      <c r="B1773" s="3" t="s">
        <v>125</v>
      </c>
      <c r="C1773" s="4">
        <v>1</v>
      </c>
    </row>
    <row r="1774" spans="1:3" ht="15" thickBot="1">
      <c r="A1774" s="3" t="s">
        <v>2603</v>
      </c>
      <c r="B1774" s="3" t="s">
        <v>1802</v>
      </c>
      <c r="C1774" s="4">
        <v>2</v>
      </c>
    </row>
    <row r="1775" spans="1:3" ht="15" thickBot="1">
      <c r="A1775" s="3" t="s">
        <v>2604</v>
      </c>
      <c r="B1775" s="3" t="s">
        <v>125</v>
      </c>
      <c r="C1775" s="4">
        <v>1</v>
      </c>
    </row>
    <row r="1776" spans="1:3" ht="15" thickBot="1">
      <c r="A1776" s="3" t="s">
        <v>1270</v>
      </c>
      <c r="B1776" s="3" t="s">
        <v>26</v>
      </c>
      <c r="C1776" s="4">
        <v>6</v>
      </c>
    </row>
    <row r="1777" spans="1:3" ht="15" thickBot="1">
      <c r="A1777" s="3" t="s">
        <v>2605</v>
      </c>
      <c r="B1777" s="3" t="s">
        <v>26</v>
      </c>
      <c r="C1777" s="4">
        <v>8</v>
      </c>
    </row>
    <row r="1778" spans="1:3" ht="15" thickBot="1">
      <c r="A1778" s="3" t="s">
        <v>2606</v>
      </c>
      <c r="B1778" s="3" t="s">
        <v>1802</v>
      </c>
      <c r="C1778" s="4">
        <v>1</v>
      </c>
    </row>
    <row r="1779" spans="1:3" ht="15" thickBot="1">
      <c r="A1779" s="3" t="s">
        <v>2607</v>
      </c>
      <c r="B1779" s="3" t="s">
        <v>32</v>
      </c>
      <c r="C1779" s="4">
        <v>2</v>
      </c>
    </row>
    <row r="1780" spans="1:3" ht="15" thickBot="1">
      <c r="A1780" s="3" t="s">
        <v>2608</v>
      </c>
      <c r="B1780" s="3" t="s">
        <v>4</v>
      </c>
      <c r="C1780" s="4">
        <v>2</v>
      </c>
    </row>
    <row r="1781" spans="1:3" ht="15" thickBot="1">
      <c r="A1781" s="3" t="s">
        <v>2609</v>
      </c>
      <c r="B1781" s="3" t="s">
        <v>1802</v>
      </c>
      <c r="C1781" s="4">
        <v>1</v>
      </c>
    </row>
    <row r="1782" spans="1:3" ht="15" thickBot="1">
      <c r="A1782" s="3" t="s">
        <v>297</v>
      </c>
      <c r="B1782" s="3" t="s">
        <v>61</v>
      </c>
      <c r="C1782" s="4">
        <v>1</v>
      </c>
    </row>
    <row r="1783" spans="1:3" ht="15" thickBot="1">
      <c r="A1783" s="3" t="s">
        <v>2610</v>
      </c>
      <c r="B1783" s="3" t="s">
        <v>2359</v>
      </c>
      <c r="C1783" s="4">
        <v>6</v>
      </c>
    </row>
    <row r="1784" spans="1:3" ht="15" thickBot="1">
      <c r="A1784" s="3" t="s">
        <v>2611</v>
      </c>
      <c r="B1784" s="3" t="s">
        <v>2420</v>
      </c>
      <c r="C1784" s="4">
        <v>5</v>
      </c>
    </row>
    <row r="1785" spans="1:3" ht="15" thickBot="1">
      <c r="A1785" s="3" t="s">
        <v>2612</v>
      </c>
      <c r="B1785" s="3" t="s">
        <v>2382</v>
      </c>
      <c r="C1785" s="4">
        <v>2</v>
      </c>
    </row>
    <row r="1786" spans="1:3" ht="15" thickBot="1">
      <c r="A1786" s="3" t="s">
        <v>1484</v>
      </c>
      <c r="B1786" s="3" t="s">
        <v>26</v>
      </c>
      <c r="C1786" s="4">
        <v>7</v>
      </c>
    </row>
    <row r="1787" spans="1:3" ht="15" thickBot="1">
      <c r="A1787" s="3" t="s">
        <v>2613</v>
      </c>
      <c r="B1787" s="3" t="s">
        <v>61</v>
      </c>
      <c r="C1787" s="4">
        <v>1</v>
      </c>
    </row>
    <row r="1788" spans="1:3" ht="15" thickBot="1">
      <c r="A1788" s="3" t="s">
        <v>2614</v>
      </c>
      <c r="B1788" s="3" t="s">
        <v>2359</v>
      </c>
      <c r="C1788" s="4">
        <v>1</v>
      </c>
    </row>
    <row r="1789" spans="1:3" ht="15" thickBot="1">
      <c r="A1789" s="3" t="s">
        <v>2615</v>
      </c>
      <c r="B1789" s="3" t="s">
        <v>4</v>
      </c>
      <c r="C1789" s="4">
        <v>1</v>
      </c>
    </row>
    <row r="1790" spans="1:3" ht="15" thickBot="1">
      <c r="A1790" s="3" t="s">
        <v>2616</v>
      </c>
      <c r="B1790" s="3" t="s">
        <v>2359</v>
      </c>
      <c r="C1790" s="4">
        <v>1</v>
      </c>
    </row>
    <row r="1791" spans="1:3" ht="15" thickBot="1">
      <c r="A1791" s="3" t="s">
        <v>640</v>
      </c>
      <c r="B1791" s="3" t="s">
        <v>2359</v>
      </c>
      <c r="C1791" s="4">
        <v>1</v>
      </c>
    </row>
    <row r="1792" spans="1:3" ht="15" thickBot="1">
      <c r="A1792" s="3" t="s">
        <v>2617</v>
      </c>
      <c r="B1792" s="3" t="s">
        <v>1810</v>
      </c>
      <c r="C1792" s="4">
        <v>8</v>
      </c>
    </row>
    <row r="1793" spans="1:3" ht="15" thickBot="1">
      <c r="A1793" s="3" t="s">
        <v>398</v>
      </c>
      <c r="B1793" s="3" t="s">
        <v>125</v>
      </c>
      <c r="C1793" s="4">
        <v>1</v>
      </c>
    </row>
    <row r="1794" spans="1:3" ht="15" thickBot="1">
      <c r="A1794" s="3" t="s">
        <v>2618</v>
      </c>
      <c r="B1794" s="3" t="s">
        <v>61</v>
      </c>
      <c r="C1794" s="4">
        <v>1</v>
      </c>
    </row>
    <row r="1795" spans="1:3" ht="15" thickBot="1">
      <c r="A1795" s="3" t="s">
        <v>2619</v>
      </c>
      <c r="B1795" s="3" t="s">
        <v>26</v>
      </c>
      <c r="C1795" s="4">
        <v>1</v>
      </c>
    </row>
    <row r="1796" spans="1:3" ht="15" thickBot="1">
      <c r="A1796" s="3" t="s">
        <v>2620</v>
      </c>
      <c r="B1796" s="3" t="s">
        <v>34</v>
      </c>
      <c r="C1796" s="4">
        <v>1</v>
      </c>
    </row>
    <row r="1797" spans="1:3" ht="15" thickBot="1">
      <c r="A1797" s="3" t="s">
        <v>682</v>
      </c>
      <c r="B1797" s="3" t="s">
        <v>1805</v>
      </c>
      <c r="C1797" s="4">
        <v>1</v>
      </c>
    </row>
    <row r="1798" spans="1:3" ht="15" thickBot="1">
      <c r="A1798" s="3" t="s">
        <v>506</v>
      </c>
      <c r="B1798" s="3" t="s">
        <v>2372</v>
      </c>
      <c r="C1798" s="4">
        <v>14</v>
      </c>
    </row>
    <row r="1799" spans="1:3" ht="15" thickBot="1">
      <c r="A1799" s="3" t="s">
        <v>1584</v>
      </c>
      <c r="B1799" s="3" t="s">
        <v>61</v>
      </c>
      <c r="C1799" s="4">
        <v>1</v>
      </c>
    </row>
    <row r="1800" spans="1:3" ht="15" thickBot="1">
      <c r="A1800" s="3" t="s">
        <v>2621</v>
      </c>
      <c r="B1800" s="3" t="s">
        <v>125</v>
      </c>
      <c r="C1800" s="4">
        <v>2</v>
      </c>
    </row>
    <row r="1801" spans="1:3" ht="15" thickBot="1">
      <c r="A1801" s="3" t="s">
        <v>1721</v>
      </c>
      <c r="B1801" s="3" t="s">
        <v>1802</v>
      </c>
      <c r="C1801" s="4">
        <v>2</v>
      </c>
    </row>
    <row r="1802" spans="1:3" ht="15" thickBot="1">
      <c r="A1802" s="3" t="s">
        <v>2622</v>
      </c>
      <c r="B1802" s="3" t="s">
        <v>24</v>
      </c>
      <c r="C1802" s="4">
        <v>2</v>
      </c>
    </row>
    <row r="1803" spans="1:3" ht="15" thickBot="1">
      <c r="A1803" s="3" t="s">
        <v>2623</v>
      </c>
      <c r="B1803" s="3" t="s">
        <v>1802</v>
      </c>
      <c r="C1803" s="4">
        <v>1</v>
      </c>
    </row>
    <row r="1804" spans="1:3" ht="15" thickBot="1">
      <c r="A1804" s="3" t="s">
        <v>2624</v>
      </c>
      <c r="B1804" s="3" t="s">
        <v>4</v>
      </c>
      <c r="C1804" s="4">
        <v>1</v>
      </c>
    </row>
    <row r="1805" spans="1:3" ht="15" thickBot="1">
      <c r="A1805" s="3" t="s">
        <v>2625</v>
      </c>
      <c r="B1805" s="3" t="s">
        <v>2420</v>
      </c>
      <c r="C1805" s="4">
        <v>6</v>
      </c>
    </row>
    <row r="1806" spans="1:3" ht="15" thickBot="1">
      <c r="A1806" s="3" t="s">
        <v>1392</v>
      </c>
      <c r="B1806" s="3" t="s">
        <v>2420</v>
      </c>
      <c r="C1806" s="4">
        <v>8</v>
      </c>
    </row>
    <row r="1807" spans="1:3" ht="15" thickBot="1">
      <c r="A1807" s="3" t="s">
        <v>1190</v>
      </c>
      <c r="B1807" s="3" t="s">
        <v>115</v>
      </c>
      <c r="C1807" s="4">
        <v>7</v>
      </c>
    </row>
    <row r="1808" spans="1:3" ht="15" thickBot="1">
      <c r="A1808" s="3" t="s">
        <v>2626</v>
      </c>
      <c r="B1808" s="3" t="s">
        <v>2420</v>
      </c>
      <c r="C1808" s="4">
        <v>1</v>
      </c>
    </row>
    <row r="1809" spans="1:3" ht="15" thickBot="1">
      <c r="A1809" s="3" t="s">
        <v>2627</v>
      </c>
      <c r="B1809" s="3" t="s">
        <v>1802</v>
      </c>
      <c r="C1809" s="4">
        <v>1</v>
      </c>
    </row>
    <row r="1810" spans="1:3" ht="15" thickBot="1">
      <c r="A1810" s="3" t="s">
        <v>1635</v>
      </c>
      <c r="B1810" s="3" t="s">
        <v>1947</v>
      </c>
      <c r="C1810" s="4">
        <v>2</v>
      </c>
    </row>
    <row r="1811" spans="1:3" ht="15" thickBot="1">
      <c r="A1811" s="3" t="s">
        <v>2628</v>
      </c>
      <c r="B1811" s="3" t="s">
        <v>1802</v>
      </c>
      <c r="C1811" s="4">
        <v>1</v>
      </c>
    </row>
    <row r="1812" spans="1:3" ht="15" thickBot="1">
      <c r="A1812" s="3" t="s">
        <v>2629</v>
      </c>
      <c r="B1812" s="3" t="s">
        <v>24</v>
      </c>
      <c r="C1812" s="4">
        <v>1</v>
      </c>
    </row>
    <row r="1813" spans="1:3" ht="15" thickBot="1">
      <c r="A1813" s="3" t="s">
        <v>2630</v>
      </c>
      <c r="B1813" s="3" t="s">
        <v>138</v>
      </c>
      <c r="C1813" s="4">
        <v>1</v>
      </c>
    </row>
    <row r="1814" spans="1:3" ht="15" thickBot="1">
      <c r="A1814" s="3" t="s">
        <v>2631</v>
      </c>
      <c r="B1814" s="3" t="s">
        <v>2420</v>
      </c>
      <c r="C1814" s="4">
        <v>1</v>
      </c>
    </row>
    <row r="1815" spans="1:3" ht="15" thickBot="1">
      <c r="A1815" s="3" t="s">
        <v>2632</v>
      </c>
      <c r="B1815" s="3" t="s">
        <v>34</v>
      </c>
      <c r="C1815" s="4">
        <v>1</v>
      </c>
    </row>
    <row r="1816" spans="1:3" ht="15" thickBot="1">
      <c r="A1816" s="3" t="s">
        <v>1263</v>
      </c>
      <c r="B1816" s="3" t="s">
        <v>2359</v>
      </c>
      <c r="C1816" s="4">
        <v>1</v>
      </c>
    </row>
    <row r="1817" spans="1:3" ht="15" thickBot="1">
      <c r="A1817" s="3" t="s">
        <v>2633</v>
      </c>
      <c r="B1817" s="3" t="s">
        <v>2359</v>
      </c>
      <c r="C1817" s="4">
        <v>2</v>
      </c>
    </row>
    <row r="1818" spans="1:3" ht="15" thickBot="1">
      <c r="A1818" s="3" t="s">
        <v>1486</v>
      </c>
      <c r="B1818" s="3" t="s">
        <v>115</v>
      </c>
      <c r="C1818" s="4">
        <v>1</v>
      </c>
    </row>
    <row r="1819" spans="1:3" ht="15" thickBot="1">
      <c r="A1819" s="3" t="s">
        <v>547</v>
      </c>
      <c r="B1819" s="3" t="s">
        <v>22</v>
      </c>
      <c r="C1819" s="4">
        <v>1</v>
      </c>
    </row>
    <row r="1820" spans="1:3" ht="15" thickBot="1">
      <c r="A1820" s="3" t="s">
        <v>2634</v>
      </c>
      <c r="B1820" s="3" t="s">
        <v>1805</v>
      </c>
      <c r="C1820" s="4">
        <v>2</v>
      </c>
    </row>
    <row r="1821" spans="1:3" ht="15" thickBot="1">
      <c r="A1821" s="3" t="s">
        <v>1352</v>
      </c>
      <c r="B1821" s="3" t="s">
        <v>61</v>
      </c>
      <c r="C1821" s="4">
        <v>2</v>
      </c>
    </row>
    <row r="1822" spans="1:3" ht="15" thickBot="1">
      <c r="A1822" s="3" t="s">
        <v>1155</v>
      </c>
      <c r="B1822" s="3" t="s">
        <v>61</v>
      </c>
      <c r="C1822" s="4">
        <v>7</v>
      </c>
    </row>
    <row r="1823" spans="1:3" ht="15" thickBot="1">
      <c r="A1823" s="3" t="s">
        <v>1009</v>
      </c>
      <c r="B1823" s="3" t="s">
        <v>32</v>
      </c>
      <c r="C1823" s="4">
        <v>1</v>
      </c>
    </row>
    <row r="1824" spans="1:3" ht="15" thickBot="1">
      <c r="A1824" s="3" t="s">
        <v>849</v>
      </c>
      <c r="B1824" s="3" t="s">
        <v>34</v>
      </c>
      <c r="C1824" s="4">
        <v>4</v>
      </c>
    </row>
    <row r="1825" spans="1:3" ht="15" thickBot="1">
      <c r="A1825" s="3" t="s">
        <v>1628</v>
      </c>
      <c r="B1825" s="3" t="s">
        <v>2420</v>
      </c>
      <c r="C1825" s="4">
        <v>1</v>
      </c>
    </row>
    <row r="1826" spans="1:3" ht="15" thickBot="1">
      <c r="A1826" s="3" t="s">
        <v>2635</v>
      </c>
      <c r="B1826" s="3" t="s">
        <v>2420</v>
      </c>
      <c r="C1826" s="4">
        <v>1</v>
      </c>
    </row>
    <row r="1827" spans="1:3" ht="15" thickBot="1">
      <c r="A1827" s="3" t="s">
        <v>2636</v>
      </c>
      <c r="B1827" s="3" t="s">
        <v>2420</v>
      </c>
      <c r="C1827" s="4">
        <v>2</v>
      </c>
    </row>
    <row r="1828" spans="1:3" ht="15" thickBot="1">
      <c r="A1828" s="3" t="s">
        <v>2637</v>
      </c>
      <c r="B1828" s="3" t="s">
        <v>2420</v>
      </c>
      <c r="C1828" s="4">
        <v>1</v>
      </c>
    </row>
    <row r="1829" spans="1:3" ht="15" thickBot="1">
      <c r="A1829" s="3" t="s">
        <v>332</v>
      </c>
      <c r="B1829" s="3" t="s">
        <v>24</v>
      </c>
      <c r="C1829" s="4">
        <v>1</v>
      </c>
    </row>
    <row r="1830" spans="1:3" ht="15" thickBot="1">
      <c r="A1830" s="3" t="s">
        <v>771</v>
      </c>
      <c r="B1830" s="3" t="s">
        <v>2420</v>
      </c>
      <c r="C1830" s="4">
        <v>1</v>
      </c>
    </row>
    <row r="1831" spans="1:3" ht="15" thickBot="1">
      <c r="A1831" s="3" t="s">
        <v>2638</v>
      </c>
      <c r="B1831" s="3" t="s">
        <v>2420</v>
      </c>
      <c r="C1831" s="4">
        <v>1</v>
      </c>
    </row>
    <row r="1832" spans="1:3" ht="15" thickBot="1">
      <c r="A1832" s="3" t="s">
        <v>2639</v>
      </c>
      <c r="B1832" s="3" t="s">
        <v>2420</v>
      </c>
      <c r="C1832" s="4">
        <v>1</v>
      </c>
    </row>
    <row r="1833" spans="1:3" ht="15" thickBot="1">
      <c r="A1833" s="3" t="s">
        <v>2640</v>
      </c>
      <c r="B1833" s="3" t="s">
        <v>138</v>
      </c>
      <c r="C1833" s="4">
        <v>1</v>
      </c>
    </row>
    <row r="1834" spans="1:3" ht="15" thickBot="1">
      <c r="A1834" s="3" t="s">
        <v>2641</v>
      </c>
      <c r="B1834" s="3" t="s">
        <v>22</v>
      </c>
      <c r="C1834" s="4">
        <v>1</v>
      </c>
    </row>
    <row r="1835" spans="1:3" ht="15" thickBot="1">
      <c r="A1835" s="3" t="s">
        <v>2642</v>
      </c>
      <c r="B1835" s="3" t="s">
        <v>138</v>
      </c>
      <c r="C1835" s="4">
        <v>1</v>
      </c>
    </row>
    <row r="1836" spans="1:3" ht="15" thickBot="1">
      <c r="A1836" s="3" t="s">
        <v>2643</v>
      </c>
      <c r="B1836" s="3" t="s">
        <v>138</v>
      </c>
      <c r="C1836" s="4">
        <v>1</v>
      </c>
    </row>
    <row r="1837" spans="1:3" ht="15" thickBot="1">
      <c r="A1837" s="3" t="s">
        <v>2644</v>
      </c>
      <c r="B1837" s="3" t="s">
        <v>1802</v>
      </c>
      <c r="C1837" s="4">
        <v>1</v>
      </c>
    </row>
    <row r="1838" spans="1:3" ht="15" thickBot="1">
      <c r="A1838" s="3" t="s">
        <v>652</v>
      </c>
      <c r="B1838" s="3" t="s">
        <v>32</v>
      </c>
      <c r="C1838" s="4">
        <v>1</v>
      </c>
    </row>
    <row r="1839" spans="1:3" ht="15" thickBot="1">
      <c r="A1839" s="3" t="s">
        <v>2645</v>
      </c>
      <c r="B1839" s="3" t="s">
        <v>1805</v>
      </c>
      <c r="C1839" s="4">
        <v>1</v>
      </c>
    </row>
    <row r="1840" spans="1:3" ht="15" thickBot="1">
      <c r="A1840" s="3" t="s">
        <v>2646</v>
      </c>
      <c r="B1840" s="3" t="s">
        <v>34</v>
      </c>
      <c r="C1840" s="4">
        <v>1</v>
      </c>
    </row>
    <row r="1841" spans="1:3" ht="15" thickBot="1">
      <c r="A1841" s="3" t="s">
        <v>848</v>
      </c>
      <c r="B1841" s="3" t="s">
        <v>1810</v>
      </c>
      <c r="C1841" s="4">
        <v>6</v>
      </c>
    </row>
    <row r="1842" spans="1:3" ht="15" thickBot="1">
      <c r="A1842" s="3" t="s">
        <v>2647</v>
      </c>
      <c r="B1842" s="3" t="s">
        <v>2420</v>
      </c>
      <c r="C1842" s="4">
        <v>1</v>
      </c>
    </row>
    <row r="1843" spans="1:3" ht="15" thickBot="1">
      <c r="A1843" s="3" t="s">
        <v>2648</v>
      </c>
      <c r="B1843" s="3" t="s">
        <v>61</v>
      </c>
      <c r="C1843" s="4">
        <v>1</v>
      </c>
    </row>
    <row r="1844" spans="1:3" ht="15" thickBot="1">
      <c r="A1844" s="3" t="s">
        <v>1002</v>
      </c>
      <c r="B1844" s="3" t="s">
        <v>2365</v>
      </c>
      <c r="C1844" s="4">
        <v>2</v>
      </c>
    </row>
    <row r="1845" spans="1:3" ht="15" thickBot="1">
      <c r="A1845" s="3" t="s">
        <v>2649</v>
      </c>
      <c r="B1845" s="3" t="s">
        <v>1947</v>
      </c>
      <c r="C1845" s="4">
        <v>1</v>
      </c>
    </row>
    <row r="1846" spans="1:3" ht="15" thickBot="1">
      <c r="A1846" s="3" t="s">
        <v>1226</v>
      </c>
      <c r="B1846" s="3" t="s">
        <v>61</v>
      </c>
      <c r="C1846" s="4">
        <v>1</v>
      </c>
    </row>
    <row r="1847" spans="1:3" ht="15" thickBot="1">
      <c r="A1847" s="3" t="s">
        <v>2650</v>
      </c>
      <c r="B1847" s="3" t="s">
        <v>4</v>
      </c>
      <c r="C1847" s="4">
        <v>1</v>
      </c>
    </row>
    <row r="1848" spans="1:3" ht="15" thickBot="1">
      <c r="A1848" s="3" t="s">
        <v>205</v>
      </c>
      <c r="B1848" s="3" t="s">
        <v>1802</v>
      </c>
      <c r="C1848" s="4">
        <v>1</v>
      </c>
    </row>
    <row r="1849" spans="1:3" ht="15" thickBot="1">
      <c r="A1849" s="3" t="s">
        <v>2651</v>
      </c>
      <c r="B1849" s="3" t="s">
        <v>2359</v>
      </c>
      <c r="C1849" s="4">
        <v>1</v>
      </c>
    </row>
    <row r="1850" spans="1:3" ht="15" thickBot="1">
      <c r="A1850" s="3" t="s">
        <v>2652</v>
      </c>
      <c r="B1850" s="3" t="s">
        <v>22</v>
      </c>
      <c r="C1850" s="4">
        <v>1</v>
      </c>
    </row>
    <row r="1851" spans="1:3" ht="15" thickBot="1">
      <c r="A1851" s="3" t="s">
        <v>1401</v>
      </c>
      <c r="B1851" s="3" t="s">
        <v>26</v>
      </c>
      <c r="C1851" s="4">
        <v>2</v>
      </c>
    </row>
    <row r="1852" spans="1:3" ht="15" thickBot="1">
      <c r="A1852" s="3" t="s">
        <v>2653</v>
      </c>
      <c r="B1852" s="3" t="s">
        <v>2359</v>
      </c>
      <c r="C1852" s="4">
        <v>1</v>
      </c>
    </row>
    <row r="1853" spans="1:3" ht="15" thickBot="1">
      <c r="A1853" s="3" t="s">
        <v>2654</v>
      </c>
      <c r="B1853" s="3" t="s">
        <v>138</v>
      </c>
      <c r="C1853" s="4">
        <v>3</v>
      </c>
    </row>
    <row r="1854" spans="1:3" ht="15" thickBot="1">
      <c r="A1854" s="3" t="s">
        <v>2655</v>
      </c>
      <c r="B1854" s="3" t="s">
        <v>125</v>
      </c>
      <c r="C1854" s="4">
        <v>1</v>
      </c>
    </row>
    <row r="1855" spans="1:3" ht="15" thickBot="1">
      <c r="A1855" s="3" t="s">
        <v>634</v>
      </c>
      <c r="B1855" s="3" t="s">
        <v>4</v>
      </c>
      <c r="C1855" s="4">
        <v>3</v>
      </c>
    </row>
    <row r="1856" spans="1:3" ht="15" thickBot="1">
      <c r="A1856" s="3" t="s">
        <v>875</v>
      </c>
      <c r="B1856" s="3" t="s">
        <v>24</v>
      </c>
      <c r="C1856" s="4">
        <v>2</v>
      </c>
    </row>
    <row r="1857" spans="1:3" ht="15" thickBot="1">
      <c r="A1857" s="3" t="s">
        <v>1592</v>
      </c>
      <c r="B1857" s="3" t="s">
        <v>1802</v>
      </c>
      <c r="C1857" s="4">
        <v>1</v>
      </c>
    </row>
    <row r="1858" spans="1:3" ht="15" thickBot="1">
      <c r="A1858" s="3" t="s">
        <v>1398</v>
      </c>
      <c r="B1858" s="3" t="s">
        <v>19</v>
      </c>
      <c r="C1858" s="4">
        <v>1</v>
      </c>
    </row>
    <row r="1859" spans="1:3" ht="15" thickBot="1">
      <c r="A1859" s="3" t="s">
        <v>730</v>
      </c>
      <c r="B1859" s="3" t="s">
        <v>34</v>
      </c>
      <c r="C1859" s="4">
        <v>1</v>
      </c>
    </row>
    <row r="1860" spans="1:3" ht="15" thickBot="1">
      <c r="A1860" s="3" t="s">
        <v>1388</v>
      </c>
      <c r="B1860" s="6" t="s">
        <v>1803</v>
      </c>
      <c r="C1860" s="4">
        <v>1</v>
      </c>
    </row>
    <row r="1861" spans="1:3" ht="15" thickBot="1">
      <c r="A1861" s="3" t="s">
        <v>1601</v>
      </c>
      <c r="B1861" s="3" t="s">
        <v>1802</v>
      </c>
      <c r="C1861" s="4">
        <v>1</v>
      </c>
    </row>
    <row r="1862" spans="1:3" ht="15" thickBot="1">
      <c r="A1862" s="3" t="s">
        <v>2656</v>
      </c>
      <c r="B1862" s="3" t="s">
        <v>2372</v>
      </c>
      <c r="C1862" s="4">
        <v>1</v>
      </c>
    </row>
    <row r="1863" spans="1:3" ht="15" thickBot="1">
      <c r="A1863" s="3" t="s">
        <v>2657</v>
      </c>
      <c r="B1863" s="3" t="s">
        <v>1802</v>
      </c>
      <c r="C1863" s="4">
        <v>1</v>
      </c>
    </row>
    <row r="1864" spans="1:3" ht="15" thickBot="1">
      <c r="A1864" s="3" t="s">
        <v>1698</v>
      </c>
      <c r="B1864" s="3" t="s">
        <v>1802</v>
      </c>
      <c r="C1864" s="4">
        <v>1</v>
      </c>
    </row>
    <row r="1865" spans="1:3" ht="15" thickBot="1">
      <c r="A1865" s="3" t="s">
        <v>2658</v>
      </c>
      <c r="B1865" s="3" t="s">
        <v>1802</v>
      </c>
      <c r="C1865" s="4">
        <v>2</v>
      </c>
    </row>
    <row r="1866" spans="1:3" ht="15" thickBot="1">
      <c r="A1866" s="3" t="s">
        <v>2659</v>
      </c>
      <c r="B1866" s="3" t="s">
        <v>2372</v>
      </c>
      <c r="C1866" s="4">
        <v>2</v>
      </c>
    </row>
    <row r="1867" spans="1:3" ht="15" thickBot="1">
      <c r="A1867" s="3" t="s">
        <v>2660</v>
      </c>
      <c r="B1867" s="3" t="s">
        <v>1802</v>
      </c>
      <c r="C1867" s="4">
        <v>1</v>
      </c>
    </row>
    <row r="1868" spans="1:3" ht="15" thickBot="1">
      <c r="A1868" s="3" t="s">
        <v>2661</v>
      </c>
      <c r="B1868" s="3" t="s">
        <v>1802</v>
      </c>
      <c r="C1868" s="4">
        <v>1</v>
      </c>
    </row>
    <row r="1869" spans="1:3" ht="15" thickBot="1">
      <c r="A1869" s="3" t="s">
        <v>1557</v>
      </c>
      <c r="B1869" s="3" t="s">
        <v>2372</v>
      </c>
      <c r="C1869" s="4">
        <v>1</v>
      </c>
    </row>
    <row r="1870" spans="1:3" ht="15" thickBot="1">
      <c r="A1870" s="3" t="s">
        <v>2662</v>
      </c>
      <c r="B1870" s="3" t="s">
        <v>26</v>
      </c>
      <c r="C1870" s="4">
        <v>2</v>
      </c>
    </row>
    <row r="1871" spans="1:3" ht="15" thickBot="1">
      <c r="A1871" s="3" t="s">
        <v>2663</v>
      </c>
      <c r="B1871" s="3" t="s">
        <v>19</v>
      </c>
      <c r="C1871" s="4">
        <v>1</v>
      </c>
    </row>
    <row r="1872" spans="1:3" ht="15" thickBot="1">
      <c r="A1872" s="3" t="s">
        <v>2664</v>
      </c>
      <c r="B1872" s="3" t="s">
        <v>22</v>
      </c>
      <c r="C1872" s="4">
        <v>2</v>
      </c>
    </row>
    <row r="1873" spans="1:3" ht="15" thickBot="1">
      <c r="A1873" s="3" t="s">
        <v>2665</v>
      </c>
      <c r="B1873" s="3" t="s">
        <v>1802</v>
      </c>
      <c r="C1873" s="4">
        <v>1</v>
      </c>
    </row>
    <row r="1874" spans="1:3" ht="15" thickBot="1">
      <c r="A1874" s="3" t="s">
        <v>2666</v>
      </c>
      <c r="B1874" s="3" t="s">
        <v>2420</v>
      </c>
      <c r="C1874" s="4">
        <v>2</v>
      </c>
    </row>
    <row r="1875" spans="1:3" ht="15" thickBot="1">
      <c r="A1875" s="3" t="s">
        <v>1090</v>
      </c>
      <c r="B1875" s="3" t="s">
        <v>34</v>
      </c>
      <c r="C1875" s="4">
        <v>1</v>
      </c>
    </row>
    <row r="1876" spans="1:3" ht="15" thickBot="1">
      <c r="A1876" s="3" t="s">
        <v>2667</v>
      </c>
      <c r="B1876" s="3" t="s">
        <v>138</v>
      </c>
      <c r="C1876" s="4">
        <v>1</v>
      </c>
    </row>
    <row r="1877" spans="1:3" ht="15" thickBot="1">
      <c r="A1877" s="3" t="s">
        <v>2668</v>
      </c>
      <c r="B1877" s="3" t="s">
        <v>125</v>
      </c>
      <c r="C1877" s="4">
        <v>1</v>
      </c>
    </row>
    <row r="1878" spans="1:3" ht="15" thickBot="1">
      <c r="A1878" s="3" t="s">
        <v>365</v>
      </c>
      <c r="B1878" s="3" t="s">
        <v>2359</v>
      </c>
      <c r="C1878" s="4">
        <v>1</v>
      </c>
    </row>
    <row r="1879" spans="1:3" ht="15" thickBot="1">
      <c r="A1879" s="3" t="s">
        <v>2669</v>
      </c>
      <c r="B1879" s="3" t="s">
        <v>34</v>
      </c>
      <c r="C1879" s="4">
        <v>1</v>
      </c>
    </row>
    <row r="1880" spans="1:3" ht="15" thickBot="1">
      <c r="A1880" s="3" t="s">
        <v>497</v>
      </c>
      <c r="B1880" s="3" t="s">
        <v>4</v>
      </c>
      <c r="C1880" s="4">
        <v>22</v>
      </c>
    </row>
    <row r="1881" spans="1:3" ht="15" thickBot="1">
      <c r="A1881" s="3" t="s">
        <v>1658</v>
      </c>
      <c r="B1881" s="3" t="s">
        <v>4</v>
      </c>
      <c r="C1881" s="4">
        <v>12</v>
      </c>
    </row>
    <row r="1882" spans="1:3" ht="15" thickBot="1">
      <c r="A1882" s="3" t="s">
        <v>1605</v>
      </c>
      <c r="B1882" s="3" t="s">
        <v>115</v>
      </c>
      <c r="C1882" s="4">
        <v>1</v>
      </c>
    </row>
    <row r="1883" spans="1:3" ht="15" thickBot="1">
      <c r="A1883" s="3" t="s">
        <v>1553</v>
      </c>
      <c r="B1883" s="3" t="s">
        <v>115</v>
      </c>
      <c r="C1883" s="4">
        <v>2</v>
      </c>
    </row>
    <row r="1884" spans="1:3" ht="15" thickBot="1">
      <c r="A1884" s="3" t="s">
        <v>2670</v>
      </c>
      <c r="B1884" s="3" t="s">
        <v>32</v>
      </c>
      <c r="C1884" s="4">
        <v>1</v>
      </c>
    </row>
    <row r="1885" spans="1:3" ht="15" thickBot="1">
      <c r="A1885" s="3" t="s">
        <v>1020</v>
      </c>
      <c r="B1885" s="3" t="s">
        <v>22</v>
      </c>
      <c r="C1885" s="4">
        <v>1</v>
      </c>
    </row>
    <row r="1886" spans="1:3" ht="15" thickBot="1">
      <c r="A1886" s="3" t="s">
        <v>2671</v>
      </c>
      <c r="B1886" s="3" t="s">
        <v>2420</v>
      </c>
      <c r="C1886" s="4">
        <v>3</v>
      </c>
    </row>
    <row r="1887" spans="1:3" ht="15" thickBot="1">
      <c r="A1887" s="3" t="s">
        <v>2672</v>
      </c>
      <c r="B1887" s="3" t="s">
        <v>22</v>
      </c>
      <c r="C1887" s="4">
        <v>1</v>
      </c>
    </row>
    <row r="1888" spans="1:3" ht="15" thickBot="1">
      <c r="A1888" s="3" t="s">
        <v>834</v>
      </c>
      <c r="B1888" s="3" t="s">
        <v>2359</v>
      </c>
      <c r="C1888" s="4">
        <v>1</v>
      </c>
    </row>
    <row r="1889" spans="1:3" ht="15" thickBot="1">
      <c r="A1889" s="3" t="s">
        <v>1581</v>
      </c>
      <c r="B1889" s="3" t="s">
        <v>1802</v>
      </c>
      <c r="C1889" s="4">
        <v>1</v>
      </c>
    </row>
    <row r="1890" spans="1:3" ht="15" thickBot="1">
      <c r="A1890" s="3" t="s">
        <v>1391</v>
      </c>
      <c r="B1890" s="3" t="s">
        <v>1802</v>
      </c>
      <c r="C1890" s="4">
        <v>1</v>
      </c>
    </row>
    <row r="1891" spans="1:3" ht="15" thickBot="1">
      <c r="A1891" s="3" t="s">
        <v>1755</v>
      </c>
      <c r="B1891" s="3" t="s">
        <v>22</v>
      </c>
      <c r="C1891" s="4">
        <v>1</v>
      </c>
    </row>
    <row r="1892" spans="1:3" ht="15" thickBot="1">
      <c r="A1892" s="3" t="s">
        <v>2673</v>
      </c>
      <c r="B1892" s="3" t="s">
        <v>34</v>
      </c>
      <c r="C1892" s="4">
        <v>1</v>
      </c>
    </row>
    <row r="1893" spans="1:3" ht="15" thickBot="1">
      <c r="A1893" s="3" t="s">
        <v>2674</v>
      </c>
      <c r="B1893" s="6" t="s">
        <v>1808</v>
      </c>
      <c r="C1893" s="4">
        <v>1</v>
      </c>
    </row>
    <row r="1894" spans="1:3" ht="15" thickBot="1">
      <c r="A1894" s="3" t="s">
        <v>2675</v>
      </c>
      <c r="B1894" s="3" t="s">
        <v>1802</v>
      </c>
      <c r="C1894" s="4">
        <v>2</v>
      </c>
    </row>
    <row r="1895" spans="1:3" ht="15" thickBot="1">
      <c r="A1895" s="3" t="s">
        <v>554</v>
      </c>
      <c r="B1895" s="3" t="s">
        <v>22</v>
      </c>
      <c r="C1895" s="4">
        <v>1</v>
      </c>
    </row>
    <row r="1896" spans="1:3" ht="15" thickBot="1">
      <c r="A1896" s="3" t="s">
        <v>643</v>
      </c>
      <c r="B1896" s="3" t="s">
        <v>2420</v>
      </c>
      <c r="C1896" s="4">
        <v>10</v>
      </c>
    </row>
    <row r="1897" spans="1:3" ht="15" thickBot="1">
      <c r="A1897" s="3" t="s">
        <v>2676</v>
      </c>
      <c r="B1897" s="3" t="s">
        <v>34</v>
      </c>
      <c r="C1897" s="4">
        <v>1</v>
      </c>
    </row>
    <row r="1898" spans="1:3" ht="15" thickBot="1">
      <c r="A1898" s="3" t="s">
        <v>2677</v>
      </c>
      <c r="B1898" s="3" t="s">
        <v>2420</v>
      </c>
      <c r="C1898" s="4">
        <v>1</v>
      </c>
    </row>
    <row r="1899" spans="1:3" ht="15" thickBot="1">
      <c r="A1899" s="3" t="s">
        <v>2678</v>
      </c>
      <c r="B1899" s="3" t="s">
        <v>2420</v>
      </c>
      <c r="C1899" s="4">
        <v>1</v>
      </c>
    </row>
    <row r="1900" spans="1:3" ht="15" thickBot="1">
      <c r="A1900" s="3" t="s">
        <v>2679</v>
      </c>
      <c r="B1900" s="3" t="s">
        <v>1802</v>
      </c>
      <c r="C1900" s="4">
        <v>1</v>
      </c>
    </row>
    <row r="1901" spans="1:3" ht="15" thickBot="1">
      <c r="A1901" s="3" t="s">
        <v>2680</v>
      </c>
      <c r="B1901" s="3" t="s">
        <v>61</v>
      </c>
      <c r="C1901" s="4">
        <v>2</v>
      </c>
    </row>
    <row r="1902" spans="1:3" ht="15" thickBot="1">
      <c r="A1902" s="3" t="s">
        <v>2681</v>
      </c>
      <c r="B1902" s="3" t="s">
        <v>125</v>
      </c>
      <c r="C1902" s="4">
        <v>1</v>
      </c>
    </row>
    <row r="1903" spans="1:3" ht="15" thickBot="1">
      <c r="A1903" s="3" t="s">
        <v>2682</v>
      </c>
      <c r="B1903" s="3" t="s">
        <v>2359</v>
      </c>
      <c r="C1903" s="4">
        <v>2</v>
      </c>
    </row>
    <row r="1904" spans="1:3" ht="15" thickBot="1">
      <c r="A1904" s="3" t="s">
        <v>1591</v>
      </c>
      <c r="B1904" s="3" t="s">
        <v>61</v>
      </c>
      <c r="C1904" s="4">
        <v>1</v>
      </c>
    </row>
    <row r="1905" spans="1:3" ht="15" thickBot="1">
      <c r="A1905" s="3" t="s">
        <v>2683</v>
      </c>
      <c r="B1905" s="3" t="s">
        <v>410</v>
      </c>
      <c r="C1905" s="4">
        <v>1</v>
      </c>
    </row>
    <row r="1906" spans="1:3" ht="15" thickBot="1">
      <c r="A1906" s="3" t="s">
        <v>2684</v>
      </c>
      <c r="B1906" s="3" t="s">
        <v>125</v>
      </c>
      <c r="C1906" s="4">
        <v>1</v>
      </c>
    </row>
    <row r="1907" spans="1:3" ht="15" thickBot="1">
      <c r="A1907" s="3" t="s">
        <v>2685</v>
      </c>
      <c r="B1907" s="3" t="s">
        <v>34</v>
      </c>
      <c r="C1907" s="4">
        <v>1</v>
      </c>
    </row>
    <row r="1908" spans="1:3" ht="15" thickBot="1">
      <c r="A1908" s="3" t="s">
        <v>2686</v>
      </c>
      <c r="B1908" s="3" t="s">
        <v>2359</v>
      </c>
      <c r="C1908" s="4">
        <v>1</v>
      </c>
    </row>
    <row r="1909" spans="1:3" ht="15" thickBot="1">
      <c r="A1909" s="3" t="s">
        <v>1743</v>
      </c>
      <c r="B1909" s="3" t="s">
        <v>34</v>
      </c>
      <c r="C1909" s="4">
        <v>1</v>
      </c>
    </row>
    <row r="1910" spans="1:3" ht="15" thickBot="1">
      <c r="A1910" s="3" t="s">
        <v>2687</v>
      </c>
      <c r="B1910" s="3" t="s">
        <v>61</v>
      </c>
      <c r="C1910" s="4">
        <v>2</v>
      </c>
    </row>
    <row r="1911" spans="1:3" ht="15" thickBot="1">
      <c r="A1911" s="3" t="s">
        <v>2688</v>
      </c>
      <c r="B1911" s="3" t="s">
        <v>125</v>
      </c>
      <c r="C1911" s="4">
        <v>1</v>
      </c>
    </row>
    <row r="1912" spans="1:3" ht="15" thickBot="1">
      <c r="A1912" s="3" t="s">
        <v>2689</v>
      </c>
      <c r="B1912" s="3" t="s">
        <v>1802</v>
      </c>
      <c r="C1912" s="4">
        <v>1</v>
      </c>
    </row>
    <row r="1913" spans="1:3" ht="15" thickBot="1">
      <c r="A1913" s="3" t="s">
        <v>2690</v>
      </c>
      <c r="B1913" s="3" t="s">
        <v>1802</v>
      </c>
      <c r="C1913" s="4">
        <v>1</v>
      </c>
    </row>
    <row r="1914" spans="1:3" ht="15" thickBot="1">
      <c r="A1914" s="3" t="s">
        <v>1034</v>
      </c>
      <c r="B1914" s="3" t="s">
        <v>26</v>
      </c>
      <c r="C1914" s="4">
        <v>3</v>
      </c>
    </row>
    <row r="1915" spans="1:3" ht="15" thickBot="1">
      <c r="A1915" s="3" t="s">
        <v>2691</v>
      </c>
      <c r="B1915" s="3" t="s">
        <v>125</v>
      </c>
      <c r="C1915" s="4">
        <v>1</v>
      </c>
    </row>
    <row r="1916" spans="1:3" ht="15" thickBot="1">
      <c r="A1916" s="3" t="s">
        <v>2692</v>
      </c>
      <c r="B1916" s="3" t="s">
        <v>125</v>
      </c>
      <c r="C1916" s="4">
        <v>1</v>
      </c>
    </row>
    <row r="1917" spans="1:3" ht="15" thickBot="1">
      <c r="A1917" s="3" t="s">
        <v>2693</v>
      </c>
      <c r="B1917" s="3" t="s">
        <v>26</v>
      </c>
      <c r="C1917" s="4">
        <v>1</v>
      </c>
    </row>
    <row r="1918" spans="1:3" ht="15" thickBot="1">
      <c r="A1918" s="3" t="s">
        <v>2694</v>
      </c>
      <c r="B1918" s="3" t="s">
        <v>125</v>
      </c>
      <c r="C1918" s="4">
        <v>1</v>
      </c>
    </row>
    <row r="1919" spans="1:3" ht="15" thickBot="1">
      <c r="A1919" s="3" t="s">
        <v>2695</v>
      </c>
      <c r="B1919" s="3" t="s">
        <v>1802</v>
      </c>
      <c r="C1919" s="4">
        <v>1</v>
      </c>
    </row>
    <row r="1920" spans="1:3" ht="15" thickBot="1">
      <c r="A1920" s="3" t="s">
        <v>990</v>
      </c>
      <c r="B1920" s="3" t="s">
        <v>2372</v>
      </c>
      <c r="C1920" s="4">
        <v>1</v>
      </c>
    </row>
    <row r="1921" spans="1:3" ht="15" thickBot="1">
      <c r="A1921" s="3" t="s">
        <v>2696</v>
      </c>
      <c r="B1921" s="3" t="s">
        <v>19</v>
      </c>
      <c r="C1921" s="4">
        <v>1</v>
      </c>
    </row>
    <row r="1922" spans="1:3" ht="15" thickBot="1">
      <c r="A1922" s="3" t="s">
        <v>2697</v>
      </c>
      <c r="B1922" s="3" t="s">
        <v>2359</v>
      </c>
      <c r="C1922" s="4">
        <v>1</v>
      </c>
    </row>
    <row r="1923" spans="1:3" ht="15" thickBot="1">
      <c r="A1923" s="3" t="s">
        <v>2698</v>
      </c>
      <c r="B1923" s="3" t="s">
        <v>2359</v>
      </c>
      <c r="C1923" s="4">
        <v>1</v>
      </c>
    </row>
    <row r="1924" spans="1:3" ht="15" thickBot="1">
      <c r="A1924" s="3" t="s">
        <v>2699</v>
      </c>
      <c r="B1924" s="3" t="s">
        <v>1802</v>
      </c>
      <c r="C1924" s="4">
        <v>2</v>
      </c>
    </row>
    <row r="1925" spans="1:3" ht="15" thickBot="1">
      <c r="A1925" s="3" t="s">
        <v>2700</v>
      </c>
      <c r="B1925" s="3" t="s">
        <v>61</v>
      </c>
      <c r="C1925" s="4">
        <v>2</v>
      </c>
    </row>
    <row r="1926" spans="1:3" ht="15" thickBot="1">
      <c r="A1926" s="3" t="s">
        <v>2701</v>
      </c>
      <c r="B1926" s="3" t="s">
        <v>1802</v>
      </c>
      <c r="C1926" s="4">
        <v>2</v>
      </c>
    </row>
    <row r="1927" spans="1:3" ht="15" thickBot="1">
      <c r="A1927" s="3" t="s">
        <v>1750</v>
      </c>
      <c r="B1927" s="3" t="s">
        <v>24</v>
      </c>
      <c r="C1927" s="4">
        <v>1</v>
      </c>
    </row>
    <row r="1928" spans="1:3" ht="15" thickBot="1">
      <c r="A1928" s="3" t="s">
        <v>1549</v>
      </c>
      <c r="B1928" s="3" t="s">
        <v>26</v>
      </c>
      <c r="C1928" s="4">
        <v>2</v>
      </c>
    </row>
    <row r="1929" spans="1:3" ht="15" thickBot="1">
      <c r="A1929" s="3" t="s">
        <v>2702</v>
      </c>
      <c r="B1929" s="3" t="s">
        <v>1805</v>
      </c>
      <c r="C1929" s="4">
        <v>2</v>
      </c>
    </row>
    <row r="1930" spans="1:3" ht="15" thickBot="1">
      <c r="A1930" s="3" t="s">
        <v>2703</v>
      </c>
      <c r="B1930" s="3" t="s">
        <v>61</v>
      </c>
      <c r="C1930" s="4">
        <v>1</v>
      </c>
    </row>
    <row r="1931" spans="1:3" ht="15" thickBot="1">
      <c r="A1931" s="3" t="s">
        <v>2704</v>
      </c>
      <c r="B1931" s="3" t="s">
        <v>125</v>
      </c>
      <c r="C1931" s="4">
        <v>1</v>
      </c>
    </row>
    <row r="1932" spans="1:3" ht="15" thickBot="1">
      <c r="A1932" s="3" t="s">
        <v>1503</v>
      </c>
      <c r="B1932" s="3" t="s">
        <v>19</v>
      </c>
      <c r="C1932" s="4">
        <v>2</v>
      </c>
    </row>
    <row r="1933" spans="1:3" ht="15" thickBot="1">
      <c r="A1933" s="3" t="s">
        <v>1015</v>
      </c>
      <c r="B1933" s="3" t="s">
        <v>34</v>
      </c>
      <c r="C1933" s="4">
        <v>1</v>
      </c>
    </row>
    <row r="1934" spans="1:3" ht="15" thickBot="1">
      <c r="A1934" s="3" t="s">
        <v>696</v>
      </c>
      <c r="B1934" s="3" t="s">
        <v>2372</v>
      </c>
      <c r="C1934" s="4">
        <v>2</v>
      </c>
    </row>
    <row r="1935" spans="1:3" ht="15" thickBot="1">
      <c r="A1935" s="3" t="s">
        <v>2705</v>
      </c>
      <c r="B1935" s="3" t="s">
        <v>34</v>
      </c>
      <c r="C1935" s="4">
        <v>1</v>
      </c>
    </row>
    <row r="1936" spans="1:3" ht="15" thickBot="1">
      <c r="A1936" s="3" t="s">
        <v>2706</v>
      </c>
      <c r="B1936" s="3" t="s">
        <v>2359</v>
      </c>
      <c r="C1936" s="4">
        <v>1</v>
      </c>
    </row>
    <row r="1937" spans="1:3" ht="15" thickBot="1">
      <c r="A1937" s="3" t="s">
        <v>986</v>
      </c>
      <c r="B1937" s="3" t="s">
        <v>26</v>
      </c>
      <c r="C1937" s="4">
        <v>1</v>
      </c>
    </row>
    <row r="1938" spans="1:3" ht="15" thickBot="1">
      <c r="A1938" s="3" t="s">
        <v>2707</v>
      </c>
      <c r="B1938" s="3" t="s">
        <v>61</v>
      </c>
      <c r="C1938" s="4">
        <v>2</v>
      </c>
    </row>
    <row r="1939" spans="1:3" ht="15" thickBot="1">
      <c r="A1939" s="3" t="s">
        <v>2708</v>
      </c>
      <c r="B1939" s="3" t="s">
        <v>2359</v>
      </c>
      <c r="C1939" s="4">
        <v>1</v>
      </c>
    </row>
    <row r="1940" spans="1:3" ht="15" thickBot="1">
      <c r="A1940" s="3" t="s">
        <v>2709</v>
      </c>
      <c r="B1940" s="3" t="s">
        <v>1802</v>
      </c>
      <c r="C1940" s="4">
        <v>1</v>
      </c>
    </row>
    <row r="1941" spans="1:3" ht="15" thickBot="1">
      <c r="A1941" s="3" t="s">
        <v>1039</v>
      </c>
      <c r="B1941" s="3" t="s">
        <v>2365</v>
      </c>
      <c r="C1941" s="4">
        <v>1</v>
      </c>
    </row>
    <row r="1942" spans="1:3" ht="15" thickBot="1">
      <c r="A1942" s="3" t="s">
        <v>2710</v>
      </c>
      <c r="B1942" s="3" t="s">
        <v>19</v>
      </c>
      <c r="C1942" s="4">
        <v>1</v>
      </c>
    </row>
    <row r="1943" spans="1:3" ht="15" thickBot="1">
      <c r="A1943" s="3" t="s">
        <v>1404</v>
      </c>
      <c r="B1943" s="3" t="s">
        <v>26</v>
      </c>
      <c r="C1943" s="4">
        <v>1</v>
      </c>
    </row>
    <row r="1944" spans="1:3" ht="15" thickBot="1">
      <c r="A1944" s="3" t="s">
        <v>2711</v>
      </c>
      <c r="B1944" s="3" t="s">
        <v>19</v>
      </c>
      <c r="C1944" s="4">
        <v>1</v>
      </c>
    </row>
    <row r="1945" spans="1:3" ht="15" thickBot="1">
      <c r="A1945" s="3" t="s">
        <v>2712</v>
      </c>
      <c r="B1945" s="3" t="s">
        <v>26</v>
      </c>
      <c r="C1945" s="4">
        <v>1</v>
      </c>
    </row>
    <row r="1946" spans="1:3" ht="15" thickBot="1">
      <c r="A1946" s="3" t="s">
        <v>2713</v>
      </c>
      <c r="B1946" s="3" t="s">
        <v>2359</v>
      </c>
      <c r="C1946" s="4">
        <v>1</v>
      </c>
    </row>
    <row r="1947" spans="1:3" ht="15" thickBot="1">
      <c r="A1947" s="3" t="s">
        <v>947</v>
      </c>
      <c r="B1947" s="3" t="s">
        <v>24</v>
      </c>
      <c r="C1947" s="4">
        <v>3</v>
      </c>
    </row>
    <row r="1948" spans="1:3" ht="15" thickBot="1">
      <c r="A1948" s="3" t="s">
        <v>2714</v>
      </c>
      <c r="B1948" s="3" t="s">
        <v>2420</v>
      </c>
      <c r="C1948" s="4">
        <v>1</v>
      </c>
    </row>
    <row r="1949" spans="1:3" ht="15" thickBot="1">
      <c r="A1949" s="3" t="s">
        <v>2715</v>
      </c>
      <c r="B1949" s="3" t="s">
        <v>4</v>
      </c>
      <c r="C1949" s="4">
        <v>2</v>
      </c>
    </row>
    <row r="1950" spans="1:3" ht="15" thickBot="1">
      <c r="A1950" s="3" t="s">
        <v>2716</v>
      </c>
      <c r="B1950" s="3" t="s">
        <v>319</v>
      </c>
      <c r="C1950" s="4">
        <v>1</v>
      </c>
    </row>
    <row r="1951" spans="1:3" ht="15" thickBot="1">
      <c r="A1951" s="3" t="s">
        <v>2717</v>
      </c>
      <c r="B1951" s="3" t="s">
        <v>125</v>
      </c>
      <c r="C1951" s="4">
        <v>1</v>
      </c>
    </row>
    <row r="1952" spans="1:3" ht="15" thickBot="1">
      <c r="A1952" s="3" t="s">
        <v>2718</v>
      </c>
      <c r="B1952" s="3" t="s">
        <v>1805</v>
      </c>
      <c r="C1952" s="4">
        <v>1</v>
      </c>
    </row>
    <row r="1953" spans="1:3" ht="15" thickBot="1">
      <c r="A1953" s="3" t="s">
        <v>905</v>
      </c>
      <c r="B1953" s="3" t="s">
        <v>319</v>
      </c>
      <c r="C1953" s="4">
        <v>1</v>
      </c>
    </row>
    <row r="1954" spans="1:3" ht="15" thickBot="1">
      <c r="A1954" s="3" t="s">
        <v>1740</v>
      </c>
      <c r="B1954" s="3" t="s">
        <v>319</v>
      </c>
      <c r="C1954" s="4">
        <v>1</v>
      </c>
    </row>
    <row r="1955" spans="1:3" ht="15" thickBot="1">
      <c r="A1955" s="3" t="s">
        <v>2719</v>
      </c>
      <c r="B1955" s="3" t="s">
        <v>1805</v>
      </c>
      <c r="C1955" s="4">
        <v>1</v>
      </c>
    </row>
    <row r="1956" spans="1:3" ht="15" thickBot="1">
      <c r="A1956" s="3" t="s">
        <v>2720</v>
      </c>
      <c r="B1956" s="3" t="s">
        <v>125</v>
      </c>
      <c r="C1956" s="4">
        <v>1</v>
      </c>
    </row>
    <row r="1957" spans="1:3" ht="15" thickBot="1">
      <c r="A1957" s="3" t="s">
        <v>2721</v>
      </c>
      <c r="B1957" s="3" t="s">
        <v>319</v>
      </c>
      <c r="C1957" s="4">
        <v>1</v>
      </c>
    </row>
    <row r="1958" spans="1:3" ht="15" thickBot="1">
      <c r="A1958" s="3" t="s">
        <v>1768</v>
      </c>
      <c r="B1958" s="3" t="s">
        <v>319</v>
      </c>
      <c r="C1958" s="4">
        <v>1</v>
      </c>
    </row>
    <row r="1959" spans="1:3" ht="15" thickBot="1">
      <c r="A1959" s="3" t="s">
        <v>2722</v>
      </c>
      <c r="B1959" s="3" t="s">
        <v>125</v>
      </c>
      <c r="C1959" s="4">
        <v>1</v>
      </c>
    </row>
    <row r="1960" spans="1:3" ht="15" thickBot="1">
      <c r="A1960" s="3" t="s">
        <v>2723</v>
      </c>
      <c r="B1960" s="3" t="s">
        <v>26</v>
      </c>
      <c r="C1960" s="4">
        <v>2</v>
      </c>
    </row>
    <row r="1961" spans="1:3" ht="15" thickBot="1">
      <c r="A1961" s="3" t="s">
        <v>2724</v>
      </c>
      <c r="B1961" s="3" t="s">
        <v>1810</v>
      </c>
      <c r="C1961" s="4">
        <v>1</v>
      </c>
    </row>
    <row r="1962" spans="1:3" ht="15" thickBot="1">
      <c r="A1962" s="3" t="s">
        <v>2725</v>
      </c>
      <c r="B1962" s="3" t="s">
        <v>24</v>
      </c>
      <c r="C1962" s="4">
        <v>1</v>
      </c>
    </row>
    <row r="1963" spans="1:3" ht="15" thickBot="1">
      <c r="A1963" s="3" t="s">
        <v>31</v>
      </c>
      <c r="B1963" s="3" t="s">
        <v>19</v>
      </c>
      <c r="C1963" s="4">
        <v>1</v>
      </c>
    </row>
    <row r="1964" spans="1:3" ht="15" thickBot="1">
      <c r="A1964" s="3" t="s">
        <v>2726</v>
      </c>
      <c r="B1964" s="3" t="s">
        <v>2420</v>
      </c>
      <c r="C1964" s="4">
        <v>1</v>
      </c>
    </row>
    <row r="1965" spans="1:3" ht="15" thickBot="1">
      <c r="A1965" s="3" t="s">
        <v>2727</v>
      </c>
      <c r="B1965" s="3" t="s">
        <v>1805</v>
      </c>
      <c r="C1965" s="4">
        <v>1</v>
      </c>
    </row>
    <row r="1966" spans="1:3" ht="15" thickBot="1">
      <c r="A1966" s="3" t="s">
        <v>2728</v>
      </c>
      <c r="B1966" s="3" t="s">
        <v>125</v>
      </c>
      <c r="C1966" s="4">
        <v>1</v>
      </c>
    </row>
    <row r="1967" spans="1:3" ht="15" thickBot="1">
      <c r="A1967" s="3" t="s">
        <v>2729</v>
      </c>
      <c r="B1967" s="3" t="s">
        <v>1802</v>
      </c>
      <c r="C1967" s="4">
        <v>1</v>
      </c>
    </row>
    <row r="1968" spans="1:3" ht="15" thickBot="1">
      <c r="A1968" s="3" t="s">
        <v>2730</v>
      </c>
      <c r="B1968" s="3" t="s">
        <v>2382</v>
      </c>
      <c r="C1968" s="4">
        <v>1</v>
      </c>
    </row>
    <row r="1969" spans="1:3" ht="15" thickBot="1">
      <c r="A1969" s="3" t="s">
        <v>765</v>
      </c>
      <c r="B1969" s="3" t="s">
        <v>26</v>
      </c>
      <c r="C1969" s="4">
        <v>1</v>
      </c>
    </row>
    <row r="1970" spans="1:3" ht="15" thickBot="1">
      <c r="A1970" s="3" t="s">
        <v>619</v>
      </c>
      <c r="B1970" s="3" t="s">
        <v>26</v>
      </c>
      <c r="C1970" s="4">
        <v>1</v>
      </c>
    </row>
    <row r="1971" spans="1:3" ht="15" thickBot="1">
      <c r="A1971" s="3" t="s">
        <v>2731</v>
      </c>
      <c r="B1971" s="3" t="s">
        <v>115</v>
      </c>
      <c r="C1971" s="4">
        <v>1</v>
      </c>
    </row>
    <row r="1972" spans="1:3" ht="15" thickBot="1">
      <c r="A1972" s="3" t="s">
        <v>2732</v>
      </c>
      <c r="B1972" s="3" t="s">
        <v>115</v>
      </c>
      <c r="C1972" s="4">
        <v>1</v>
      </c>
    </row>
    <row r="1973" spans="1:3" ht="15" thickBot="1">
      <c r="A1973" s="3" t="s">
        <v>2733</v>
      </c>
      <c r="B1973" s="3" t="s">
        <v>26</v>
      </c>
      <c r="C1973" s="4">
        <v>1</v>
      </c>
    </row>
    <row r="1974" spans="1:3" ht="15" thickBot="1">
      <c r="A1974" s="3" t="s">
        <v>2734</v>
      </c>
      <c r="B1974" s="3" t="s">
        <v>32</v>
      </c>
      <c r="C1974" s="4">
        <v>1</v>
      </c>
    </row>
    <row r="1975" spans="1:3" ht="15" thickBot="1">
      <c r="A1975" s="3" t="s">
        <v>2735</v>
      </c>
      <c r="B1975" s="3" t="s">
        <v>1802</v>
      </c>
      <c r="C1975" s="4">
        <v>1</v>
      </c>
    </row>
    <row r="1976" spans="1:3" ht="15" thickBot="1">
      <c r="A1976" s="3" t="s">
        <v>1408</v>
      </c>
      <c r="B1976" s="3" t="s">
        <v>19</v>
      </c>
      <c r="C1976" s="4">
        <v>1</v>
      </c>
    </row>
    <row r="1977" spans="1:3" ht="15" thickBot="1">
      <c r="A1977" s="3" t="s">
        <v>1014</v>
      </c>
      <c r="B1977" s="3" t="s">
        <v>2372</v>
      </c>
      <c r="C1977" s="4">
        <v>1</v>
      </c>
    </row>
    <row r="1978" spans="1:3" ht="15" thickBot="1">
      <c r="A1978" s="3" t="s">
        <v>526</v>
      </c>
      <c r="B1978" s="3" t="s">
        <v>1802</v>
      </c>
      <c r="C1978" s="4">
        <v>1</v>
      </c>
    </row>
    <row r="1979" spans="1:3" ht="15" thickBot="1">
      <c r="A1979" s="3" t="s">
        <v>2736</v>
      </c>
      <c r="B1979" s="3" t="s">
        <v>1947</v>
      </c>
      <c r="C1979" s="4">
        <v>1</v>
      </c>
    </row>
    <row r="1980" spans="1:3" ht="15" thickBot="1">
      <c r="A1980" s="3" t="s">
        <v>2737</v>
      </c>
      <c r="B1980" s="3" t="s">
        <v>2359</v>
      </c>
      <c r="C1980" s="4">
        <v>1</v>
      </c>
    </row>
    <row r="1981" spans="1:3" ht="15" thickBot="1">
      <c r="A1981" s="3" t="s">
        <v>2738</v>
      </c>
      <c r="B1981" s="3" t="s">
        <v>2420</v>
      </c>
      <c r="C1981" s="4">
        <v>1</v>
      </c>
    </row>
    <row r="1982" spans="1:3" ht="15" thickBot="1">
      <c r="A1982" s="3" t="s">
        <v>1629</v>
      </c>
      <c r="B1982" s="3" t="s">
        <v>1947</v>
      </c>
      <c r="C1982" s="4">
        <v>3</v>
      </c>
    </row>
    <row r="1983" spans="1:3" ht="15" thickBot="1">
      <c r="A1983" s="3" t="s">
        <v>998</v>
      </c>
      <c r="B1983" s="3" t="s">
        <v>26</v>
      </c>
      <c r="C1983" s="4">
        <v>13</v>
      </c>
    </row>
    <row r="1984" spans="1:3" ht="15" thickBot="1">
      <c r="A1984" s="3" t="s">
        <v>2739</v>
      </c>
      <c r="B1984" s="3" t="s">
        <v>1802</v>
      </c>
      <c r="C1984" s="4">
        <v>1</v>
      </c>
    </row>
    <row r="1985" spans="1:3" ht="15" thickBot="1">
      <c r="A1985" s="3" t="s">
        <v>2740</v>
      </c>
      <c r="B1985" s="3" t="s">
        <v>4</v>
      </c>
      <c r="C1985" s="4">
        <v>1</v>
      </c>
    </row>
    <row r="1986" spans="1:3" ht="15" thickBot="1">
      <c r="A1986" s="3" t="s">
        <v>2741</v>
      </c>
      <c r="B1986" s="3" t="s">
        <v>125</v>
      </c>
      <c r="C1986" s="4">
        <v>1</v>
      </c>
    </row>
    <row r="1987" spans="1:3" ht="15" thickBot="1">
      <c r="A1987" s="3" t="s">
        <v>1233</v>
      </c>
      <c r="B1987" s="3" t="s">
        <v>2359</v>
      </c>
      <c r="C1987" s="4">
        <v>1</v>
      </c>
    </row>
    <row r="1988" spans="1:3" ht="15" thickBot="1">
      <c r="A1988" s="3" t="s">
        <v>2742</v>
      </c>
      <c r="B1988" s="3" t="s">
        <v>4</v>
      </c>
      <c r="C1988" s="4">
        <v>1</v>
      </c>
    </row>
    <row r="1989" spans="1:3" ht="15" thickBot="1">
      <c r="A1989" s="3" t="s">
        <v>2743</v>
      </c>
      <c r="B1989" s="3" t="s">
        <v>24</v>
      </c>
      <c r="C1989" s="4">
        <v>1</v>
      </c>
    </row>
    <row r="1990" spans="1:3" ht="15" thickBot="1">
      <c r="A1990" s="3" t="s">
        <v>335</v>
      </c>
      <c r="B1990" s="3" t="s">
        <v>2372</v>
      </c>
      <c r="C1990" s="4">
        <v>1</v>
      </c>
    </row>
    <row r="1991" spans="1:3" ht="15" thickBot="1">
      <c r="A1991" s="3" t="s">
        <v>1354</v>
      </c>
      <c r="B1991" s="3" t="s">
        <v>61</v>
      </c>
      <c r="C1991" s="4">
        <v>1</v>
      </c>
    </row>
    <row r="1992" spans="1:3" ht="15" thickBot="1">
      <c r="A1992" s="3" t="s">
        <v>2744</v>
      </c>
      <c r="B1992" s="3" t="s">
        <v>61</v>
      </c>
      <c r="C1992" s="4">
        <v>1</v>
      </c>
    </row>
    <row r="1993" spans="1:3" ht="15" thickBot="1">
      <c r="A1993" s="3" t="s">
        <v>2745</v>
      </c>
      <c r="B1993" s="3" t="s">
        <v>2359</v>
      </c>
      <c r="C1993" s="4">
        <v>1</v>
      </c>
    </row>
    <row r="1994" spans="1:3" ht="15" thickBot="1">
      <c r="A1994" s="3" t="s">
        <v>2746</v>
      </c>
      <c r="B1994" s="3" t="s">
        <v>2359</v>
      </c>
      <c r="C1994" s="4">
        <v>1</v>
      </c>
    </row>
    <row r="1995" spans="1:3" ht="15" thickBot="1">
      <c r="A1995" s="3" t="s">
        <v>514</v>
      </c>
      <c r="B1995" s="3" t="s">
        <v>4</v>
      </c>
      <c r="C1995" s="4">
        <v>9</v>
      </c>
    </row>
    <row r="1996" spans="1:3" ht="15" thickBot="1">
      <c r="A1996" s="3" t="s">
        <v>2747</v>
      </c>
      <c r="B1996" s="3" t="s">
        <v>2748</v>
      </c>
      <c r="C1996" s="4">
        <v>1</v>
      </c>
    </row>
    <row r="1997" spans="1:3" ht="15" thickBot="1">
      <c r="A1997" s="3" t="s">
        <v>82</v>
      </c>
      <c r="B1997" s="3" t="s">
        <v>61</v>
      </c>
      <c r="C1997" s="4">
        <v>3</v>
      </c>
    </row>
    <row r="1998" spans="1:3" ht="15" thickBot="1">
      <c r="A1998" s="3" t="s">
        <v>2749</v>
      </c>
      <c r="B1998" s="3" t="s">
        <v>61</v>
      </c>
      <c r="C1998" s="4">
        <v>1</v>
      </c>
    </row>
    <row r="1999" spans="1:3" ht="15" thickBot="1">
      <c r="A1999" s="3" t="s">
        <v>1702</v>
      </c>
      <c r="B1999" s="3" t="s">
        <v>61</v>
      </c>
      <c r="C1999" s="4">
        <v>3</v>
      </c>
    </row>
    <row r="2000" spans="1:3" ht="15" thickBot="1">
      <c r="A2000" s="3" t="s">
        <v>2750</v>
      </c>
      <c r="B2000" s="3" t="s">
        <v>34</v>
      </c>
      <c r="C2000" s="4">
        <v>1</v>
      </c>
    </row>
    <row r="2001" spans="1:3" ht="15" thickBot="1">
      <c r="A2001" s="3" t="s">
        <v>2751</v>
      </c>
      <c r="B2001" s="3" t="s">
        <v>115</v>
      </c>
      <c r="C2001" s="4">
        <v>1</v>
      </c>
    </row>
    <row r="2002" spans="1:3" ht="15" thickBot="1">
      <c r="A2002" s="3" t="s">
        <v>2752</v>
      </c>
      <c r="B2002" s="3" t="s">
        <v>34</v>
      </c>
      <c r="C2002" s="4">
        <v>2</v>
      </c>
    </row>
    <row r="2003" spans="1:3" ht="15" thickBot="1">
      <c r="A2003" s="3" t="s">
        <v>1402</v>
      </c>
      <c r="B2003" s="3" t="s">
        <v>26</v>
      </c>
      <c r="C2003" s="4">
        <v>2</v>
      </c>
    </row>
    <row r="2004" spans="1:3" ht="15" thickBot="1">
      <c r="A2004" s="3" t="s">
        <v>2753</v>
      </c>
      <c r="B2004" s="3" t="s">
        <v>26</v>
      </c>
      <c r="C2004" s="4">
        <v>1</v>
      </c>
    </row>
    <row r="2005" spans="1:3" ht="15" thickBot="1">
      <c r="A2005" s="3" t="s">
        <v>2754</v>
      </c>
      <c r="B2005" s="3" t="s">
        <v>26</v>
      </c>
      <c r="C2005" s="4">
        <v>1</v>
      </c>
    </row>
    <row r="2006" spans="1:3" ht="15" thickBot="1">
      <c r="A2006" s="3" t="s">
        <v>2755</v>
      </c>
      <c r="B2006" s="3" t="s">
        <v>34</v>
      </c>
      <c r="C2006" s="4">
        <v>1</v>
      </c>
    </row>
    <row r="2007" spans="1:3" ht="15" thickBot="1">
      <c r="A2007" s="3" t="s">
        <v>2756</v>
      </c>
      <c r="B2007" s="3" t="s">
        <v>125</v>
      </c>
      <c r="C2007" s="4">
        <v>1</v>
      </c>
    </row>
    <row r="2008" spans="1:3" ht="15" thickBot="1">
      <c r="A2008" s="3" t="s">
        <v>2757</v>
      </c>
      <c r="B2008" s="3" t="s">
        <v>61</v>
      </c>
      <c r="C2008" s="4">
        <v>1</v>
      </c>
    </row>
    <row r="2009" spans="1:3" ht="15" thickBot="1">
      <c r="A2009" s="3" t="s">
        <v>2758</v>
      </c>
      <c r="B2009" s="3" t="s">
        <v>61</v>
      </c>
      <c r="C2009" s="4">
        <v>1</v>
      </c>
    </row>
    <row r="2010" spans="1:3" ht="15" thickBot="1">
      <c r="A2010" s="3" t="s">
        <v>2759</v>
      </c>
      <c r="B2010" s="3" t="s">
        <v>115</v>
      </c>
      <c r="C2010" s="4">
        <v>1</v>
      </c>
    </row>
    <row r="2011" spans="1:3" ht="15" thickBot="1">
      <c r="A2011" s="3" t="s">
        <v>1043</v>
      </c>
      <c r="B2011" s="3" t="s">
        <v>1947</v>
      </c>
      <c r="C2011" s="4">
        <v>1</v>
      </c>
    </row>
    <row r="2012" spans="1:3" ht="15" thickBot="1">
      <c r="A2012" s="3" t="s">
        <v>877</v>
      </c>
      <c r="B2012" s="3" t="s">
        <v>2400</v>
      </c>
      <c r="C2012" s="4">
        <v>1</v>
      </c>
    </row>
    <row r="2013" spans="1:3" ht="15" thickBot="1">
      <c r="A2013" s="3" t="s">
        <v>2760</v>
      </c>
      <c r="B2013" s="3" t="s">
        <v>26</v>
      </c>
      <c r="C2013" s="4">
        <v>1</v>
      </c>
    </row>
    <row r="2014" spans="1:3" ht="15" thickBot="1">
      <c r="A2014" s="3" t="s">
        <v>1636</v>
      </c>
      <c r="B2014" s="3" t="s">
        <v>61</v>
      </c>
      <c r="C2014" s="4">
        <v>1</v>
      </c>
    </row>
    <row r="2015" spans="1:3" ht="15" thickBot="1">
      <c r="A2015" s="3" t="s">
        <v>1577</v>
      </c>
      <c r="B2015" s="3" t="s">
        <v>2372</v>
      </c>
      <c r="C2015" s="4">
        <v>1</v>
      </c>
    </row>
    <row r="2016" spans="1:3" ht="15" thickBot="1">
      <c r="A2016" s="3" t="s">
        <v>2761</v>
      </c>
      <c r="B2016" s="3" t="s">
        <v>61</v>
      </c>
      <c r="C2016" s="4">
        <v>2</v>
      </c>
    </row>
    <row r="2017" spans="1:3" ht="15" thickBot="1">
      <c r="A2017" s="3" t="s">
        <v>2762</v>
      </c>
      <c r="B2017" s="3" t="s">
        <v>61</v>
      </c>
      <c r="C2017" s="4">
        <v>1</v>
      </c>
    </row>
    <row r="2018" spans="1:3" ht="15" thickBot="1">
      <c r="A2018" s="3" t="s">
        <v>2763</v>
      </c>
      <c r="B2018" s="3" t="s">
        <v>61</v>
      </c>
      <c r="C2018" s="4">
        <v>1</v>
      </c>
    </row>
    <row r="2019" spans="1:3" ht="15" thickBot="1">
      <c r="A2019" s="3" t="s">
        <v>1668</v>
      </c>
      <c r="B2019" s="3" t="s">
        <v>61</v>
      </c>
      <c r="C2019" s="4">
        <v>1</v>
      </c>
    </row>
    <row r="2020" spans="1:3" ht="15" thickBot="1">
      <c r="A2020" s="3" t="s">
        <v>2764</v>
      </c>
      <c r="B2020" s="3" t="s">
        <v>61</v>
      </c>
      <c r="C2020" s="4">
        <v>1</v>
      </c>
    </row>
    <row r="2021" spans="1:3" ht="15" thickBot="1">
      <c r="A2021" s="3" t="s">
        <v>2765</v>
      </c>
      <c r="B2021" s="3" t="s">
        <v>61</v>
      </c>
      <c r="C2021" s="4">
        <v>1</v>
      </c>
    </row>
    <row r="2022" spans="1:3" ht="15" thickBot="1">
      <c r="A2022" s="3" t="s">
        <v>2766</v>
      </c>
      <c r="B2022" s="3" t="s">
        <v>1802</v>
      </c>
      <c r="C2022" s="4">
        <v>1</v>
      </c>
    </row>
    <row r="2023" spans="1:3" ht="15" thickBot="1">
      <c r="A2023" s="3" t="s">
        <v>1769</v>
      </c>
      <c r="B2023" s="3" t="s">
        <v>26</v>
      </c>
      <c r="C2023" s="4">
        <v>1</v>
      </c>
    </row>
    <row r="2024" spans="1:3" ht="15" thickBot="1">
      <c r="A2024" s="3" t="s">
        <v>2767</v>
      </c>
      <c r="B2024" s="3" t="s">
        <v>34</v>
      </c>
      <c r="C2024" s="4">
        <v>1</v>
      </c>
    </row>
    <row r="2025" spans="1:3" ht="15" thickBot="1">
      <c r="A2025" s="3" t="s">
        <v>2768</v>
      </c>
      <c r="B2025" s="3" t="s">
        <v>61</v>
      </c>
      <c r="C2025" s="4">
        <v>1</v>
      </c>
    </row>
    <row r="2026" spans="1:3" ht="15" thickBot="1">
      <c r="A2026" s="3" t="s">
        <v>2769</v>
      </c>
      <c r="B2026" s="3" t="s">
        <v>125</v>
      </c>
      <c r="C2026" s="4">
        <v>1</v>
      </c>
    </row>
    <row r="2027" spans="1:3" ht="15" thickBot="1">
      <c r="A2027" s="3" t="s">
        <v>1112</v>
      </c>
      <c r="B2027" s="3" t="s">
        <v>125</v>
      </c>
      <c r="C2027" s="4">
        <v>1</v>
      </c>
    </row>
    <row r="2028" spans="1:3" ht="15" thickBot="1">
      <c r="A2028" s="3" t="s">
        <v>2770</v>
      </c>
      <c r="B2028" s="6" t="s">
        <v>2771</v>
      </c>
      <c r="C2028" s="4">
        <v>1</v>
      </c>
    </row>
    <row r="2029" spans="1:3" ht="15" thickBot="1">
      <c r="A2029" s="3" t="s">
        <v>2772</v>
      </c>
      <c r="B2029" s="3" t="s">
        <v>2400</v>
      </c>
      <c r="C2029" s="4">
        <v>1</v>
      </c>
    </row>
    <row r="2030" spans="1:3" ht="15" thickBot="1">
      <c r="A2030" s="3" t="s">
        <v>2773</v>
      </c>
      <c r="B2030" s="3" t="s">
        <v>118</v>
      </c>
      <c r="C2030" s="4">
        <v>1</v>
      </c>
    </row>
    <row r="2031" spans="1:3" ht="15" thickBot="1">
      <c r="A2031" s="3" t="s">
        <v>1507</v>
      </c>
      <c r="B2031" s="3" t="s">
        <v>118</v>
      </c>
      <c r="C2031" s="4">
        <v>1</v>
      </c>
    </row>
    <row r="2032" spans="1:3" ht="15" thickBot="1">
      <c r="A2032" s="3" t="s">
        <v>2774</v>
      </c>
      <c r="B2032" s="3" t="s">
        <v>2775</v>
      </c>
      <c r="C2032" s="4">
        <v>1</v>
      </c>
    </row>
    <row r="2033" spans="1:3" ht="15" thickBot="1">
      <c r="A2033" s="3" t="s">
        <v>2776</v>
      </c>
      <c r="B2033" s="3" t="s">
        <v>61</v>
      </c>
      <c r="C2033" s="4">
        <v>1</v>
      </c>
    </row>
    <row r="2034" spans="1:3" ht="15" thickBot="1">
      <c r="A2034" s="3" t="s">
        <v>2777</v>
      </c>
      <c r="B2034" s="3" t="s">
        <v>26</v>
      </c>
      <c r="C2034" s="4">
        <v>2</v>
      </c>
    </row>
    <row r="2035" spans="1:3" ht="15" thickBot="1">
      <c r="A2035" s="3" t="s">
        <v>1647</v>
      </c>
      <c r="B2035" s="3" t="s">
        <v>61</v>
      </c>
      <c r="C2035" s="4">
        <v>1</v>
      </c>
    </row>
    <row r="2036" spans="1:3" ht="15" thickBot="1">
      <c r="A2036" s="3" t="s">
        <v>88</v>
      </c>
      <c r="B2036" s="3" t="s">
        <v>61</v>
      </c>
      <c r="C2036" s="4">
        <v>1</v>
      </c>
    </row>
    <row r="2037" spans="1:3" ht="15" thickBot="1">
      <c r="A2037" s="3" t="s">
        <v>2778</v>
      </c>
      <c r="B2037" s="3" t="s">
        <v>61</v>
      </c>
      <c r="C2037" s="4">
        <v>1</v>
      </c>
    </row>
    <row r="2038" spans="1:3" ht="15" thickBot="1">
      <c r="A2038" s="3" t="s">
        <v>2779</v>
      </c>
      <c r="B2038" s="3" t="s">
        <v>61</v>
      </c>
      <c r="C2038" s="4">
        <v>1</v>
      </c>
    </row>
    <row r="2039" spans="1:3" ht="15" thickBot="1">
      <c r="A2039" s="3" t="s">
        <v>2780</v>
      </c>
      <c r="B2039" s="3" t="s">
        <v>26</v>
      </c>
      <c r="C2039" s="4">
        <v>1</v>
      </c>
    </row>
    <row r="2040" spans="1:3" ht="15" thickBot="1">
      <c r="A2040" s="3" t="s">
        <v>2781</v>
      </c>
      <c r="B2040" s="3" t="s">
        <v>26</v>
      </c>
      <c r="C2040" s="4">
        <v>1</v>
      </c>
    </row>
    <row r="2041" spans="1:3" ht="15" thickBot="1">
      <c r="A2041" s="3" t="s">
        <v>1167</v>
      </c>
      <c r="B2041" s="3" t="s">
        <v>61</v>
      </c>
      <c r="C2041" s="4">
        <v>2</v>
      </c>
    </row>
    <row r="2042" spans="1:3" ht="15" thickBot="1">
      <c r="A2042" s="3" t="s">
        <v>2782</v>
      </c>
      <c r="B2042" s="3" t="s">
        <v>1802</v>
      </c>
      <c r="C2042" s="4">
        <v>1</v>
      </c>
    </row>
    <row r="2043" spans="1:3" ht="15" thickBot="1">
      <c r="A2043" s="3" t="s">
        <v>2783</v>
      </c>
      <c r="B2043" s="3" t="s">
        <v>34</v>
      </c>
      <c r="C2043" s="4">
        <v>1</v>
      </c>
    </row>
    <row r="2044" spans="1:3" ht="15" thickBot="1">
      <c r="A2044" s="3" t="s">
        <v>1664</v>
      </c>
      <c r="B2044" s="3" t="s">
        <v>4</v>
      </c>
      <c r="C2044" s="4">
        <v>4</v>
      </c>
    </row>
    <row r="2045" spans="1:3" ht="15" thickBot="1">
      <c r="A2045" s="3" t="s">
        <v>2784</v>
      </c>
      <c r="B2045" s="3" t="s">
        <v>26</v>
      </c>
      <c r="C2045" s="4">
        <v>1</v>
      </c>
    </row>
    <row r="2046" spans="1:3" ht="15" thickBot="1">
      <c r="A2046" s="3" t="s">
        <v>2785</v>
      </c>
      <c r="B2046" s="3" t="s">
        <v>125</v>
      </c>
      <c r="C2046" s="4">
        <v>1</v>
      </c>
    </row>
    <row r="2047" spans="1:3" ht="15" thickBot="1">
      <c r="A2047" s="3" t="s">
        <v>2786</v>
      </c>
      <c r="B2047" s="3" t="s">
        <v>125</v>
      </c>
      <c r="C2047" s="4">
        <v>1</v>
      </c>
    </row>
    <row r="2048" spans="1:3" ht="15" thickBot="1">
      <c r="A2048" s="3" t="s">
        <v>2787</v>
      </c>
      <c r="B2048" s="3" t="s">
        <v>34</v>
      </c>
      <c r="C2048" s="4">
        <v>1</v>
      </c>
    </row>
    <row r="2049" spans="1:3" ht="15" thickBot="1">
      <c r="A2049" s="3" t="s">
        <v>2788</v>
      </c>
      <c r="B2049" s="3" t="s">
        <v>34</v>
      </c>
      <c r="C2049" s="4">
        <v>1</v>
      </c>
    </row>
    <row r="2050" spans="1:3" ht="15" thickBot="1">
      <c r="A2050" s="3" t="s">
        <v>2789</v>
      </c>
      <c r="B2050" s="3" t="s">
        <v>2400</v>
      </c>
      <c r="C2050" s="4">
        <v>1</v>
      </c>
    </row>
    <row r="2051" spans="1:3" ht="15" thickBot="1">
      <c r="A2051" s="3" t="s">
        <v>2790</v>
      </c>
      <c r="B2051" s="3" t="s">
        <v>1802</v>
      </c>
      <c r="C2051" s="4">
        <v>1</v>
      </c>
    </row>
    <row r="2052" spans="1:3" ht="15" thickBot="1">
      <c r="A2052" s="3" t="s">
        <v>2791</v>
      </c>
      <c r="B2052" s="3" t="s">
        <v>115</v>
      </c>
      <c r="C2052" s="4">
        <v>1</v>
      </c>
    </row>
    <row r="2053" spans="1:3" ht="15" thickBot="1">
      <c r="A2053" s="3" t="s">
        <v>2792</v>
      </c>
      <c r="B2053" s="3" t="s">
        <v>319</v>
      </c>
      <c r="C2053" s="4">
        <v>1</v>
      </c>
    </row>
    <row r="2054" spans="1:3" ht="15" thickBot="1">
      <c r="A2054" s="3" t="s">
        <v>1152</v>
      </c>
      <c r="B2054" s="3" t="s">
        <v>61</v>
      </c>
      <c r="C2054" s="4">
        <v>2</v>
      </c>
    </row>
    <row r="2055" spans="1:3" ht="15" thickBot="1">
      <c r="A2055" s="3" t="s">
        <v>1363</v>
      </c>
      <c r="B2055" s="3" t="s">
        <v>61</v>
      </c>
      <c r="C2055" s="4">
        <v>1</v>
      </c>
    </row>
    <row r="2056" spans="1:3" ht="15" thickBot="1">
      <c r="A2056" s="3" t="s">
        <v>1004</v>
      </c>
      <c r="B2056" s="3" t="s">
        <v>26</v>
      </c>
      <c r="C2056" s="4">
        <v>2</v>
      </c>
    </row>
    <row r="2057" spans="1:3" ht="15" thickBot="1">
      <c r="A2057" s="3" t="s">
        <v>2793</v>
      </c>
      <c r="B2057" s="3" t="s">
        <v>4</v>
      </c>
      <c r="C2057" s="4">
        <v>1</v>
      </c>
    </row>
    <row r="2058" spans="1:3" ht="15" thickBot="1">
      <c r="A2058" s="3" t="s">
        <v>2794</v>
      </c>
      <c r="B2058" s="3" t="s">
        <v>26</v>
      </c>
      <c r="C2058" s="4">
        <v>1</v>
      </c>
    </row>
    <row r="2059" spans="1:3" ht="15" thickBot="1">
      <c r="A2059" s="3" t="s">
        <v>2795</v>
      </c>
      <c r="B2059" s="3" t="s">
        <v>1802</v>
      </c>
      <c r="C2059" s="4">
        <v>2</v>
      </c>
    </row>
    <row r="2060" spans="1:3" ht="15" thickBot="1">
      <c r="A2060" s="3" t="s">
        <v>2796</v>
      </c>
      <c r="B2060" s="3" t="s">
        <v>61</v>
      </c>
      <c r="C2060" s="4">
        <v>1</v>
      </c>
    </row>
    <row r="2061" spans="1:3" ht="15" thickBot="1">
      <c r="A2061" s="3" t="s">
        <v>1054</v>
      </c>
      <c r="B2061" s="3" t="s">
        <v>34</v>
      </c>
      <c r="C2061" s="4">
        <v>1</v>
      </c>
    </row>
    <row r="2062" spans="1:3" ht="15" thickBot="1">
      <c r="A2062" s="3" t="s">
        <v>1012</v>
      </c>
      <c r="B2062" s="3" t="s">
        <v>4</v>
      </c>
      <c r="C2062" s="4">
        <v>5</v>
      </c>
    </row>
    <row r="2063" spans="1:3" ht="15" thickBot="1">
      <c r="A2063" s="3" t="s">
        <v>2797</v>
      </c>
      <c r="B2063" s="3" t="s">
        <v>4</v>
      </c>
      <c r="C2063" s="4">
        <v>1</v>
      </c>
    </row>
    <row r="2064" spans="1:3" ht="15" thickBot="1">
      <c r="A2064" s="3" t="s">
        <v>1011</v>
      </c>
      <c r="B2064" s="3" t="s">
        <v>4</v>
      </c>
      <c r="C2064" s="4">
        <v>13</v>
      </c>
    </row>
    <row r="2065" spans="1:3" ht="15" thickBot="1">
      <c r="A2065" s="3" t="s">
        <v>2798</v>
      </c>
      <c r="B2065" s="3" t="s">
        <v>2420</v>
      </c>
      <c r="C2065" s="4">
        <v>1</v>
      </c>
    </row>
    <row r="2066" spans="1:3" ht="15" thickBot="1">
      <c r="A2066" s="3" t="s">
        <v>1480</v>
      </c>
      <c r="B2066" s="3" t="s">
        <v>22</v>
      </c>
      <c r="C2066" s="4">
        <v>2</v>
      </c>
    </row>
    <row r="2067" spans="1:3" ht="15" thickBot="1">
      <c r="A2067" s="3" t="s">
        <v>2799</v>
      </c>
      <c r="B2067" s="3" t="s">
        <v>24</v>
      </c>
      <c r="C2067" s="4">
        <v>1</v>
      </c>
    </row>
    <row r="2068" spans="1:3" ht="15" thickBot="1">
      <c r="A2068" s="3" t="s">
        <v>961</v>
      </c>
      <c r="B2068" s="3" t="s">
        <v>2372</v>
      </c>
      <c r="C2068" s="4">
        <v>1</v>
      </c>
    </row>
    <row r="2069" spans="1:3" ht="15" thickBot="1">
      <c r="A2069" s="3" t="s">
        <v>2800</v>
      </c>
      <c r="B2069" s="3" t="s">
        <v>4</v>
      </c>
      <c r="C2069" s="4">
        <v>2</v>
      </c>
    </row>
    <row r="2070" spans="1:3" ht="15" thickBot="1">
      <c r="A2070" s="3" t="s">
        <v>1662</v>
      </c>
      <c r="B2070" s="3" t="s">
        <v>4</v>
      </c>
      <c r="C2070" s="4">
        <v>9</v>
      </c>
    </row>
    <row r="2071" spans="1:3" ht="15" thickBot="1">
      <c r="A2071" s="3" t="s">
        <v>1013</v>
      </c>
      <c r="B2071" s="3" t="s">
        <v>4</v>
      </c>
      <c r="C2071" s="4">
        <v>9</v>
      </c>
    </row>
    <row r="2072" spans="1:3" ht="15" thickBot="1">
      <c r="A2072" s="3" t="s">
        <v>2801</v>
      </c>
      <c r="B2072" s="3" t="s">
        <v>2420</v>
      </c>
      <c r="C2072" s="4">
        <v>1</v>
      </c>
    </row>
    <row r="2073" spans="1:3" ht="15" thickBot="1">
      <c r="A2073" s="3" t="s">
        <v>1685</v>
      </c>
      <c r="B2073" s="3" t="s">
        <v>2420</v>
      </c>
      <c r="C2073" s="4">
        <v>7</v>
      </c>
    </row>
    <row r="2074" spans="1:3" ht="15" thickBot="1">
      <c r="A2074" s="3" t="s">
        <v>1660</v>
      </c>
      <c r="B2074" s="3" t="s">
        <v>1802</v>
      </c>
      <c r="C2074" s="4">
        <v>2</v>
      </c>
    </row>
    <row r="2075" spans="1:3" ht="15" thickBot="1">
      <c r="A2075" s="3" t="s">
        <v>2802</v>
      </c>
      <c r="B2075" s="3" t="s">
        <v>1802</v>
      </c>
      <c r="C2075" s="4">
        <v>1</v>
      </c>
    </row>
    <row r="2076" spans="1:3" ht="15" thickBot="1">
      <c r="A2076" s="3" t="s">
        <v>2803</v>
      </c>
      <c r="B2076" s="3" t="s">
        <v>61</v>
      </c>
      <c r="C2076" s="4">
        <v>1</v>
      </c>
    </row>
    <row r="2077" spans="1:3" ht="15" thickBot="1">
      <c r="A2077" s="3" t="s">
        <v>1746</v>
      </c>
      <c r="B2077" s="3" t="s">
        <v>1802</v>
      </c>
      <c r="C2077" s="4">
        <v>1</v>
      </c>
    </row>
    <row r="2078" spans="1:3" ht="15" thickBot="1">
      <c r="A2078" s="3" t="s">
        <v>1693</v>
      </c>
      <c r="B2078" s="3" t="s">
        <v>1802</v>
      </c>
      <c r="C2078" s="4">
        <v>2</v>
      </c>
    </row>
    <row r="2079" spans="1:3" ht="15" thickBot="1">
      <c r="A2079" s="3" t="s">
        <v>2804</v>
      </c>
      <c r="B2079" s="3" t="s">
        <v>61</v>
      </c>
      <c r="C2079" s="4">
        <v>1</v>
      </c>
    </row>
    <row r="2080" spans="1:3" ht="15" thickBot="1">
      <c r="A2080" s="3" t="s">
        <v>2805</v>
      </c>
      <c r="B2080" s="3" t="s">
        <v>4</v>
      </c>
      <c r="C2080" s="4">
        <v>1</v>
      </c>
    </row>
    <row r="2081" spans="1:3" ht="15" thickBot="1">
      <c r="A2081" s="3" t="s">
        <v>2806</v>
      </c>
      <c r="B2081" s="3" t="s">
        <v>1947</v>
      </c>
      <c r="C2081" s="4">
        <v>1</v>
      </c>
    </row>
    <row r="2082" spans="1:3" ht="15" thickBot="1">
      <c r="A2082" s="3" t="s">
        <v>686</v>
      </c>
      <c r="B2082" s="3" t="s">
        <v>4</v>
      </c>
      <c r="C2082" s="4">
        <v>5</v>
      </c>
    </row>
    <row r="2083" spans="1:3" ht="15" thickBot="1">
      <c r="A2083" s="3" t="s">
        <v>2807</v>
      </c>
      <c r="B2083" s="3" t="s">
        <v>1947</v>
      </c>
      <c r="C2083" s="4">
        <v>1</v>
      </c>
    </row>
    <row r="2084" spans="1:3" ht="15" thickBot="1">
      <c r="A2084" s="3" t="s">
        <v>2808</v>
      </c>
      <c r="B2084" s="3" t="s">
        <v>4</v>
      </c>
      <c r="C2084" s="4">
        <v>2</v>
      </c>
    </row>
    <row r="2085" spans="1:3" ht="15" thickBot="1">
      <c r="A2085" s="3" t="s">
        <v>1661</v>
      </c>
      <c r="B2085" s="3" t="s">
        <v>4</v>
      </c>
      <c r="C2085" s="4">
        <v>8</v>
      </c>
    </row>
    <row r="2086" spans="1:3" ht="15" thickBot="1">
      <c r="A2086" s="3" t="s">
        <v>826</v>
      </c>
      <c r="B2086" s="3" t="s">
        <v>319</v>
      </c>
      <c r="C2086" s="4">
        <v>1</v>
      </c>
    </row>
    <row r="2087" spans="1:3" ht="15" thickBot="1">
      <c r="A2087" s="3" t="s">
        <v>1663</v>
      </c>
      <c r="B2087" s="3" t="s">
        <v>125</v>
      </c>
      <c r="C2087" s="4">
        <v>4</v>
      </c>
    </row>
    <row r="2088" spans="1:3" ht="15" thickBot="1">
      <c r="A2088" s="3" t="s">
        <v>2809</v>
      </c>
      <c r="B2088" s="3" t="s">
        <v>4</v>
      </c>
      <c r="C2088" s="4">
        <v>2</v>
      </c>
    </row>
    <row r="2089" spans="1:3" ht="15" thickBot="1">
      <c r="A2089" s="3" t="s">
        <v>1134</v>
      </c>
      <c r="B2089" s="3" t="s">
        <v>4</v>
      </c>
      <c r="C2089" s="4">
        <v>1</v>
      </c>
    </row>
    <row r="2090" spans="1:3" ht="15" thickBot="1">
      <c r="A2090" s="3" t="s">
        <v>2810</v>
      </c>
      <c r="B2090" s="3" t="s">
        <v>1947</v>
      </c>
      <c r="C2090" s="4">
        <v>1</v>
      </c>
    </row>
    <row r="2091" spans="1:3" ht="15" thickBot="1">
      <c r="A2091" s="3" t="s">
        <v>891</v>
      </c>
      <c r="B2091" s="3" t="s">
        <v>1802</v>
      </c>
      <c r="C2091" s="4">
        <v>1</v>
      </c>
    </row>
    <row r="2092" spans="1:3" ht="15" thickBot="1">
      <c r="A2092" s="3" t="s">
        <v>2811</v>
      </c>
      <c r="B2092" s="3" t="s">
        <v>4</v>
      </c>
      <c r="C2092" s="4">
        <v>2</v>
      </c>
    </row>
    <row r="2093" spans="1:3" ht="15" thickBot="1">
      <c r="A2093" s="3" t="s">
        <v>2812</v>
      </c>
      <c r="B2093" s="3" t="s">
        <v>4</v>
      </c>
      <c r="C2093" s="4">
        <v>2</v>
      </c>
    </row>
    <row r="2094" spans="1:3" ht="15" thickBot="1">
      <c r="A2094" s="3" t="s">
        <v>2813</v>
      </c>
      <c r="B2094" s="3" t="s">
        <v>2420</v>
      </c>
      <c r="C2094" s="4">
        <v>1</v>
      </c>
    </row>
    <row r="2095" spans="1:3" ht="15" thickBot="1">
      <c r="A2095" s="3" t="s">
        <v>2814</v>
      </c>
      <c r="B2095" s="3" t="s">
        <v>26</v>
      </c>
      <c r="C2095" s="4">
        <v>2</v>
      </c>
    </row>
    <row r="2096" spans="1:3" ht="15" thickBot="1">
      <c r="A2096" s="3" t="s">
        <v>2815</v>
      </c>
      <c r="B2096" s="3" t="s">
        <v>4</v>
      </c>
      <c r="C2096" s="4">
        <v>1</v>
      </c>
    </row>
    <row r="2097" spans="1:3" ht="15" thickBot="1">
      <c r="A2097" s="3" t="s">
        <v>1657</v>
      </c>
      <c r="B2097" s="3" t="s">
        <v>4</v>
      </c>
      <c r="C2097" s="4">
        <v>2</v>
      </c>
    </row>
    <row r="2098" spans="1:3" ht="15" thickBot="1">
      <c r="A2098" s="3" t="s">
        <v>2816</v>
      </c>
      <c r="B2098" s="3" t="s">
        <v>1802</v>
      </c>
      <c r="C2098" s="4">
        <v>2</v>
      </c>
    </row>
    <row r="2099" spans="1:3" ht="15" thickBot="1">
      <c r="A2099" s="3" t="s">
        <v>984</v>
      </c>
      <c r="B2099" s="3" t="s">
        <v>4</v>
      </c>
      <c r="C2099" s="4">
        <v>2</v>
      </c>
    </row>
    <row r="2100" spans="1:3" ht="15" thickBot="1">
      <c r="A2100" s="3" t="s">
        <v>2817</v>
      </c>
      <c r="B2100" s="3" t="s">
        <v>2372</v>
      </c>
      <c r="C2100" s="4">
        <v>2</v>
      </c>
    </row>
    <row r="2101" spans="1:3" ht="15" thickBot="1">
      <c r="A2101" s="3" t="s">
        <v>2818</v>
      </c>
      <c r="B2101" s="3" t="s">
        <v>26</v>
      </c>
      <c r="C2101" s="4">
        <v>1</v>
      </c>
    </row>
    <row r="2102" spans="1:3" ht="15" thickBot="1">
      <c r="A2102" s="3" t="s">
        <v>2819</v>
      </c>
      <c r="B2102" s="3" t="s">
        <v>4</v>
      </c>
      <c r="C2102" s="4">
        <v>1</v>
      </c>
    </row>
    <row r="2103" spans="1:3" ht="15" thickBot="1">
      <c r="A2103" s="3" t="s">
        <v>2820</v>
      </c>
      <c r="B2103" s="3" t="s">
        <v>4</v>
      </c>
      <c r="C2103" s="4">
        <v>1</v>
      </c>
    </row>
    <row r="2104" spans="1:3" ht="15" thickBot="1">
      <c r="A2104" s="3" t="s">
        <v>1677</v>
      </c>
      <c r="B2104" s="3" t="s">
        <v>4</v>
      </c>
      <c r="C2104" s="4">
        <v>1</v>
      </c>
    </row>
    <row r="2105" spans="1:3" ht="15" thickBot="1">
      <c r="A2105" s="3" t="s">
        <v>2821</v>
      </c>
      <c r="B2105" s="3" t="s">
        <v>138</v>
      </c>
      <c r="C2105" s="4">
        <v>1</v>
      </c>
    </row>
    <row r="2106" spans="1:3" ht="15" thickBot="1">
      <c r="A2106" s="3" t="s">
        <v>2822</v>
      </c>
      <c r="B2106" s="3" t="s">
        <v>32</v>
      </c>
      <c r="C2106" s="4">
        <v>1</v>
      </c>
    </row>
    <row r="2107" spans="1:3" ht="15" thickBot="1">
      <c r="A2107" s="3" t="s">
        <v>2823</v>
      </c>
      <c r="B2107" s="3" t="s">
        <v>1947</v>
      </c>
      <c r="C2107" s="4">
        <v>1</v>
      </c>
    </row>
    <row r="2108" spans="1:3" ht="15" thickBot="1">
      <c r="A2108" s="3" t="s">
        <v>1680</v>
      </c>
      <c r="B2108" s="3" t="s">
        <v>1947</v>
      </c>
      <c r="C2108" s="4">
        <v>1</v>
      </c>
    </row>
    <row r="2109" spans="1:3" ht="15" thickBot="1">
      <c r="A2109" s="3" t="s">
        <v>2824</v>
      </c>
      <c r="B2109" s="3" t="s">
        <v>4</v>
      </c>
      <c r="C2109" s="4">
        <v>5</v>
      </c>
    </row>
    <row r="2110" spans="1:3" ht="15" thickBot="1">
      <c r="A2110" s="3" t="s">
        <v>1683</v>
      </c>
      <c r="B2110" s="3" t="s">
        <v>26</v>
      </c>
      <c r="C2110" s="4">
        <v>1</v>
      </c>
    </row>
    <row r="2111" spans="1:3" ht="15" thickBot="1">
      <c r="A2111" s="3" t="s">
        <v>2825</v>
      </c>
      <c r="B2111" s="3" t="s">
        <v>4</v>
      </c>
      <c r="C2111" s="4">
        <v>1</v>
      </c>
    </row>
    <row r="2112" spans="1:3" ht="15" thickBot="1">
      <c r="A2112" s="3" t="s">
        <v>2826</v>
      </c>
      <c r="B2112" s="3" t="s">
        <v>4</v>
      </c>
      <c r="C2112" s="4">
        <v>1</v>
      </c>
    </row>
    <row r="2113" spans="1:3" ht="15" thickBot="1">
      <c r="A2113" s="3" t="s">
        <v>1656</v>
      </c>
      <c r="B2113" s="3" t="s">
        <v>4</v>
      </c>
      <c r="C2113" s="4">
        <v>1</v>
      </c>
    </row>
    <row r="2114" spans="1:3" ht="15" thickBot="1">
      <c r="A2114" s="3" t="s">
        <v>1329</v>
      </c>
      <c r="B2114" s="3" t="s">
        <v>2372</v>
      </c>
      <c r="C2114" s="4">
        <v>1</v>
      </c>
    </row>
    <row r="2115" spans="1:3" ht="15" thickBot="1">
      <c r="A2115" s="3" t="s">
        <v>2827</v>
      </c>
      <c r="B2115" s="3" t="s">
        <v>61</v>
      </c>
      <c r="C2115" s="4">
        <v>2</v>
      </c>
    </row>
    <row r="2116" spans="1:3" ht="15" thickBot="1">
      <c r="A2116" s="3" t="s">
        <v>2828</v>
      </c>
      <c r="B2116" s="3" t="s">
        <v>125</v>
      </c>
      <c r="C2116" s="4">
        <v>1</v>
      </c>
    </row>
    <row r="2117" spans="1:3" ht="15" thickBot="1">
      <c r="A2117" s="3" t="s">
        <v>2829</v>
      </c>
      <c r="B2117" s="3" t="s">
        <v>2359</v>
      </c>
      <c r="C2117" s="4">
        <v>1</v>
      </c>
    </row>
    <row r="2118" spans="1:3" ht="15" thickBot="1">
      <c r="A2118" s="3" t="s">
        <v>1642</v>
      </c>
      <c r="B2118" s="3" t="s">
        <v>26</v>
      </c>
      <c r="C2118" s="4">
        <v>3</v>
      </c>
    </row>
    <row r="2119" spans="1:3" ht="15" thickBot="1">
      <c r="A2119" s="3" t="s">
        <v>2830</v>
      </c>
      <c r="B2119" s="3" t="s">
        <v>4</v>
      </c>
      <c r="C2119" s="4">
        <v>1</v>
      </c>
    </row>
    <row r="2120" spans="1:3" ht="15" thickBot="1">
      <c r="A2120" s="3" t="s">
        <v>2831</v>
      </c>
      <c r="B2120" s="3" t="s">
        <v>61</v>
      </c>
      <c r="C2120" s="4">
        <v>2</v>
      </c>
    </row>
    <row r="2121" spans="1:3" ht="15" thickBot="1">
      <c r="A2121" s="3" t="s">
        <v>2832</v>
      </c>
      <c r="B2121" s="3" t="s">
        <v>61</v>
      </c>
      <c r="C2121" s="4">
        <v>1</v>
      </c>
    </row>
    <row r="2122" spans="1:3" ht="15" thickBot="1">
      <c r="A2122" s="3" t="s">
        <v>1674</v>
      </c>
      <c r="B2122" s="3" t="s">
        <v>61</v>
      </c>
      <c r="C2122" s="4">
        <v>2</v>
      </c>
    </row>
    <row r="2123" spans="1:3" ht="15" thickBot="1">
      <c r="A2123" s="3" t="s">
        <v>2833</v>
      </c>
      <c r="B2123" s="3" t="s">
        <v>61</v>
      </c>
      <c r="C2123" s="4">
        <v>1</v>
      </c>
    </row>
    <row r="2124" spans="1:3" ht="15" thickBot="1">
      <c r="A2124" s="3" t="s">
        <v>1108</v>
      </c>
      <c r="B2124" s="3" t="s">
        <v>4</v>
      </c>
      <c r="C2124" s="4">
        <v>1</v>
      </c>
    </row>
    <row r="2125" spans="1:3" ht="15" thickBot="1">
      <c r="A2125" s="3" t="s">
        <v>2834</v>
      </c>
      <c r="B2125" s="3" t="s">
        <v>2359</v>
      </c>
      <c r="C2125" s="4">
        <v>1</v>
      </c>
    </row>
    <row r="2126" spans="1:3" ht="15" thickBot="1">
      <c r="A2126" s="3" t="s">
        <v>1745</v>
      </c>
      <c r="B2126" s="3" t="s">
        <v>1802</v>
      </c>
      <c r="C2126" s="4">
        <v>1</v>
      </c>
    </row>
    <row r="2127" spans="1:3" ht="15" thickBot="1">
      <c r="A2127" s="3" t="s">
        <v>2835</v>
      </c>
      <c r="B2127" s="3" t="s">
        <v>2420</v>
      </c>
      <c r="C2127" s="4">
        <v>1</v>
      </c>
    </row>
    <row r="2128" spans="1:3" ht="15" thickBot="1">
      <c r="A2128" s="3" t="s">
        <v>2836</v>
      </c>
      <c r="B2128" s="3" t="s">
        <v>2420</v>
      </c>
      <c r="C2128" s="4">
        <v>2</v>
      </c>
    </row>
    <row r="2129" spans="1:3" ht="15" thickBot="1">
      <c r="A2129" s="3" t="s">
        <v>2837</v>
      </c>
      <c r="B2129" s="3" t="s">
        <v>26</v>
      </c>
      <c r="C2129" s="4">
        <v>1</v>
      </c>
    </row>
    <row r="2130" spans="1:3" ht="15" thickBot="1">
      <c r="A2130" s="3" t="s">
        <v>2838</v>
      </c>
      <c r="B2130" s="3" t="s">
        <v>26</v>
      </c>
      <c r="C2130" s="4">
        <v>1</v>
      </c>
    </row>
    <row r="2131" spans="1:3" ht="15" thickBot="1">
      <c r="A2131" s="3" t="s">
        <v>2839</v>
      </c>
      <c r="B2131" s="3" t="s">
        <v>1802</v>
      </c>
      <c r="C2131" s="4">
        <v>1</v>
      </c>
    </row>
    <row r="2132" spans="1:3" ht="15" thickBot="1">
      <c r="A2132" s="3" t="s">
        <v>2840</v>
      </c>
      <c r="B2132" s="3" t="s">
        <v>1802</v>
      </c>
      <c r="C2132" s="4">
        <v>1</v>
      </c>
    </row>
    <row r="2133" spans="1:3" ht="15" thickBot="1">
      <c r="A2133" s="3" t="s">
        <v>2841</v>
      </c>
      <c r="B2133" s="3" t="s">
        <v>61</v>
      </c>
      <c r="C2133" s="4">
        <v>1</v>
      </c>
    </row>
    <row r="2134" spans="1:3" ht="15" thickBot="1">
      <c r="A2134" s="3" t="s">
        <v>2842</v>
      </c>
      <c r="B2134" s="3" t="s">
        <v>4</v>
      </c>
      <c r="C2134" s="4">
        <v>1</v>
      </c>
    </row>
    <row r="2135" spans="1:3" ht="15" thickBot="1">
      <c r="A2135" s="3" t="s">
        <v>2843</v>
      </c>
      <c r="B2135" s="3" t="s">
        <v>4</v>
      </c>
      <c r="C2135" s="4">
        <v>1</v>
      </c>
    </row>
    <row r="2136" spans="1:3" ht="15" thickBot="1">
      <c r="A2136" s="3" t="s">
        <v>2844</v>
      </c>
      <c r="B2136" s="3" t="s">
        <v>4</v>
      </c>
      <c r="C2136" s="4">
        <v>1</v>
      </c>
    </row>
    <row r="2137" spans="1:3" ht="15" thickBot="1">
      <c r="A2137" s="3" t="s">
        <v>1104</v>
      </c>
      <c r="B2137" s="3" t="s">
        <v>1802</v>
      </c>
      <c r="C2137" s="4">
        <v>1</v>
      </c>
    </row>
    <row r="2138" spans="1:3" ht="15" thickBot="1">
      <c r="A2138" s="3" t="s">
        <v>2845</v>
      </c>
      <c r="B2138" s="3" t="s">
        <v>26</v>
      </c>
      <c r="C2138" s="4">
        <v>1</v>
      </c>
    </row>
    <row r="2139" spans="1:3" ht="15" thickBot="1">
      <c r="A2139" s="3" t="s">
        <v>2846</v>
      </c>
      <c r="B2139" s="3" t="s">
        <v>61</v>
      </c>
      <c r="C2139" s="4">
        <v>1</v>
      </c>
    </row>
    <row r="2140" spans="1:3" ht="15" thickBot="1">
      <c r="A2140" s="3" t="s">
        <v>2847</v>
      </c>
      <c r="B2140" s="3" t="s">
        <v>61</v>
      </c>
      <c r="C2140" s="4">
        <v>2</v>
      </c>
    </row>
    <row r="2141" spans="1:3" ht="15" thickBot="1">
      <c r="A2141" s="3" t="s">
        <v>1672</v>
      </c>
      <c r="B2141" s="3" t="s">
        <v>61</v>
      </c>
      <c r="C2141" s="4">
        <v>1</v>
      </c>
    </row>
    <row r="2142" spans="1:3" ht="15" thickBot="1">
      <c r="A2142" s="3" t="s">
        <v>1671</v>
      </c>
      <c r="B2142" s="3" t="s">
        <v>61</v>
      </c>
      <c r="C2142" s="4">
        <v>1</v>
      </c>
    </row>
    <row r="2143" spans="1:3" ht="15" thickBot="1">
      <c r="A2143" s="3" t="s">
        <v>2848</v>
      </c>
      <c r="B2143" s="3" t="s">
        <v>61</v>
      </c>
      <c r="C2143" s="4">
        <v>2</v>
      </c>
    </row>
    <row r="2144" spans="1:3" ht="15" thickBot="1">
      <c r="A2144" s="3" t="s">
        <v>2849</v>
      </c>
      <c r="B2144" s="3" t="s">
        <v>1802</v>
      </c>
      <c r="C2144" s="4">
        <v>1</v>
      </c>
    </row>
    <row r="2145" spans="1:3" ht="15" thickBot="1">
      <c r="A2145" s="3" t="s">
        <v>2850</v>
      </c>
      <c r="B2145" s="3" t="s">
        <v>34</v>
      </c>
      <c r="C2145" s="4">
        <v>1</v>
      </c>
    </row>
    <row r="2146" spans="1:3" ht="15" thickBot="1">
      <c r="A2146" s="3" t="s">
        <v>2851</v>
      </c>
      <c r="B2146" s="3" t="s">
        <v>1802</v>
      </c>
      <c r="C2146" s="4">
        <v>1</v>
      </c>
    </row>
    <row r="2147" spans="1:3" ht="15" thickBot="1">
      <c r="A2147" s="3" t="s">
        <v>1670</v>
      </c>
      <c r="B2147" s="3" t="s">
        <v>61</v>
      </c>
      <c r="C2147" s="4">
        <v>1</v>
      </c>
    </row>
    <row r="2148" spans="1:3" ht="15" thickBot="1">
      <c r="A2148" s="3" t="s">
        <v>2852</v>
      </c>
      <c r="B2148" s="3" t="s">
        <v>24</v>
      </c>
      <c r="C2148" s="4">
        <v>1</v>
      </c>
    </row>
    <row r="2149" spans="1:3" ht="15" thickBot="1">
      <c r="A2149" s="3" t="s">
        <v>2853</v>
      </c>
      <c r="B2149" s="3" t="s">
        <v>2359</v>
      </c>
      <c r="C2149" s="4">
        <v>1</v>
      </c>
    </row>
    <row r="2150" spans="1:3" ht="15" thickBot="1">
      <c r="A2150" s="3" t="s">
        <v>2854</v>
      </c>
      <c r="B2150" s="3" t="s">
        <v>26</v>
      </c>
      <c r="C2150" s="4">
        <v>1</v>
      </c>
    </row>
    <row r="2151" spans="1:3" ht="15" thickBot="1">
      <c r="A2151" s="3" t="s">
        <v>2855</v>
      </c>
      <c r="B2151" s="3" t="s">
        <v>26</v>
      </c>
      <c r="C2151" s="4">
        <v>1</v>
      </c>
    </row>
    <row r="2152" spans="1:3" ht="15" thickBot="1">
      <c r="A2152" s="3" t="s">
        <v>1365</v>
      </c>
      <c r="B2152" s="3" t="s">
        <v>1802</v>
      </c>
      <c r="C2152" s="4">
        <v>1</v>
      </c>
    </row>
    <row r="2153" spans="1:3" ht="15" thickBot="1">
      <c r="A2153" s="3" t="s">
        <v>2856</v>
      </c>
      <c r="B2153" s="3" t="s">
        <v>2420</v>
      </c>
      <c r="C2153" s="4">
        <v>1</v>
      </c>
    </row>
    <row r="2154" spans="1:3" ht="15" thickBot="1">
      <c r="A2154" s="3" t="s">
        <v>2857</v>
      </c>
      <c r="B2154" s="3" t="s">
        <v>2359</v>
      </c>
      <c r="C2154" s="4">
        <v>2</v>
      </c>
    </row>
    <row r="2155" spans="1:3" ht="15" thickBot="1">
      <c r="A2155" s="3" t="s">
        <v>2858</v>
      </c>
      <c r="B2155" s="3" t="s">
        <v>125</v>
      </c>
      <c r="C2155" s="4">
        <v>1</v>
      </c>
    </row>
    <row r="2156" spans="1:3" ht="15" thickBot="1">
      <c r="A2156" s="3" t="s">
        <v>2859</v>
      </c>
      <c r="B2156" s="3" t="s">
        <v>2365</v>
      </c>
      <c r="C2156" s="4">
        <v>1</v>
      </c>
    </row>
    <row r="2157" spans="1:3" ht="15" thickBot="1">
      <c r="A2157" s="3" t="s">
        <v>2860</v>
      </c>
      <c r="B2157" s="3" t="s">
        <v>115</v>
      </c>
      <c r="C2157" s="4">
        <v>1</v>
      </c>
    </row>
    <row r="2158" spans="1:3" ht="15" thickBot="1">
      <c r="A2158" s="3" t="s">
        <v>1209</v>
      </c>
      <c r="B2158" s="3" t="s">
        <v>115</v>
      </c>
      <c r="C2158" s="4">
        <v>1</v>
      </c>
    </row>
    <row r="2159" spans="1:3" ht="15" thickBot="1">
      <c r="A2159" s="3" t="s">
        <v>860</v>
      </c>
      <c r="B2159" s="3" t="s">
        <v>26</v>
      </c>
      <c r="C2159" s="4">
        <v>1</v>
      </c>
    </row>
    <row r="2160" spans="1:3" ht="15" thickBot="1">
      <c r="A2160" s="3" t="s">
        <v>1340</v>
      </c>
      <c r="B2160" s="3" t="s">
        <v>26</v>
      </c>
      <c r="C2160" s="4">
        <v>1</v>
      </c>
    </row>
    <row r="2161" spans="1:3" ht="15" thickBot="1">
      <c r="A2161" s="3" t="s">
        <v>57</v>
      </c>
      <c r="B2161" s="3" t="s">
        <v>2748</v>
      </c>
      <c r="C2161" s="4">
        <v>1</v>
      </c>
    </row>
    <row r="2162" spans="1:3" ht="15" thickBot="1">
      <c r="A2162" s="3" t="s">
        <v>89</v>
      </c>
      <c r="B2162" s="3" t="s">
        <v>2748</v>
      </c>
      <c r="C2162" s="4">
        <v>1</v>
      </c>
    </row>
    <row r="2163" spans="1:3" ht="15" thickBot="1">
      <c r="A2163" s="3" t="s">
        <v>2861</v>
      </c>
      <c r="B2163" s="3" t="s">
        <v>32</v>
      </c>
      <c r="C2163" s="4">
        <v>1</v>
      </c>
    </row>
    <row r="2164" spans="1:3" ht="15" thickBot="1">
      <c r="A2164" s="3" t="s">
        <v>993</v>
      </c>
      <c r="B2164" s="3" t="s">
        <v>2359</v>
      </c>
      <c r="C2164" s="4">
        <v>1</v>
      </c>
    </row>
    <row r="2165" spans="1:3" ht="15" thickBot="1">
      <c r="A2165" s="3" t="s">
        <v>2862</v>
      </c>
      <c r="B2165" s="3" t="s">
        <v>125</v>
      </c>
      <c r="C2165" s="4">
        <v>1</v>
      </c>
    </row>
    <row r="2166" spans="1:3" ht="15" thickBot="1">
      <c r="A2166" s="3" t="s">
        <v>2863</v>
      </c>
      <c r="B2166" s="3" t="s">
        <v>1805</v>
      </c>
      <c r="C2166" s="4">
        <v>1</v>
      </c>
    </row>
    <row r="2167" spans="1:3" ht="15" thickBot="1">
      <c r="A2167" s="3" t="s">
        <v>1717</v>
      </c>
      <c r="B2167" s="3" t="s">
        <v>115</v>
      </c>
      <c r="C2167" s="4">
        <v>3</v>
      </c>
    </row>
    <row r="2168" spans="1:3" ht="15" thickBot="1">
      <c r="A2168" s="3" t="s">
        <v>2864</v>
      </c>
      <c r="B2168" s="3" t="s">
        <v>26</v>
      </c>
      <c r="C2168" s="4">
        <v>2</v>
      </c>
    </row>
    <row r="2169" spans="1:3" ht="15" thickBot="1">
      <c r="A2169" s="3" t="s">
        <v>114</v>
      </c>
      <c r="B2169" s="3" t="s">
        <v>115</v>
      </c>
      <c r="C2169" s="4">
        <v>1</v>
      </c>
    </row>
    <row r="2170" spans="1:3" ht="15" thickBot="1">
      <c r="A2170" s="3" t="s">
        <v>507</v>
      </c>
      <c r="B2170" s="3" t="s">
        <v>125</v>
      </c>
      <c r="C2170" s="4">
        <v>1</v>
      </c>
    </row>
    <row r="2171" spans="1:3" ht="15" thickBot="1">
      <c r="A2171" s="3" t="s">
        <v>2865</v>
      </c>
      <c r="B2171" s="3" t="s">
        <v>1805</v>
      </c>
      <c r="C2171" s="4">
        <v>1</v>
      </c>
    </row>
    <row r="2172" spans="1:3" ht="15" thickBot="1">
      <c r="A2172" s="3" t="s">
        <v>2866</v>
      </c>
      <c r="B2172" s="3" t="s">
        <v>2365</v>
      </c>
      <c r="C2172" s="4">
        <v>1</v>
      </c>
    </row>
    <row r="2173" spans="1:3" ht="15" thickBot="1">
      <c r="A2173" s="3" t="s">
        <v>256</v>
      </c>
      <c r="B2173" s="3" t="s">
        <v>1805</v>
      </c>
      <c r="C2173" s="4">
        <v>2</v>
      </c>
    </row>
    <row r="2174" spans="1:3" ht="15" thickBot="1">
      <c r="A2174" s="3" t="s">
        <v>1538</v>
      </c>
      <c r="B2174" s="3" t="s">
        <v>61</v>
      </c>
      <c r="C2174" s="4">
        <v>1</v>
      </c>
    </row>
    <row r="2175" spans="1:3" ht="15" thickBot="1">
      <c r="A2175" s="3" t="s">
        <v>2867</v>
      </c>
      <c r="B2175" s="3" t="s">
        <v>4</v>
      </c>
      <c r="C2175" s="4">
        <v>1</v>
      </c>
    </row>
    <row r="2176" spans="1:3" ht="15" thickBot="1">
      <c r="A2176" s="3" t="s">
        <v>2868</v>
      </c>
      <c r="B2176" s="3" t="s">
        <v>61</v>
      </c>
      <c r="C2176" s="4">
        <v>1</v>
      </c>
    </row>
    <row r="2177" spans="1:3" ht="15" thickBot="1">
      <c r="A2177" s="3" t="s">
        <v>2869</v>
      </c>
      <c r="B2177" s="3" t="s">
        <v>61</v>
      </c>
      <c r="C2177" s="4">
        <v>1</v>
      </c>
    </row>
    <row r="2178" spans="1:3" ht="15" thickBot="1">
      <c r="A2178" s="3" t="s">
        <v>2870</v>
      </c>
      <c r="B2178" s="3" t="s">
        <v>61</v>
      </c>
      <c r="C2178" s="4">
        <v>1</v>
      </c>
    </row>
    <row r="2179" spans="1:3" ht="15" thickBot="1">
      <c r="A2179" s="3" t="s">
        <v>1695</v>
      </c>
      <c r="B2179" s="3" t="s">
        <v>2365</v>
      </c>
      <c r="C2179" s="4">
        <v>1</v>
      </c>
    </row>
    <row r="2180" spans="1:3" ht="15" thickBot="1">
      <c r="A2180" s="3" t="s">
        <v>2871</v>
      </c>
      <c r="B2180" s="3" t="s">
        <v>2359</v>
      </c>
      <c r="C2180" s="4">
        <v>2</v>
      </c>
    </row>
    <row r="2181" spans="1:3" ht="15" thickBot="1">
      <c r="A2181" s="3" t="s">
        <v>2872</v>
      </c>
      <c r="B2181" s="3" t="s">
        <v>1802</v>
      </c>
      <c r="C2181" s="4">
        <v>1</v>
      </c>
    </row>
    <row r="2182" spans="1:3" ht="15" thickBot="1">
      <c r="A2182" s="3" t="s">
        <v>2873</v>
      </c>
      <c r="B2182" s="3" t="s">
        <v>4</v>
      </c>
      <c r="C2182" s="4">
        <v>1</v>
      </c>
    </row>
    <row r="2183" spans="1:3" ht="15" thickBot="1">
      <c r="A2183" s="3" t="s">
        <v>1278</v>
      </c>
      <c r="B2183" s="3" t="s">
        <v>34</v>
      </c>
      <c r="C2183" s="4">
        <v>1</v>
      </c>
    </row>
    <row r="2184" spans="1:3" ht="15" thickBot="1">
      <c r="A2184" s="3" t="s">
        <v>2874</v>
      </c>
      <c r="B2184" s="3" t="s">
        <v>2420</v>
      </c>
      <c r="C2184" s="4">
        <v>1</v>
      </c>
    </row>
    <row r="2185" spans="1:3" ht="15" thickBot="1">
      <c r="A2185" s="3" t="s">
        <v>2875</v>
      </c>
      <c r="B2185" s="3" t="s">
        <v>2372</v>
      </c>
      <c r="C2185" s="4">
        <v>1</v>
      </c>
    </row>
    <row r="2186" spans="1:3" ht="15" thickBot="1">
      <c r="A2186" s="3" t="s">
        <v>2876</v>
      </c>
      <c r="B2186" s="3" t="s">
        <v>4</v>
      </c>
      <c r="C2186" s="4">
        <v>1</v>
      </c>
    </row>
    <row r="2187" spans="1:3" ht="15" thickBot="1">
      <c r="A2187" s="3" t="s">
        <v>2877</v>
      </c>
      <c r="B2187" s="3" t="s">
        <v>125</v>
      </c>
      <c r="C2187" s="4">
        <v>1</v>
      </c>
    </row>
    <row r="2188" spans="1:3" ht="15" thickBot="1">
      <c r="A2188" s="3" t="s">
        <v>2878</v>
      </c>
      <c r="B2188" s="3" t="s">
        <v>138</v>
      </c>
      <c r="C2188" s="4">
        <v>1</v>
      </c>
    </row>
    <row r="2189" spans="1:3" ht="15" thickBot="1">
      <c r="A2189" s="3" t="s">
        <v>2879</v>
      </c>
      <c r="B2189" s="3" t="s">
        <v>2372</v>
      </c>
      <c r="C2189" s="4">
        <v>1</v>
      </c>
    </row>
    <row r="2190" spans="1:3" ht="15" thickBot="1">
      <c r="A2190" s="3" t="s">
        <v>2880</v>
      </c>
      <c r="B2190" s="3" t="s">
        <v>115</v>
      </c>
      <c r="C2190" s="4">
        <v>1</v>
      </c>
    </row>
    <row r="2191" spans="1:3" ht="15" thickBot="1">
      <c r="A2191" s="3" t="s">
        <v>2881</v>
      </c>
      <c r="B2191" s="3" t="s">
        <v>2359</v>
      </c>
      <c r="C2191" s="4">
        <v>1</v>
      </c>
    </row>
    <row r="2192" spans="1:3" ht="15" thickBot="1">
      <c r="A2192" s="3" t="s">
        <v>2882</v>
      </c>
      <c r="B2192" s="3" t="s">
        <v>1802</v>
      </c>
      <c r="C2192" s="4">
        <v>1</v>
      </c>
    </row>
    <row r="2193" spans="1:3" ht="15" thickBot="1">
      <c r="A2193" s="3" t="s">
        <v>1595</v>
      </c>
      <c r="B2193" s="3" t="s">
        <v>61</v>
      </c>
      <c r="C2193" s="4">
        <v>1</v>
      </c>
    </row>
    <row r="2194" spans="1:3" ht="15" thickBot="1">
      <c r="A2194" s="3" t="s">
        <v>2883</v>
      </c>
      <c r="B2194" s="3" t="s">
        <v>61</v>
      </c>
      <c r="C2194" s="4">
        <v>1</v>
      </c>
    </row>
    <row r="2195" spans="1:3" ht="15" thickBot="1">
      <c r="A2195" s="3" t="s">
        <v>2884</v>
      </c>
      <c r="B2195" s="3" t="s">
        <v>125</v>
      </c>
      <c r="C2195" s="4">
        <v>1</v>
      </c>
    </row>
    <row r="2196" spans="1:3" ht="15" thickBot="1">
      <c r="A2196" s="3" t="s">
        <v>1097</v>
      </c>
      <c r="B2196" s="3" t="s">
        <v>125</v>
      </c>
      <c r="C2196" s="4">
        <v>1</v>
      </c>
    </row>
    <row r="2197" spans="1:3" ht="15" thickBot="1">
      <c r="A2197" s="3" t="s">
        <v>2885</v>
      </c>
      <c r="B2197" s="3" t="s">
        <v>2372</v>
      </c>
      <c r="C2197" s="4">
        <v>1</v>
      </c>
    </row>
    <row r="2198" spans="1:3" ht="15" thickBot="1">
      <c r="A2198" s="3" t="s">
        <v>1675</v>
      </c>
      <c r="B2198" s="3" t="s">
        <v>61</v>
      </c>
      <c r="C2198" s="4">
        <v>1</v>
      </c>
    </row>
    <row r="2199" spans="1:3" ht="15" thickBot="1">
      <c r="A2199" s="3" t="s">
        <v>2886</v>
      </c>
      <c r="B2199" s="3" t="s">
        <v>61</v>
      </c>
      <c r="C2199" s="4">
        <v>1</v>
      </c>
    </row>
    <row r="2200" spans="1:3" ht="15" thickBot="1">
      <c r="A2200" s="3" t="s">
        <v>2887</v>
      </c>
      <c r="B2200" s="3" t="s">
        <v>1802</v>
      </c>
      <c r="C2200" s="4">
        <v>1</v>
      </c>
    </row>
    <row r="2201" spans="1:3" ht="15" thickBot="1">
      <c r="A2201" s="3" t="s">
        <v>1700</v>
      </c>
      <c r="B2201" s="3" t="s">
        <v>2775</v>
      </c>
      <c r="C2201" s="4">
        <v>1</v>
      </c>
    </row>
    <row r="2202" spans="1:3" ht="15" thickBot="1">
      <c r="A2202" s="3" t="s">
        <v>2888</v>
      </c>
      <c r="B2202" s="3" t="s">
        <v>138</v>
      </c>
      <c r="C2202" s="4">
        <v>1</v>
      </c>
    </row>
    <row r="2203" spans="1:3" ht="15" thickBot="1">
      <c r="A2203" s="3" t="s">
        <v>2889</v>
      </c>
      <c r="B2203" s="3" t="s">
        <v>19</v>
      </c>
      <c r="C2203" s="4">
        <v>1</v>
      </c>
    </row>
    <row r="2204" spans="1:3" ht="15" thickBot="1">
      <c r="A2204" s="3" t="s">
        <v>2890</v>
      </c>
      <c r="B2204" s="3" t="s">
        <v>115</v>
      </c>
      <c r="C2204" s="4">
        <v>1</v>
      </c>
    </row>
    <row r="2205" spans="1:3" ht="15" thickBot="1">
      <c r="A2205" s="3" t="s">
        <v>2891</v>
      </c>
      <c r="B2205" s="3" t="s">
        <v>115</v>
      </c>
      <c r="C2205" s="4">
        <v>1</v>
      </c>
    </row>
    <row r="2206" spans="1:3" ht="15" thickBot="1">
      <c r="A2206" s="3" t="s">
        <v>2892</v>
      </c>
      <c r="B2206" s="3" t="s">
        <v>115</v>
      </c>
      <c r="C2206" s="4">
        <v>1</v>
      </c>
    </row>
    <row r="2207" spans="1:3" ht="15" thickBot="1">
      <c r="A2207" s="3" t="s">
        <v>2893</v>
      </c>
      <c r="B2207" s="3" t="s">
        <v>32</v>
      </c>
      <c r="C2207" s="4">
        <v>1</v>
      </c>
    </row>
    <row r="2208" spans="1:3" ht="15" thickBot="1">
      <c r="A2208" s="3" t="s">
        <v>2894</v>
      </c>
      <c r="B2208" s="3" t="s">
        <v>125</v>
      </c>
      <c r="C2208" s="4">
        <v>1</v>
      </c>
    </row>
    <row r="2209" spans="1:3" ht="15" thickBot="1">
      <c r="A2209" s="3" t="s">
        <v>2895</v>
      </c>
      <c r="B2209" s="3" t="s">
        <v>138</v>
      </c>
      <c r="C2209" s="4">
        <v>1</v>
      </c>
    </row>
    <row r="2210" spans="1:3" ht="15" thickBot="1">
      <c r="A2210" s="3" t="s">
        <v>2896</v>
      </c>
      <c r="B2210" s="3" t="s">
        <v>32</v>
      </c>
      <c r="C2210" s="4">
        <v>1</v>
      </c>
    </row>
    <row r="2211" spans="1:3" ht="15" thickBot="1">
      <c r="A2211" s="3" t="s">
        <v>1145</v>
      </c>
      <c r="B2211" s="3" t="s">
        <v>22</v>
      </c>
      <c r="C2211" s="4">
        <v>1</v>
      </c>
    </row>
    <row r="2212" spans="1:3" ht="15" thickBot="1">
      <c r="A2212" s="3" t="s">
        <v>2897</v>
      </c>
      <c r="B2212" s="3" t="s">
        <v>115</v>
      </c>
      <c r="C2212" s="4">
        <v>1</v>
      </c>
    </row>
    <row r="2213" spans="1:3" ht="15" thickBot="1">
      <c r="A2213" s="3" t="s">
        <v>2898</v>
      </c>
      <c r="B2213" s="3" t="s">
        <v>61</v>
      </c>
      <c r="C2213" s="4">
        <v>1</v>
      </c>
    </row>
    <row r="2214" spans="1:3" ht="15" thickBot="1">
      <c r="A2214" s="3" t="s">
        <v>2899</v>
      </c>
      <c r="B2214" s="3" t="s">
        <v>1802</v>
      </c>
      <c r="C2214" s="4">
        <v>2</v>
      </c>
    </row>
    <row r="2215" spans="1:3" ht="15" thickBot="1">
      <c r="A2215" s="3" t="s">
        <v>2900</v>
      </c>
      <c r="B2215" s="3" t="s">
        <v>61</v>
      </c>
      <c r="C2215" s="4">
        <v>2</v>
      </c>
    </row>
    <row r="2216" spans="1:3" ht="15" thickBot="1">
      <c r="A2216" s="3" t="s">
        <v>2901</v>
      </c>
      <c r="B2216" s="3" t="s">
        <v>26</v>
      </c>
      <c r="C2216" s="4">
        <v>1</v>
      </c>
    </row>
    <row r="2217" spans="1:3" ht="15" thickBot="1">
      <c r="A2217" s="3" t="s">
        <v>2902</v>
      </c>
      <c r="B2217" s="3" t="s">
        <v>34</v>
      </c>
      <c r="C2217" s="4">
        <v>1</v>
      </c>
    </row>
    <row r="2218" spans="1:3" ht="15" thickBot="1">
      <c r="A2218" s="3" t="s">
        <v>2903</v>
      </c>
      <c r="B2218" s="3" t="s">
        <v>19</v>
      </c>
      <c r="C2218" s="4">
        <v>1</v>
      </c>
    </row>
    <row r="2219" spans="1:3" ht="15" thickBot="1">
      <c r="A2219" s="3" t="s">
        <v>2904</v>
      </c>
      <c r="B2219" s="3" t="s">
        <v>1805</v>
      </c>
      <c r="C2219" s="4">
        <v>1</v>
      </c>
    </row>
    <row r="2220" spans="1:3" ht="15" thickBot="1">
      <c r="A2220" s="3" t="s">
        <v>2905</v>
      </c>
      <c r="B2220" s="3" t="s">
        <v>138</v>
      </c>
      <c r="C2220" s="4">
        <v>1</v>
      </c>
    </row>
    <row r="2221" spans="1:3" ht="15" thickBot="1">
      <c r="A2221" s="3" t="s">
        <v>2906</v>
      </c>
      <c r="B2221" s="3" t="s">
        <v>32</v>
      </c>
      <c r="C2221" s="4">
        <v>1</v>
      </c>
    </row>
    <row r="2222" spans="1:3" ht="15" thickBot="1">
      <c r="A2222" s="3" t="s">
        <v>2907</v>
      </c>
      <c r="B2222" s="3" t="s">
        <v>61</v>
      </c>
      <c r="C2222" s="4">
        <v>1</v>
      </c>
    </row>
    <row r="2223" spans="1:3" ht="15" thickBot="1">
      <c r="A2223" s="3" t="s">
        <v>2908</v>
      </c>
      <c r="B2223" s="3" t="s">
        <v>1802</v>
      </c>
      <c r="C2223" s="4">
        <v>1</v>
      </c>
    </row>
    <row r="2224" spans="1:3" ht="15" thickBot="1">
      <c r="A2224" s="3" t="s">
        <v>2909</v>
      </c>
      <c r="B2224" s="3" t="s">
        <v>34</v>
      </c>
      <c r="C2224" s="4">
        <v>1</v>
      </c>
    </row>
    <row r="2225" spans="1:3" ht="15" thickBot="1">
      <c r="A2225" s="3" t="s">
        <v>2910</v>
      </c>
      <c r="B2225" s="3" t="s">
        <v>2372</v>
      </c>
      <c r="C2225" s="4">
        <v>1</v>
      </c>
    </row>
    <row r="2226" spans="1:3" ht="15" thickBot="1">
      <c r="A2226" s="3" t="s">
        <v>411</v>
      </c>
      <c r="B2226" s="3" t="s">
        <v>2365</v>
      </c>
      <c r="C2226" s="4">
        <v>1</v>
      </c>
    </row>
    <row r="2227" spans="1:3" ht="15" thickBot="1">
      <c r="A2227" s="3" t="s">
        <v>2911</v>
      </c>
      <c r="B2227" s="3" t="s">
        <v>32</v>
      </c>
      <c r="C2227" s="4">
        <v>1</v>
      </c>
    </row>
    <row r="2228" spans="1:3" ht="15" thickBot="1">
      <c r="A2228" s="3" t="s">
        <v>2912</v>
      </c>
      <c r="B2228" s="3" t="s">
        <v>24</v>
      </c>
      <c r="C2228" s="4">
        <v>1</v>
      </c>
    </row>
    <row r="2229" spans="1:3" ht="15" thickBot="1">
      <c r="A2229" s="3" t="s">
        <v>2913</v>
      </c>
      <c r="B2229" s="3" t="s">
        <v>34</v>
      </c>
      <c r="C2229" s="4">
        <v>1</v>
      </c>
    </row>
    <row r="2230" spans="1:3" ht="15" thickBot="1">
      <c r="A2230" s="3" t="s">
        <v>2914</v>
      </c>
      <c r="B2230" s="3" t="s">
        <v>34</v>
      </c>
      <c r="C2230" s="4">
        <v>1</v>
      </c>
    </row>
    <row r="2231" spans="1:3" ht="15" thickBot="1">
      <c r="A2231" s="3" t="s">
        <v>2915</v>
      </c>
      <c r="B2231" s="3" t="s">
        <v>2382</v>
      </c>
      <c r="C2231" s="4">
        <v>1</v>
      </c>
    </row>
    <row r="2232" spans="1:3" ht="15" thickBot="1">
      <c r="A2232" s="3" t="s">
        <v>2916</v>
      </c>
      <c r="B2232" s="3" t="s">
        <v>32</v>
      </c>
      <c r="C2232" s="4">
        <v>1</v>
      </c>
    </row>
    <row r="2233" spans="1:3" ht="15" thickBot="1">
      <c r="A2233" s="3" t="s">
        <v>2917</v>
      </c>
      <c r="B2233" s="3" t="s">
        <v>34</v>
      </c>
      <c r="C2233" s="4">
        <v>1</v>
      </c>
    </row>
    <row r="2234" spans="1:3" ht="15" thickBot="1">
      <c r="A2234" s="3" t="s">
        <v>1722</v>
      </c>
      <c r="B2234" s="3" t="s">
        <v>1802</v>
      </c>
      <c r="C2234" s="4">
        <v>1</v>
      </c>
    </row>
    <row r="2235" spans="1:3" ht="15" thickBot="1">
      <c r="A2235" s="3" t="s">
        <v>2918</v>
      </c>
      <c r="B2235" s="3" t="s">
        <v>26</v>
      </c>
      <c r="C2235" s="4">
        <v>1</v>
      </c>
    </row>
    <row r="2236" spans="1:3" ht="15" thickBot="1">
      <c r="A2236" s="3" t="s">
        <v>2919</v>
      </c>
      <c r="B2236" s="3" t="s">
        <v>61</v>
      </c>
      <c r="C2236" s="4">
        <v>1</v>
      </c>
    </row>
    <row r="2237" spans="1:3" ht="15" thickBot="1">
      <c r="A2237" s="3" t="s">
        <v>1436</v>
      </c>
      <c r="B2237" s="3" t="s">
        <v>61</v>
      </c>
      <c r="C2237" s="4">
        <v>1</v>
      </c>
    </row>
    <row r="2238" spans="1:3" ht="15" thickBot="1">
      <c r="A2238" s="3" t="s">
        <v>2920</v>
      </c>
      <c r="B2238" s="3" t="s">
        <v>22</v>
      </c>
      <c r="C2238" s="4">
        <v>1</v>
      </c>
    </row>
    <row r="2239" spans="1:3" ht="15" thickBot="1">
      <c r="A2239" s="3" t="s">
        <v>2921</v>
      </c>
      <c r="B2239" s="3" t="s">
        <v>2372</v>
      </c>
      <c r="C2239" s="4">
        <v>1</v>
      </c>
    </row>
    <row r="2240" spans="1:3" ht="15" thickBot="1">
      <c r="A2240" s="3" t="s">
        <v>2922</v>
      </c>
      <c r="B2240" s="3" t="s">
        <v>22</v>
      </c>
      <c r="C2240" s="4">
        <v>1</v>
      </c>
    </row>
    <row r="2241" spans="1:3" ht="15" thickBot="1">
      <c r="A2241" s="3" t="s">
        <v>2923</v>
      </c>
      <c r="B2241" s="3" t="s">
        <v>4</v>
      </c>
      <c r="C2241" s="4">
        <v>1</v>
      </c>
    </row>
    <row r="2242" spans="1:3" ht="15" thickBot="1">
      <c r="A2242" s="3" t="s">
        <v>1422</v>
      </c>
      <c r="B2242" s="3" t="s">
        <v>1802</v>
      </c>
      <c r="C2242" s="4">
        <v>1</v>
      </c>
    </row>
    <row r="2243" spans="1:3" ht="15" thickBot="1">
      <c r="A2243" s="3" t="s">
        <v>2924</v>
      </c>
      <c r="B2243" s="3" t="s">
        <v>2359</v>
      </c>
      <c r="C2243" s="4">
        <v>1</v>
      </c>
    </row>
    <row r="2244" spans="1:3" ht="15" thickBot="1">
      <c r="A2244" s="3" t="s">
        <v>727</v>
      </c>
      <c r="B2244" s="3" t="s">
        <v>26</v>
      </c>
      <c r="C2244" s="4">
        <v>1</v>
      </c>
    </row>
    <row r="2245" spans="1:3" ht="15" thickBot="1">
      <c r="A2245" s="3" t="s">
        <v>2925</v>
      </c>
      <c r="B2245" s="3" t="s">
        <v>2926</v>
      </c>
      <c r="C2245" s="4">
        <v>1</v>
      </c>
    </row>
    <row r="2246" spans="1:3" ht="15" thickBot="1">
      <c r="A2246" s="3" t="s">
        <v>2927</v>
      </c>
      <c r="B2246" s="3" t="s">
        <v>34</v>
      </c>
      <c r="C2246" s="4">
        <v>1</v>
      </c>
    </row>
    <row r="2247" spans="1:3" ht="15" thickBot="1">
      <c r="A2247" s="3" t="s">
        <v>1158</v>
      </c>
      <c r="B2247" s="3" t="s">
        <v>19</v>
      </c>
      <c r="C2247" s="4">
        <v>1</v>
      </c>
    </row>
    <row r="2248" spans="1:3" ht="15" thickBot="1">
      <c r="A2248" s="3" t="s">
        <v>2928</v>
      </c>
      <c r="B2248" s="3" t="s">
        <v>2420</v>
      </c>
      <c r="C2248" s="4">
        <v>1</v>
      </c>
    </row>
    <row r="2249" spans="1:3" ht="15" thickBot="1">
      <c r="A2249" s="3" t="s">
        <v>1634</v>
      </c>
      <c r="B2249" s="3" t="s">
        <v>61</v>
      </c>
      <c r="C2249" s="4">
        <v>1</v>
      </c>
    </row>
    <row r="2250" spans="1:3" ht="15" thickBot="1">
      <c r="A2250" s="3" t="s">
        <v>1585</v>
      </c>
      <c r="B2250" s="3" t="s">
        <v>2420</v>
      </c>
      <c r="C2250" s="4">
        <v>1</v>
      </c>
    </row>
    <row r="2251" spans="1:3" ht="15" thickBot="1">
      <c r="A2251" s="3" t="s">
        <v>1532</v>
      </c>
      <c r="B2251" s="3" t="s">
        <v>1802</v>
      </c>
      <c r="C2251" s="4">
        <v>1</v>
      </c>
    </row>
    <row r="2253" spans="1:3">
      <c r="A2253" s="2" t="s">
        <v>2929</v>
      </c>
    </row>
    <row r="2254" spans="1:3">
      <c r="A2254" s="2" t="s">
        <v>0</v>
      </c>
      <c r="B2254" s="2" t="s">
        <v>1</v>
      </c>
    </row>
    <row r="2255" spans="1:3">
      <c r="A2255" t="s">
        <v>1061</v>
      </c>
      <c r="B2255">
        <v>2</v>
      </c>
    </row>
    <row r="2256" spans="1:3">
      <c r="A2256" t="s">
        <v>112</v>
      </c>
      <c r="B2256">
        <v>42</v>
      </c>
    </row>
    <row r="2257" spans="1:2">
      <c r="A2257" t="s">
        <v>460</v>
      </c>
      <c r="B2257">
        <v>9</v>
      </c>
    </row>
    <row r="2258" spans="1:2">
      <c r="A2258" t="s">
        <v>1308</v>
      </c>
      <c r="B2258">
        <v>2</v>
      </c>
    </row>
    <row r="2259" spans="1:2">
      <c r="A2259" t="s">
        <v>1828</v>
      </c>
      <c r="B2259">
        <v>1</v>
      </c>
    </row>
    <row r="2260" spans="1:2">
      <c r="A2260" t="s">
        <v>498</v>
      </c>
      <c r="B2260">
        <v>49</v>
      </c>
    </row>
    <row r="2261" spans="1:2">
      <c r="A2261" t="s">
        <v>459</v>
      </c>
      <c r="B2261">
        <v>7</v>
      </c>
    </row>
    <row r="2262" spans="1:2">
      <c r="A2262" t="s">
        <v>214</v>
      </c>
      <c r="B2262">
        <v>37</v>
      </c>
    </row>
    <row r="2263" spans="1:2">
      <c r="A2263" t="s">
        <v>206</v>
      </c>
      <c r="B2263">
        <v>18</v>
      </c>
    </row>
    <row r="2264" spans="1:2">
      <c r="A2264" t="s">
        <v>184</v>
      </c>
      <c r="B2264">
        <v>18</v>
      </c>
    </row>
    <row r="2265" spans="1:2">
      <c r="A2265" t="s">
        <v>122</v>
      </c>
      <c r="B2265">
        <v>35</v>
      </c>
    </row>
    <row r="2266" spans="1:2">
      <c r="A2266" t="s">
        <v>1201</v>
      </c>
      <c r="B2266">
        <v>3</v>
      </c>
    </row>
    <row r="2267" spans="1:2">
      <c r="A2267" t="s">
        <v>1936</v>
      </c>
      <c r="B2267">
        <v>2</v>
      </c>
    </row>
    <row r="2268" spans="1:2">
      <c r="A2268" t="s">
        <v>1704</v>
      </c>
      <c r="B2268">
        <v>2</v>
      </c>
    </row>
    <row r="2269" spans="1:2">
      <c r="A2269" t="s">
        <v>1938</v>
      </c>
      <c r="B2269">
        <v>2</v>
      </c>
    </row>
    <row r="2270" spans="1:2">
      <c r="A2270" t="s">
        <v>158</v>
      </c>
      <c r="B2270">
        <v>3</v>
      </c>
    </row>
    <row r="2271" spans="1:2">
      <c r="A2271" t="s">
        <v>1967</v>
      </c>
      <c r="B2271">
        <v>1</v>
      </c>
    </row>
    <row r="2272" spans="1:2">
      <c r="A2272" t="s">
        <v>1968</v>
      </c>
      <c r="B2272">
        <v>1</v>
      </c>
    </row>
    <row r="2273" spans="1:2">
      <c r="A2273" t="s">
        <v>928</v>
      </c>
      <c r="B2273">
        <v>9</v>
      </c>
    </row>
    <row r="2274" spans="1:2">
      <c r="A2274" t="s">
        <v>1988</v>
      </c>
      <c r="B2274">
        <v>1</v>
      </c>
    </row>
    <row r="2275" spans="1:2">
      <c r="A2275" t="s">
        <v>188</v>
      </c>
      <c r="B2275">
        <v>5</v>
      </c>
    </row>
    <row r="2276" spans="1:2">
      <c r="A2276" t="s">
        <v>2030</v>
      </c>
      <c r="B2276">
        <v>1</v>
      </c>
    </row>
    <row r="2277" spans="1:2">
      <c r="A2277" t="s">
        <v>1047</v>
      </c>
      <c r="B2277">
        <v>5</v>
      </c>
    </row>
    <row r="2278" spans="1:2">
      <c r="A2278" t="s">
        <v>2031</v>
      </c>
      <c r="B2278">
        <v>1</v>
      </c>
    </row>
    <row r="2279" spans="1:2">
      <c r="A2279" t="s">
        <v>2032</v>
      </c>
      <c r="B2279">
        <v>1</v>
      </c>
    </row>
    <row r="2280" spans="1:2">
      <c r="A2280" t="s">
        <v>1057</v>
      </c>
      <c r="B2280">
        <v>1</v>
      </c>
    </row>
    <row r="2281" spans="1:2">
      <c r="A2281" t="s">
        <v>2033</v>
      </c>
      <c r="B2281">
        <v>1</v>
      </c>
    </row>
    <row r="2282" spans="1:2">
      <c r="A2282" t="s">
        <v>2034</v>
      </c>
      <c r="B2282">
        <v>10</v>
      </c>
    </row>
    <row r="2283" spans="1:2">
      <c r="A2283" t="s">
        <v>2035</v>
      </c>
      <c r="B2283">
        <v>1</v>
      </c>
    </row>
    <row r="2284" spans="1:2">
      <c r="A2284" t="s">
        <v>2049</v>
      </c>
      <c r="B2284">
        <v>7</v>
      </c>
    </row>
    <row r="2285" spans="1:2">
      <c r="A2285" t="s">
        <v>2063</v>
      </c>
      <c r="B2285">
        <v>4</v>
      </c>
    </row>
    <row r="2286" spans="1:2">
      <c r="A2286" t="s">
        <v>185</v>
      </c>
      <c r="B2286">
        <v>4</v>
      </c>
    </row>
    <row r="2287" spans="1:2">
      <c r="A2287" t="s">
        <v>673</v>
      </c>
      <c r="B2287">
        <v>3</v>
      </c>
    </row>
    <row r="2288" spans="1:2">
      <c r="A2288" t="s">
        <v>2105</v>
      </c>
      <c r="B2288">
        <v>2</v>
      </c>
    </row>
    <row r="2289" spans="1:2">
      <c r="A2289" t="s">
        <v>2147</v>
      </c>
      <c r="B2289">
        <v>2</v>
      </c>
    </row>
    <row r="2290" spans="1:2">
      <c r="A2290" t="s">
        <v>2148</v>
      </c>
      <c r="B2290">
        <v>1</v>
      </c>
    </row>
    <row r="2291" spans="1:2">
      <c r="A2291" t="s">
        <v>2153</v>
      </c>
      <c r="B2291">
        <v>1</v>
      </c>
    </row>
    <row r="2292" spans="1:2">
      <c r="A2292" t="s">
        <v>922</v>
      </c>
      <c r="B2292">
        <v>3</v>
      </c>
    </row>
    <row r="2293" spans="1:2">
      <c r="A2293" t="s">
        <v>895</v>
      </c>
      <c r="B2293">
        <v>1</v>
      </c>
    </row>
    <row r="2294" spans="1:2">
      <c r="A2294" t="s">
        <v>2185</v>
      </c>
      <c r="B2294">
        <v>1</v>
      </c>
    </row>
    <row r="2295" spans="1:2">
      <c r="A2295" t="s">
        <v>2186</v>
      </c>
      <c r="B2295">
        <v>3</v>
      </c>
    </row>
    <row r="2296" spans="1:2">
      <c r="A2296" t="s">
        <v>1217</v>
      </c>
      <c r="B2296">
        <v>11</v>
      </c>
    </row>
    <row r="2297" spans="1:2">
      <c r="A2297" t="s">
        <v>1542</v>
      </c>
      <c r="B2297">
        <v>3</v>
      </c>
    </row>
    <row r="2298" spans="1:2">
      <c r="A2298" t="s">
        <v>2259</v>
      </c>
      <c r="B2298">
        <v>4</v>
      </c>
    </row>
    <row r="2299" spans="1:2">
      <c r="A2299" t="s">
        <v>2261</v>
      </c>
      <c r="B2299">
        <v>4</v>
      </c>
    </row>
    <row r="2300" spans="1:2">
      <c r="A2300" t="s">
        <v>706</v>
      </c>
      <c r="B2300">
        <v>2</v>
      </c>
    </row>
    <row r="2301" spans="1:2">
      <c r="A2301" t="s">
        <v>1162</v>
      </c>
      <c r="B2301">
        <v>1</v>
      </c>
    </row>
    <row r="2302" spans="1:2">
      <c r="A2302" t="s">
        <v>2328</v>
      </c>
      <c r="B2302">
        <v>2</v>
      </c>
    </row>
    <row r="2303" spans="1:2">
      <c r="A2303" t="s">
        <v>2335</v>
      </c>
      <c r="B2303">
        <v>1</v>
      </c>
    </row>
    <row r="2304" spans="1:2">
      <c r="A2304" t="s">
        <v>2342</v>
      </c>
      <c r="B2304">
        <v>2</v>
      </c>
    </row>
    <row r="2305" spans="1:2">
      <c r="A2305" t="s">
        <v>2353</v>
      </c>
      <c r="B2305">
        <v>1</v>
      </c>
    </row>
    <row r="2306" spans="1:2">
      <c r="A2306" s="2" t="s">
        <v>9</v>
      </c>
      <c r="B2306" s="2">
        <v>333</v>
      </c>
    </row>
    <row r="2308" spans="1:2">
      <c r="A2308" s="2" t="s">
        <v>48</v>
      </c>
    </row>
    <row r="2309" spans="1:2">
      <c r="A2309" s="2" t="s">
        <v>0</v>
      </c>
      <c r="B2309" s="2" t="s">
        <v>1</v>
      </c>
    </row>
    <row r="2310" spans="1:2">
      <c r="A2310" t="s">
        <v>590</v>
      </c>
      <c r="B2310">
        <v>27</v>
      </c>
    </row>
    <row r="2311" spans="1:2">
      <c r="A2311" t="s">
        <v>1799</v>
      </c>
      <c r="B2311">
        <v>2</v>
      </c>
    </row>
    <row r="2312" spans="1:2">
      <c r="A2312" t="s">
        <v>21</v>
      </c>
      <c r="B2312">
        <v>8</v>
      </c>
    </row>
    <row r="2313" spans="1:2">
      <c r="A2313" t="s">
        <v>218</v>
      </c>
      <c r="B2313">
        <v>57</v>
      </c>
    </row>
    <row r="2314" spans="1:2">
      <c r="A2314" t="s">
        <v>593</v>
      </c>
      <c r="B2314">
        <v>73</v>
      </c>
    </row>
    <row r="2315" spans="1:2">
      <c r="A2315" t="s">
        <v>27</v>
      </c>
      <c r="B2315">
        <v>71</v>
      </c>
    </row>
    <row r="2316" spans="1:2">
      <c r="A2316" t="s">
        <v>572</v>
      </c>
      <c r="B2316">
        <v>46</v>
      </c>
    </row>
    <row r="2317" spans="1:2">
      <c r="A2317" t="s">
        <v>570</v>
      </c>
      <c r="B2317">
        <v>223</v>
      </c>
    </row>
    <row r="2318" spans="1:2">
      <c r="A2318" t="s">
        <v>328</v>
      </c>
      <c r="B2318">
        <v>96</v>
      </c>
    </row>
    <row r="2319" spans="1:2">
      <c r="A2319" t="s">
        <v>233</v>
      </c>
      <c r="B2319">
        <v>305</v>
      </c>
    </row>
    <row r="2320" spans="1:2">
      <c r="A2320" t="s">
        <v>675</v>
      </c>
      <c r="B2320">
        <v>64</v>
      </c>
    </row>
    <row r="2321" spans="1:2">
      <c r="A2321" t="s">
        <v>219</v>
      </c>
      <c r="B2321">
        <v>218</v>
      </c>
    </row>
    <row r="2322" spans="1:2">
      <c r="A2322" t="s">
        <v>1833</v>
      </c>
      <c r="B2322">
        <v>2</v>
      </c>
    </row>
    <row r="2323" spans="1:2">
      <c r="A2323" t="s">
        <v>853</v>
      </c>
      <c r="B2323">
        <v>28</v>
      </c>
    </row>
    <row r="2324" spans="1:2">
      <c r="A2324" t="s">
        <v>342</v>
      </c>
      <c r="B2324">
        <v>127</v>
      </c>
    </row>
    <row r="2325" spans="1:2">
      <c r="A2325" t="s">
        <v>1841</v>
      </c>
      <c r="B2325">
        <v>3</v>
      </c>
    </row>
    <row r="2326" spans="1:2">
      <c r="A2326" t="s">
        <v>1853</v>
      </c>
      <c r="B2326">
        <v>9</v>
      </c>
    </row>
    <row r="2327" spans="1:2">
      <c r="A2327" t="s">
        <v>381</v>
      </c>
      <c r="B2327">
        <v>51</v>
      </c>
    </row>
    <row r="2328" spans="1:2">
      <c r="A2328" t="s">
        <v>216</v>
      </c>
      <c r="B2328">
        <v>47</v>
      </c>
    </row>
    <row r="2329" spans="1:2">
      <c r="A2329" t="s">
        <v>1873</v>
      </c>
      <c r="B2329">
        <v>2</v>
      </c>
    </row>
    <row r="2330" spans="1:2">
      <c r="A2330" t="s">
        <v>582</v>
      </c>
      <c r="B2330">
        <v>6</v>
      </c>
    </row>
    <row r="2331" spans="1:2">
      <c r="A2331" t="s">
        <v>1876</v>
      </c>
      <c r="B2331">
        <v>8</v>
      </c>
    </row>
    <row r="2332" spans="1:2">
      <c r="A2332" t="s">
        <v>105</v>
      </c>
      <c r="B2332">
        <v>15</v>
      </c>
    </row>
    <row r="2333" spans="1:2">
      <c r="A2333" t="s">
        <v>594</v>
      </c>
      <c r="B2333">
        <v>44</v>
      </c>
    </row>
    <row r="2334" spans="1:2">
      <c r="A2334" t="s">
        <v>596</v>
      </c>
      <c r="B2334">
        <v>6</v>
      </c>
    </row>
    <row r="2335" spans="1:2">
      <c r="A2335" t="s">
        <v>43</v>
      </c>
      <c r="B2335">
        <v>3</v>
      </c>
    </row>
    <row r="2336" spans="1:2">
      <c r="A2336" t="s">
        <v>588</v>
      </c>
      <c r="B2336">
        <v>4</v>
      </c>
    </row>
    <row r="2337" spans="1:2">
      <c r="A2337" t="s">
        <v>249</v>
      </c>
      <c r="B2337">
        <v>11</v>
      </c>
    </row>
    <row r="2338" spans="1:2">
      <c r="A2338" t="s">
        <v>18</v>
      </c>
      <c r="B2338">
        <v>2</v>
      </c>
    </row>
    <row r="2339" spans="1:2">
      <c r="A2339" t="s">
        <v>1904</v>
      </c>
      <c r="B2339">
        <v>1</v>
      </c>
    </row>
    <row r="2340" spans="1:2">
      <c r="A2340" t="s">
        <v>589</v>
      </c>
      <c r="B2340">
        <v>14</v>
      </c>
    </row>
    <row r="2341" spans="1:2">
      <c r="A2341" t="s">
        <v>1696</v>
      </c>
      <c r="B2341">
        <v>3</v>
      </c>
    </row>
    <row r="2342" spans="1:2">
      <c r="A2342" t="s">
        <v>440</v>
      </c>
      <c r="B2342">
        <v>31</v>
      </c>
    </row>
    <row r="2343" spans="1:2">
      <c r="A2343" t="s">
        <v>1933</v>
      </c>
      <c r="B2343">
        <v>1</v>
      </c>
    </row>
    <row r="2344" spans="1:2">
      <c r="A2344" t="s">
        <v>1939</v>
      </c>
      <c r="B2344">
        <v>3</v>
      </c>
    </row>
    <row r="2345" spans="1:2">
      <c r="A2345" t="s">
        <v>609</v>
      </c>
      <c r="B2345">
        <v>6</v>
      </c>
    </row>
    <row r="2346" spans="1:2">
      <c r="A2346" t="s">
        <v>1949</v>
      </c>
      <c r="B2346">
        <v>29</v>
      </c>
    </row>
    <row r="2347" spans="1:2">
      <c r="A2347" t="s">
        <v>1974</v>
      </c>
      <c r="B2347">
        <v>1</v>
      </c>
    </row>
    <row r="2348" spans="1:2">
      <c r="A2348" t="s">
        <v>1157</v>
      </c>
      <c r="B2348">
        <v>10</v>
      </c>
    </row>
    <row r="2349" spans="1:2">
      <c r="A2349" t="s">
        <v>1333</v>
      </c>
      <c r="B2349">
        <v>1</v>
      </c>
    </row>
    <row r="2350" spans="1:2">
      <c r="A2350" t="s">
        <v>1344</v>
      </c>
      <c r="B2350">
        <v>4</v>
      </c>
    </row>
    <row r="2351" spans="1:2">
      <c r="A2351" t="s">
        <v>1154</v>
      </c>
      <c r="B2351">
        <v>35</v>
      </c>
    </row>
    <row r="2352" spans="1:2">
      <c r="A2352" t="s">
        <v>1996</v>
      </c>
      <c r="B2352">
        <v>6</v>
      </c>
    </row>
    <row r="2353" spans="1:2">
      <c r="A2353" t="s">
        <v>2022</v>
      </c>
      <c r="B2353">
        <v>10</v>
      </c>
    </row>
    <row r="2354" spans="1:2">
      <c r="A2354" t="s">
        <v>288</v>
      </c>
      <c r="B2354">
        <v>7</v>
      </c>
    </row>
    <row r="2355" spans="1:2">
      <c r="A2355" t="s">
        <v>586</v>
      </c>
      <c r="B2355">
        <v>8</v>
      </c>
    </row>
    <row r="2356" spans="1:2">
      <c r="A2356" t="s">
        <v>939</v>
      </c>
      <c r="B2356">
        <v>8</v>
      </c>
    </row>
    <row r="2357" spans="1:2">
      <c r="A2357" t="s">
        <v>2061</v>
      </c>
      <c r="B2357">
        <v>4</v>
      </c>
    </row>
    <row r="2358" spans="1:2">
      <c r="A2358" t="s">
        <v>976</v>
      </c>
      <c r="B2358">
        <v>8</v>
      </c>
    </row>
    <row r="2359" spans="1:2">
      <c r="A2359" t="s">
        <v>2086</v>
      </c>
      <c r="B2359">
        <v>5</v>
      </c>
    </row>
    <row r="2360" spans="1:2">
      <c r="A2360" t="s">
        <v>259</v>
      </c>
      <c r="B2360">
        <v>12</v>
      </c>
    </row>
    <row r="2361" spans="1:2">
      <c r="A2361" t="s">
        <v>2101</v>
      </c>
      <c r="B2361">
        <v>4</v>
      </c>
    </row>
    <row r="2362" spans="1:2">
      <c r="A2362" t="s">
        <v>1597</v>
      </c>
      <c r="B2362">
        <v>2</v>
      </c>
    </row>
    <row r="2363" spans="1:2">
      <c r="A2363" t="s">
        <v>2151</v>
      </c>
      <c r="B2363">
        <v>1</v>
      </c>
    </row>
    <row r="2364" spans="1:2">
      <c r="A2364" t="s">
        <v>938</v>
      </c>
      <c r="B2364">
        <v>4</v>
      </c>
    </row>
    <row r="2365" spans="1:2">
      <c r="A2365" t="s">
        <v>1301</v>
      </c>
      <c r="B2365">
        <v>1</v>
      </c>
    </row>
    <row r="2366" spans="1:2">
      <c r="A2366" t="s">
        <v>2164</v>
      </c>
      <c r="B2366">
        <v>7</v>
      </c>
    </row>
    <row r="2367" spans="1:2">
      <c r="A2367" t="s">
        <v>2172</v>
      </c>
      <c r="B2367">
        <v>3</v>
      </c>
    </row>
    <row r="2368" spans="1:2">
      <c r="A2368" t="s">
        <v>2182</v>
      </c>
      <c r="B2368">
        <v>9</v>
      </c>
    </row>
    <row r="2369" spans="1:2">
      <c r="A2369" t="s">
        <v>2198</v>
      </c>
      <c r="B2369">
        <v>1</v>
      </c>
    </row>
    <row r="2370" spans="1:2">
      <c r="A2370" t="s">
        <v>2208</v>
      </c>
      <c r="B2370">
        <v>4</v>
      </c>
    </row>
    <row r="2371" spans="1:2">
      <c r="A2371" t="s">
        <v>2213</v>
      </c>
      <c r="B2371">
        <v>1</v>
      </c>
    </row>
    <row r="2372" spans="1:2">
      <c r="A2372" t="s">
        <v>2215</v>
      </c>
      <c r="B2372">
        <v>1</v>
      </c>
    </row>
    <row r="2373" spans="1:2">
      <c r="A2373" t="s">
        <v>1345</v>
      </c>
      <c r="B2373">
        <v>3</v>
      </c>
    </row>
    <row r="2374" spans="1:2">
      <c r="A2374" t="s">
        <v>2217</v>
      </c>
      <c r="B2374">
        <v>1</v>
      </c>
    </row>
    <row r="2375" spans="1:2">
      <c r="A2375" t="s">
        <v>1447</v>
      </c>
      <c r="B2375">
        <v>7</v>
      </c>
    </row>
    <row r="2376" spans="1:2">
      <c r="A2376" t="s">
        <v>1499</v>
      </c>
      <c r="B2376">
        <v>3</v>
      </c>
    </row>
    <row r="2377" spans="1:2">
      <c r="A2377" t="s">
        <v>1739</v>
      </c>
      <c r="B2377">
        <v>4</v>
      </c>
    </row>
    <row r="2378" spans="1:2">
      <c r="A2378" t="s">
        <v>273</v>
      </c>
      <c r="B2378">
        <v>2</v>
      </c>
    </row>
    <row r="2379" spans="1:2">
      <c r="A2379" t="s">
        <v>1760</v>
      </c>
      <c r="B2379">
        <v>7</v>
      </c>
    </row>
    <row r="2380" spans="1:2">
      <c r="A2380" t="s">
        <v>283</v>
      </c>
      <c r="B2380">
        <v>8</v>
      </c>
    </row>
    <row r="2381" spans="1:2">
      <c r="A2381" t="s">
        <v>2240</v>
      </c>
      <c r="B2381">
        <v>1</v>
      </c>
    </row>
    <row r="2382" spans="1:2">
      <c r="A2382" t="s">
        <v>774</v>
      </c>
      <c r="B2382">
        <v>5</v>
      </c>
    </row>
    <row r="2383" spans="1:2">
      <c r="A2383" t="s">
        <v>2246</v>
      </c>
      <c r="B2383">
        <v>3</v>
      </c>
    </row>
    <row r="2384" spans="1:2">
      <c r="A2384" t="s">
        <v>2249</v>
      </c>
      <c r="B2384">
        <v>1</v>
      </c>
    </row>
    <row r="2385" spans="1:2">
      <c r="A2385" t="s">
        <v>1639</v>
      </c>
      <c r="B2385">
        <v>1</v>
      </c>
    </row>
    <row r="2386" spans="1:2">
      <c r="A2386" t="s">
        <v>40</v>
      </c>
      <c r="B2386">
        <v>1</v>
      </c>
    </row>
    <row r="2387" spans="1:2">
      <c r="A2387" t="s">
        <v>2272</v>
      </c>
      <c r="B2387">
        <v>2</v>
      </c>
    </row>
    <row r="2388" spans="1:2">
      <c r="A2388" t="s">
        <v>1445</v>
      </c>
      <c r="B2388">
        <v>10</v>
      </c>
    </row>
    <row r="2389" spans="1:2">
      <c r="A2389" t="s">
        <v>1489</v>
      </c>
      <c r="B2389">
        <v>7</v>
      </c>
    </row>
    <row r="2390" spans="1:2">
      <c r="A2390" t="s">
        <v>2285</v>
      </c>
      <c r="B2390">
        <v>5</v>
      </c>
    </row>
    <row r="2391" spans="1:2">
      <c r="A2391" t="s">
        <v>677</v>
      </c>
      <c r="B2391">
        <v>7</v>
      </c>
    </row>
    <row r="2392" spans="1:2">
      <c r="A2392" t="s">
        <v>2286</v>
      </c>
      <c r="B2392">
        <v>3</v>
      </c>
    </row>
    <row r="2393" spans="1:2">
      <c r="A2393" t="s">
        <v>2288</v>
      </c>
      <c r="B2393">
        <v>1</v>
      </c>
    </row>
    <row r="2394" spans="1:2">
      <c r="A2394" t="s">
        <v>2289</v>
      </c>
      <c r="B2394">
        <v>1</v>
      </c>
    </row>
    <row r="2395" spans="1:2">
      <c r="A2395" t="s">
        <v>2290</v>
      </c>
      <c r="B2395">
        <v>1</v>
      </c>
    </row>
    <row r="2396" spans="1:2">
      <c r="A2396" t="s">
        <v>2333</v>
      </c>
      <c r="B2396">
        <v>3</v>
      </c>
    </row>
    <row r="2397" spans="1:2">
      <c r="A2397" t="s">
        <v>2334</v>
      </c>
      <c r="B2397">
        <v>1</v>
      </c>
    </row>
    <row r="2398" spans="1:2">
      <c r="A2398" t="s">
        <v>1296</v>
      </c>
      <c r="B2398">
        <v>1</v>
      </c>
    </row>
    <row r="2399" spans="1:2">
      <c r="A2399" t="s">
        <v>2424</v>
      </c>
      <c r="B2399">
        <v>4</v>
      </c>
    </row>
    <row r="2400" spans="1:2">
      <c r="A2400" t="s">
        <v>2429</v>
      </c>
      <c r="B2400">
        <v>6</v>
      </c>
    </row>
    <row r="2401" spans="1:2">
      <c r="A2401" t="s">
        <v>1035</v>
      </c>
      <c r="B2401">
        <v>3</v>
      </c>
    </row>
    <row r="2402" spans="1:2">
      <c r="A2402" t="s">
        <v>2532</v>
      </c>
      <c r="B2402">
        <v>1</v>
      </c>
    </row>
    <row r="2403" spans="1:2">
      <c r="A2403" t="s">
        <v>2541</v>
      </c>
      <c r="B2403">
        <v>1</v>
      </c>
    </row>
    <row r="2404" spans="1:2">
      <c r="A2404" t="s">
        <v>2542</v>
      </c>
      <c r="B2404">
        <v>1</v>
      </c>
    </row>
    <row r="2405" spans="1:2">
      <c r="A2405" t="s">
        <v>2551</v>
      </c>
      <c r="B2405">
        <v>1</v>
      </c>
    </row>
    <row r="2406" spans="1:2">
      <c r="A2406" t="s">
        <v>2556</v>
      </c>
      <c r="B2406">
        <v>1</v>
      </c>
    </row>
    <row r="2407" spans="1:2">
      <c r="A2407" t="s">
        <v>2557</v>
      </c>
      <c r="B2407">
        <v>2</v>
      </c>
    </row>
    <row r="2408" spans="1:2">
      <c r="A2408" t="s">
        <v>1398</v>
      </c>
      <c r="B2408">
        <v>1</v>
      </c>
    </row>
    <row r="2409" spans="1:2">
      <c r="A2409" t="s">
        <v>2663</v>
      </c>
      <c r="B2409">
        <v>1</v>
      </c>
    </row>
    <row r="2410" spans="1:2">
      <c r="A2410" t="s">
        <v>2696</v>
      </c>
      <c r="B2410">
        <v>1</v>
      </c>
    </row>
    <row r="2411" spans="1:2">
      <c r="A2411" t="s">
        <v>1503</v>
      </c>
      <c r="B2411">
        <v>2</v>
      </c>
    </row>
    <row r="2412" spans="1:2">
      <c r="A2412" t="s">
        <v>2710</v>
      </c>
      <c r="B2412">
        <v>1</v>
      </c>
    </row>
    <row r="2413" spans="1:2">
      <c r="A2413" t="s">
        <v>2711</v>
      </c>
      <c r="B2413">
        <v>1</v>
      </c>
    </row>
    <row r="2414" spans="1:2">
      <c r="A2414" t="s">
        <v>31</v>
      </c>
      <c r="B2414">
        <v>1</v>
      </c>
    </row>
    <row r="2415" spans="1:2">
      <c r="A2415" t="s">
        <v>1408</v>
      </c>
      <c r="B2415">
        <v>1</v>
      </c>
    </row>
    <row r="2416" spans="1:2">
      <c r="A2416" t="s">
        <v>2889</v>
      </c>
      <c r="B2416">
        <v>1</v>
      </c>
    </row>
    <row r="2417" spans="1:2">
      <c r="A2417" t="s">
        <v>2903</v>
      </c>
      <c r="B2417">
        <v>1</v>
      </c>
    </row>
    <row r="2418" spans="1:2">
      <c r="A2418" t="s">
        <v>1158</v>
      </c>
      <c r="B2418">
        <v>1</v>
      </c>
    </row>
    <row r="2419" spans="1:2">
      <c r="A2419" s="2" t="s">
        <v>9</v>
      </c>
      <c r="B2419" s="2">
        <v>1924</v>
      </c>
    </row>
    <row r="2421" spans="1:2">
      <c r="A2421" s="2" t="s">
        <v>2930</v>
      </c>
    </row>
    <row r="2422" spans="1:2">
      <c r="A2422" s="2" t="s">
        <v>0</v>
      </c>
      <c r="B2422" s="2" t="s">
        <v>1</v>
      </c>
    </row>
    <row r="2423" spans="1:2">
      <c r="A2423" t="s">
        <v>167</v>
      </c>
      <c r="B2423">
        <v>210</v>
      </c>
    </row>
    <row r="2424" spans="1:2">
      <c r="A2424" t="s">
        <v>1027</v>
      </c>
      <c r="B2424">
        <v>14</v>
      </c>
    </row>
    <row r="2425" spans="1:2">
      <c r="A2425" t="s">
        <v>179</v>
      </c>
      <c r="B2425">
        <v>63</v>
      </c>
    </row>
    <row r="2426" spans="1:2">
      <c r="A2426" t="s">
        <v>977</v>
      </c>
      <c r="B2426">
        <v>27</v>
      </c>
    </row>
    <row r="2427" spans="1:2">
      <c r="A2427" t="s">
        <v>231</v>
      </c>
      <c r="B2427">
        <v>86</v>
      </c>
    </row>
    <row r="2428" spans="1:2">
      <c r="A2428" t="s">
        <v>132</v>
      </c>
      <c r="B2428">
        <v>121</v>
      </c>
    </row>
    <row r="2429" spans="1:2">
      <c r="A2429" t="s">
        <v>133</v>
      </c>
      <c r="B2429">
        <v>400</v>
      </c>
    </row>
    <row r="2430" spans="1:2">
      <c r="A2430" t="s">
        <v>94</v>
      </c>
      <c r="B2430">
        <v>103</v>
      </c>
    </row>
    <row r="2431" spans="1:2">
      <c r="A2431" t="s">
        <v>178</v>
      </c>
      <c r="B2431">
        <v>93</v>
      </c>
    </row>
    <row r="2432" spans="1:2">
      <c r="A2432" t="s">
        <v>74</v>
      </c>
      <c r="B2432">
        <v>73</v>
      </c>
    </row>
    <row r="2433" spans="1:2">
      <c r="A2433" t="s">
        <v>844</v>
      </c>
      <c r="B2433">
        <v>17</v>
      </c>
    </row>
    <row r="2434" spans="1:2">
      <c r="A2434" t="s">
        <v>305</v>
      </c>
      <c r="B2434">
        <v>53</v>
      </c>
    </row>
    <row r="2435" spans="1:2">
      <c r="A2435" t="s">
        <v>1261</v>
      </c>
      <c r="B2435">
        <v>11</v>
      </c>
    </row>
    <row r="2436" spans="1:2">
      <c r="A2436" t="s">
        <v>564</v>
      </c>
      <c r="B2436">
        <v>3</v>
      </c>
    </row>
    <row r="2437" spans="1:2">
      <c r="A2437" t="s">
        <v>784</v>
      </c>
      <c r="B2437">
        <v>41</v>
      </c>
    </row>
    <row r="2438" spans="1:2">
      <c r="A2438" t="s">
        <v>152</v>
      </c>
      <c r="B2438">
        <v>49</v>
      </c>
    </row>
    <row r="2439" spans="1:2">
      <c r="A2439" t="s">
        <v>605</v>
      </c>
      <c r="B2439">
        <v>58</v>
      </c>
    </row>
    <row r="2440" spans="1:2">
      <c r="A2440" t="s">
        <v>35</v>
      </c>
      <c r="B2440">
        <v>140</v>
      </c>
    </row>
    <row r="2441" spans="1:2">
      <c r="A2441" t="s">
        <v>203</v>
      </c>
      <c r="B2441">
        <v>29</v>
      </c>
    </row>
    <row r="2442" spans="1:2">
      <c r="A2442" t="s">
        <v>169</v>
      </c>
      <c r="B2442">
        <v>48</v>
      </c>
    </row>
    <row r="2443" spans="1:2">
      <c r="A2443" t="s">
        <v>946</v>
      </c>
      <c r="B2443">
        <v>1</v>
      </c>
    </row>
    <row r="2444" spans="1:2">
      <c r="A2444" t="s">
        <v>1827</v>
      </c>
      <c r="B2444">
        <v>4</v>
      </c>
    </row>
    <row r="2445" spans="1:2">
      <c r="A2445" t="s">
        <v>181</v>
      </c>
      <c r="B2445">
        <v>34</v>
      </c>
    </row>
    <row r="2446" spans="1:2">
      <c r="A2446" t="s">
        <v>201</v>
      </c>
      <c r="B2446">
        <v>135</v>
      </c>
    </row>
    <row r="2447" spans="1:2">
      <c r="A2447" t="s">
        <v>68</v>
      </c>
      <c r="B2447">
        <v>36</v>
      </c>
    </row>
    <row r="2448" spans="1:2">
      <c r="A2448" t="s">
        <v>1838</v>
      </c>
      <c r="B2448">
        <v>3</v>
      </c>
    </row>
    <row r="2449" spans="1:2">
      <c r="A2449" t="s">
        <v>604</v>
      </c>
      <c r="B2449">
        <v>16</v>
      </c>
    </row>
    <row r="2450" spans="1:2">
      <c r="A2450" t="s">
        <v>151</v>
      </c>
      <c r="B2450">
        <v>60</v>
      </c>
    </row>
    <row r="2451" spans="1:2">
      <c r="A2451" t="s">
        <v>204</v>
      </c>
      <c r="B2451">
        <v>20</v>
      </c>
    </row>
    <row r="2452" spans="1:2">
      <c r="A2452" t="s">
        <v>638</v>
      </c>
      <c r="B2452">
        <v>17</v>
      </c>
    </row>
    <row r="2453" spans="1:2">
      <c r="A2453" t="s">
        <v>737</v>
      </c>
      <c r="B2453">
        <v>20</v>
      </c>
    </row>
    <row r="2454" spans="1:2">
      <c r="A2454" t="s">
        <v>430</v>
      </c>
      <c r="B2454">
        <v>11</v>
      </c>
    </row>
    <row r="2455" spans="1:2">
      <c r="A2455" t="s">
        <v>1751</v>
      </c>
      <c r="B2455">
        <v>5</v>
      </c>
    </row>
    <row r="2456" spans="1:2">
      <c r="A2456" t="s">
        <v>153</v>
      </c>
      <c r="B2456">
        <v>9</v>
      </c>
    </row>
    <row r="2457" spans="1:2">
      <c r="A2457" t="s">
        <v>679</v>
      </c>
      <c r="B2457">
        <v>43</v>
      </c>
    </row>
    <row r="2458" spans="1:2">
      <c r="A2458" t="s">
        <v>1849</v>
      </c>
      <c r="B2458">
        <v>1</v>
      </c>
    </row>
    <row r="2459" spans="1:2">
      <c r="A2459" t="s">
        <v>241</v>
      </c>
      <c r="B2459">
        <v>15</v>
      </c>
    </row>
    <row r="2460" spans="1:2">
      <c r="A2460" t="s">
        <v>1416</v>
      </c>
      <c r="B2460">
        <v>15</v>
      </c>
    </row>
    <row r="2461" spans="1:2">
      <c r="A2461" t="s">
        <v>855</v>
      </c>
      <c r="B2461">
        <v>4</v>
      </c>
    </row>
    <row r="2462" spans="1:2">
      <c r="A2462" t="s">
        <v>192</v>
      </c>
      <c r="B2462">
        <v>44</v>
      </c>
    </row>
    <row r="2463" spans="1:2">
      <c r="A2463" t="s">
        <v>1163</v>
      </c>
      <c r="B2463">
        <v>10</v>
      </c>
    </row>
    <row r="2464" spans="1:2">
      <c r="A2464" t="s">
        <v>1865</v>
      </c>
      <c r="B2464">
        <v>19</v>
      </c>
    </row>
    <row r="2465" spans="1:2">
      <c r="A2465" t="s">
        <v>1866</v>
      </c>
      <c r="B2465">
        <v>2</v>
      </c>
    </row>
    <row r="2466" spans="1:2">
      <c r="A2466" t="s">
        <v>1871</v>
      </c>
      <c r="B2466">
        <v>1</v>
      </c>
    </row>
    <row r="2467" spans="1:2">
      <c r="A2467" t="s">
        <v>379</v>
      </c>
      <c r="B2467">
        <v>5</v>
      </c>
    </row>
    <row r="2468" spans="1:2">
      <c r="A2468" t="s">
        <v>1747</v>
      </c>
      <c r="B2468">
        <v>4</v>
      </c>
    </row>
    <row r="2469" spans="1:2">
      <c r="A2469" t="s">
        <v>733</v>
      </c>
      <c r="B2469">
        <v>6</v>
      </c>
    </row>
    <row r="2470" spans="1:2">
      <c r="A2470" t="s">
        <v>1879</v>
      </c>
      <c r="B2470">
        <v>1</v>
      </c>
    </row>
    <row r="2471" spans="1:2">
      <c r="A2471" t="s">
        <v>858</v>
      </c>
      <c r="B2471">
        <v>7</v>
      </c>
    </row>
    <row r="2472" spans="1:2">
      <c r="A2472" t="s">
        <v>69</v>
      </c>
      <c r="B2472">
        <v>5</v>
      </c>
    </row>
    <row r="2473" spans="1:2">
      <c r="A2473" t="s">
        <v>344</v>
      </c>
      <c r="B2473">
        <v>12</v>
      </c>
    </row>
    <row r="2474" spans="1:2">
      <c r="A2474" t="s">
        <v>1880</v>
      </c>
      <c r="B2474">
        <v>1</v>
      </c>
    </row>
    <row r="2475" spans="1:2">
      <c r="A2475" t="s">
        <v>1881</v>
      </c>
      <c r="B2475">
        <v>3</v>
      </c>
    </row>
    <row r="2476" spans="1:2">
      <c r="A2476" t="s">
        <v>1016</v>
      </c>
      <c r="B2476">
        <v>15</v>
      </c>
    </row>
    <row r="2477" spans="1:2">
      <c r="A2477" t="s">
        <v>1906</v>
      </c>
      <c r="B2477">
        <v>4</v>
      </c>
    </row>
    <row r="2478" spans="1:2">
      <c r="A2478" t="s">
        <v>1362</v>
      </c>
      <c r="B2478">
        <v>27</v>
      </c>
    </row>
    <row r="2479" spans="1:2">
      <c r="A2479" t="s">
        <v>1912</v>
      </c>
      <c r="B2479">
        <v>5</v>
      </c>
    </row>
    <row r="2480" spans="1:2">
      <c r="A2480" t="s">
        <v>1916</v>
      </c>
      <c r="B2480">
        <v>8</v>
      </c>
    </row>
    <row r="2481" spans="1:2">
      <c r="A2481" t="s">
        <v>1528</v>
      </c>
      <c r="B2481">
        <v>2</v>
      </c>
    </row>
    <row r="2482" spans="1:2">
      <c r="A2482" t="s">
        <v>1246</v>
      </c>
      <c r="B2482">
        <v>20</v>
      </c>
    </row>
    <row r="2483" spans="1:2">
      <c r="A2483" t="s">
        <v>220</v>
      </c>
      <c r="B2483">
        <v>10</v>
      </c>
    </row>
    <row r="2484" spans="1:2">
      <c r="A2484" t="s">
        <v>800</v>
      </c>
      <c r="B2484">
        <v>9</v>
      </c>
    </row>
    <row r="2485" spans="1:2">
      <c r="A2485" t="s">
        <v>92</v>
      </c>
      <c r="B2485">
        <v>37</v>
      </c>
    </row>
    <row r="2486" spans="1:2">
      <c r="A2486" t="s">
        <v>1950</v>
      </c>
      <c r="B2486">
        <v>23</v>
      </c>
    </row>
    <row r="2487" spans="1:2">
      <c r="A2487" t="s">
        <v>689</v>
      </c>
      <c r="B2487">
        <v>4</v>
      </c>
    </row>
    <row r="2488" spans="1:2">
      <c r="A2488" t="s">
        <v>1956</v>
      </c>
      <c r="B2488">
        <v>2</v>
      </c>
    </row>
    <row r="2489" spans="1:2">
      <c r="A2489" t="s">
        <v>751</v>
      </c>
      <c r="B2489">
        <v>4</v>
      </c>
    </row>
    <row r="2490" spans="1:2">
      <c r="A2490" t="s">
        <v>1957</v>
      </c>
      <c r="B2490">
        <v>3</v>
      </c>
    </row>
    <row r="2491" spans="1:2">
      <c r="A2491" t="s">
        <v>171</v>
      </c>
      <c r="B2491">
        <v>6</v>
      </c>
    </row>
    <row r="2492" spans="1:2">
      <c r="A2492" t="s">
        <v>1966</v>
      </c>
      <c r="B2492">
        <v>5</v>
      </c>
    </row>
    <row r="2493" spans="1:2">
      <c r="A2493" t="s">
        <v>1102</v>
      </c>
      <c r="B2493">
        <v>7</v>
      </c>
    </row>
    <row r="2494" spans="1:2">
      <c r="A2494" t="s">
        <v>1973</v>
      </c>
      <c r="B2494">
        <v>2</v>
      </c>
    </row>
    <row r="2495" spans="1:2">
      <c r="A2495" t="s">
        <v>428</v>
      </c>
      <c r="B2495">
        <v>16</v>
      </c>
    </row>
    <row r="2496" spans="1:2">
      <c r="A2496" t="s">
        <v>667</v>
      </c>
      <c r="B2496">
        <v>6</v>
      </c>
    </row>
    <row r="2497" spans="1:2">
      <c r="A2497" t="s">
        <v>1984</v>
      </c>
      <c r="B2497">
        <v>1</v>
      </c>
    </row>
    <row r="2498" spans="1:2">
      <c r="A2498" t="s">
        <v>211</v>
      </c>
      <c r="B2498">
        <v>10</v>
      </c>
    </row>
    <row r="2499" spans="1:2">
      <c r="A2499" t="s">
        <v>827</v>
      </c>
      <c r="B2499">
        <v>4</v>
      </c>
    </row>
    <row r="2500" spans="1:2">
      <c r="A2500" t="s">
        <v>457</v>
      </c>
      <c r="B2500">
        <v>12</v>
      </c>
    </row>
    <row r="2501" spans="1:2">
      <c r="A2501" t="s">
        <v>172</v>
      </c>
      <c r="B2501">
        <v>2</v>
      </c>
    </row>
    <row r="2502" spans="1:2">
      <c r="A2502" t="s">
        <v>65</v>
      </c>
      <c r="B2502">
        <v>52</v>
      </c>
    </row>
    <row r="2503" spans="1:2">
      <c r="A2503" t="s">
        <v>1998</v>
      </c>
      <c r="B2503">
        <v>3</v>
      </c>
    </row>
    <row r="2504" spans="1:2">
      <c r="A2504" t="s">
        <v>911</v>
      </c>
      <c r="B2504">
        <v>17</v>
      </c>
    </row>
    <row r="2505" spans="1:2">
      <c r="A2505" t="s">
        <v>2013</v>
      </c>
      <c r="B2505">
        <v>2</v>
      </c>
    </row>
    <row r="2506" spans="1:2">
      <c r="A2506" t="s">
        <v>2020</v>
      </c>
      <c r="B2506">
        <v>9</v>
      </c>
    </row>
    <row r="2507" spans="1:2">
      <c r="A2507" t="s">
        <v>197</v>
      </c>
      <c r="B2507">
        <v>6</v>
      </c>
    </row>
    <row r="2508" spans="1:2">
      <c r="A2508" t="s">
        <v>353</v>
      </c>
      <c r="B2508">
        <v>3</v>
      </c>
    </row>
    <row r="2509" spans="1:2">
      <c r="A2509" t="s">
        <v>651</v>
      </c>
      <c r="B2509">
        <v>11</v>
      </c>
    </row>
    <row r="2510" spans="1:2">
      <c r="A2510" t="s">
        <v>166</v>
      </c>
      <c r="B2510">
        <v>8</v>
      </c>
    </row>
    <row r="2511" spans="1:2">
      <c r="A2511" t="s">
        <v>2044</v>
      </c>
      <c r="B2511">
        <v>2</v>
      </c>
    </row>
    <row r="2512" spans="1:2">
      <c r="A2512" t="s">
        <v>2048</v>
      </c>
      <c r="B2512">
        <v>8</v>
      </c>
    </row>
    <row r="2513" spans="1:2">
      <c r="A2513" t="s">
        <v>2051</v>
      </c>
      <c r="B2513">
        <v>1</v>
      </c>
    </row>
    <row r="2514" spans="1:2">
      <c r="A2514" t="s">
        <v>910</v>
      </c>
      <c r="B2514">
        <v>15</v>
      </c>
    </row>
    <row r="2515" spans="1:2">
      <c r="A2515" t="s">
        <v>2056</v>
      </c>
      <c r="B2515">
        <v>2</v>
      </c>
    </row>
    <row r="2516" spans="1:2">
      <c r="A2516" t="s">
        <v>2065</v>
      </c>
      <c r="B2516">
        <v>1</v>
      </c>
    </row>
    <row r="2517" spans="1:2">
      <c r="A2517" t="s">
        <v>183</v>
      </c>
      <c r="B2517">
        <v>6</v>
      </c>
    </row>
    <row r="2518" spans="1:2">
      <c r="A2518" t="s">
        <v>2070</v>
      </c>
      <c r="B2518">
        <v>4</v>
      </c>
    </row>
    <row r="2519" spans="1:2">
      <c r="A2519" t="s">
        <v>2071</v>
      </c>
      <c r="B2519">
        <v>5</v>
      </c>
    </row>
    <row r="2520" spans="1:2">
      <c r="A2520" t="s">
        <v>2085</v>
      </c>
      <c r="B2520">
        <v>8</v>
      </c>
    </row>
    <row r="2521" spans="1:2">
      <c r="A2521" t="s">
        <v>2089</v>
      </c>
      <c r="B2521">
        <v>2</v>
      </c>
    </row>
    <row r="2522" spans="1:2">
      <c r="A2522" t="s">
        <v>859</v>
      </c>
      <c r="B2522">
        <v>5</v>
      </c>
    </row>
    <row r="2523" spans="1:2">
      <c r="A2523" t="s">
        <v>525</v>
      </c>
      <c r="B2523">
        <v>10</v>
      </c>
    </row>
    <row r="2524" spans="1:2">
      <c r="A2524" t="s">
        <v>1342</v>
      </c>
      <c r="B2524">
        <v>6</v>
      </c>
    </row>
    <row r="2525" spans="1:2">
      <c r="A2525" t="s">
        <v>1718</v>
      </c>
      <c r="B2525">
        <v>1</v>
      </c>
    </row>
    <row r="2526" spans="1:2">
      <c r="A2526" t="s">
        <v>2118</v>
      </c>
      <c r="B2526">
        <v>14</v>
      </c>
    </row>
    <row r="2527" spans="1:2">
      <c r="A2527" t="s">
        <v>2120</v>
      </c>
      <c r="B2527">
        <v>12</v>
      </c>
    </row>
    <row r="2528" spans="1:2">
      <c r="A2528" t="s">
        <v>2128</v>
      </c>
      <c r="B2528">
        <v>2</v>
      </c>
    </row>
    <row r="2529" spans="1:2">
      <c r="A2529" t="s">
        <v>2131</v>
      </c>
      <c r="B2529">
        <v>1</v>
      </c>
    </row>
    <row r="2530" spans="1:2">
      <c r="A2530" t="s">
        <v>2132</v>
      </c>
      <c r="B2530">
        <v>2</v>
      </c>
    </row>
    <row r="2531" spans="1:2">
      <c r="A2531" t="s">
        <v>2134</v>
      </c>
      <c r="B2531">
        <v>6</v>
      </c>
    </row>
    <row r="2532" spans="1:2">
      <c r="A2532" t="s">
        <v>812</v>
      </c>
      <c r="B2532">
        <v>1</v>
      </c>
    </row>
    <row r="2533" spans="1:2">
      <c r="A2533" t="s">
        <v>2143</v>
      </c>
      <c r="B2533">
        <v>4</v>
      </c>
    </row>
    <row r="2534" spans="1:2">
      <c r="A2534" t="s">
        <v>681</v>
      </c>
      <c r="B2534">
        <v>9</v>
      </c>
    </row>
    <row r="2535" spans="1:2">
      <c r="A2535" t="s">
        <v>2161</v>
      </c>
      <c r="B2535">
        <v>3</v>
      </c>
    </row>
    <row r="2536" spans="1:2">
      <c r="A2536" t="s">
        <v>2162</v>
      </c>
      <c r="B2536">
        <v>1</v>
      </c>
    </row>
    <row r="2537" spans="1:2">
      <c r="A2537" t="s">
        <v>2163</v>
      </c>
      <c r="B2537">
        <v>1</v>
      </c>
    </row>
    <row r="2538" spans="1:2">
      <c r="A2538" t="s">
        <v>107</v>
      </c>
      <c r="B2538">
        <v>2</v>
      </c>
    </row>
    <row r="2539" spans="1:2">
      <c r="A2539" t="s">
        <v>2171</v>
      </c>
      <c r="B2539">
        <v>2</v>
      </c>
    </row>
    <row r="2540" spans="1:2">
      <c r="A2540" t="s">
        <v>618</v>
      </c>
      <c r="B2540">
        <v>21</v>
      </c>
    </row>
    <row r="2541" spans="1:2">
      <c r="A2541" t="s">
        <v>2175</v>
      </c>
      <c r="B2541">
        <v>1</v>
      </c>
    </row>
    <row r="2542" spans="1:2">
      <c r="A2542" t="s">
        <v>814</v>
      </c>
      <c r="B2542">
        <v>5</v>
      </c>
    </row>
    <row r="2543" spans="1:2">
      <c r="A2543" t="s">
        <v>2203</v>
      </c>
      <c r="B2543">
        <v>1</v>
      </c>
    </row>
    <row r="2544" spans="1:2">
      <c r="A2544" t="s">
        <v>2205</v>
      </c>
      <c r="B2544">
        <v>1</v>
      </c>
    </row>
    <row r="2545" spans="1:2">
      <c r="A2545" t="s">
        <v>1547</v>
      </c>
      <c r="B2545">
        <v>2</v>
      </c>
    </row>
    <row r="2546" spans="1:2">
      <c r="A2546" t="s">
        <v>2222</v>
      </c>
      <c r="B2546">
        <v>5</v>
      </c>
    </row>
    <row r="2547" spans="1:2">
      <c r="A2547" t="s">
        <v>267</v>
      </c>
      <c r="B2547">
        <v>3</v>
      </c>
    </row>
    <row r="2548" spans="1:2">
      <c r="A2548" t="s">
        <v>2255</v>
      </c>
      <c r="B2548">
        <v>1</v>
      </c>
    </row>
    <row r="2549" spans="1:2">
      <c r="A2549" t="s">
        <v>2263</v>
      </c>
      <c r="B2549">
        <v>1</v>
      </c>
    </row>
    <row r="2550" spans="1:2">
      <c r="A2550" t="s">
        <v>160</v>
      </c>
      <c r="B2550">
        <v>5</v>
      </c>
    </row>
    <row r="2551" spans="1:2">
      <c r="A2551" t="s">
        <v>1198</v>
      </c>
      <c r="B2551">
        <v>1</v>
      </c>
    </row>
    <row r="2552" spans="1:2">
      <c r="A2552" t="s">
        <v>2292</v>
      </c>
      <c r="B2552">
        <v>1</v>
      </c>
    </row>
    <row r="2553" spans="1:2">
      <c r="A2553" t="s">
        <v>2294</v>
      </c>
      <c r="B2553">
        <v>4</v>
      </c>
    </row>
    <row r="2554" spans="1:2">
      <c r="A2554" t="s">
        <v>2296</v>
      </c>
      <c r="B2554">
        <v>2</v>
      </c>
    </row>
    <row r="2555" spans="1:2">
      <c r="A2555" t="s">
        <v>2337</v>
      </c>
      <c r="B2555">
        <v>1</v>
      </c>
    </row>
    <row r="2556" spans="1:2">
      <c r="A2556" t="s">
        <v>1275</v>
      </c>
      <c r="B2556">
        <v>7</v>
      </c>
    </row>
    <row r="2557" spans="1:2">
      <c r="A2557" t="s">
        <v>829</v>
      </c>
      <c r="B2557">
        <v>1</v>
      </c>
    </row>
    <row r="2558" spans="1:2">
      <c r="A2558" t="s">
        <v>2357</v>
      </c>
      <c r="B2558">
        <v>4</v>
      </c>
    </row>
    <row r="2559" spans="1:2">
      <c r="A2559" t="s">
        <v>1325</v>
      </c>
      <c r="B2559">
        <v>5</v>
      </c>
    </row>
    <row r="2560" spans="1:2">
      <c r="A2560" t="s">
        <v>1291</v>
      </c>
      <c r="B2560">
        <v>4</v>
      </c>
    </row>
    <row r="2561" spans="1:2">
      <c r="A2561" t="s">
        <v>2394</v>
      </c>
      <c r="B2561">
        <v>1</v>
      </c>
    </row>
    <row r="2562" spans="1:2">
      <c r="A2562" t="s">
        <v>1346</v>
      </c>
      <c r="B2562">
        <v>1</v>
      </c>
    </row>
    <row r="2563" spans="1:2">
      <c r="A2563" t="s">
        <v>2397</v>
      </c>
      <c r="B2563">
        <v>1</v>
      </c>
    </row>
    <row r="2564" spans="1:2">
      <c r="A2564" t="s">
        <v>2403</v>
      </c>
      <c r="B2564">
        <v>1</v>
      </c>
    </row>
    <row r="2565" spans="1:2">
      <c r="A2565" t="s">
        <v>597</v>
      </c>
      <c r="B2565">
        <v>1</v>
      </c>
    </row>
    <row r="2566" spans="1:2">
      <c r="A2566" t="s">
        <v>813</v>
      </c>
      <c r="B2566">
        <v>15</v>
      </c>
    </row>
    <row r="2567" spans="1:2">
      <c r="A2567" t="s">
        <v>2410</v>
      </c>
      <c r="B2567">
        <v>3</v>
      </c>
    </row>
    <row r="2568" spans="1:2">
      <c r="A2568" t="s">
        <v>2411</v>
      </c>
      <c r="B2568">
        <v>6</v>
      </c>
    </row>
    <row r="2569" spans="1:2">
      <c r="A2569" t="s">
        <v>653</v>
      </c>
      <c r="B2569">
        <v>17</v>
      </c>
    </row>
    <row r="2570" spans="1:2">
      <c r="A2570" t="s">
        <v>2412</v>
      </c>
      <c r="B2570">
        <v>4</v>
      </c>
    </row>
    <row r="2571" spans="1:2">
      <c r="A2571" t="s">
        <v>2414</v>
      </c>
      <c r="B2571">
        <v>1</v>
      </c>
    </row>
    <row r="2572" spans="1:2">
      <c r="A2572" t="s">
        <v>1174</v>
      </c>
      <c r="B2572">
        <v>1</v>
      </c>
    </row>
    <row r="2573" spans="1:2">
      <c r="A2573" t="s">
        <v>2416</v>
      </c>
      <c r="B2573">
        <v>1</v>
      </c>
    </row>
    <row r="2574" spans="1:2">
      <c r="A2574" t="s">
        <v>2427</v>
      </c>
      <c r="B2574">
        <v>2</v>
      </c>
    </row>
    <row r="2575" spans="1:2">
      <c r="A2575" t="s">
        <v>2428</v>
      </c>
      <c r="B2575">
        <v>1</v>
      </c>
    </row>
    <row r="2576" spans="1:2">
      <c r="A2576" t="s">
        <v>2447</v>
      </c>
      <c r="B2576">
        <v>2</v>
      </c>
    </row>
    <row r="2577" spans="1:2">
      <c r="A2577" t="s">
        <v>1543</v>
      </c>
      <c r="B2577">
        <v>2</v>
      </c>
    </row>
    <row r="2578" spans="1:2">
      <c r="A2578" t="s">
        <v>2448</v>
      </c>
      <c r="B2578">
        <v>2</v>
      </c>
    </row>
    <row r="2579" spans="1:2">
      <c r="A2579" t="s">
        <v>2451</v>
      </c>
      <c r="B2579">
        <v>1</v>
      </c>
    </row>
    <row r="2580" spans="1:2">
      <c r="A2580" t="s">
        <v>2452</v>
      </c>
      <c r="B2580">
        <v>2</v>
      </c>
    </row>
    <row r="2581" spans="1:2">
      <c r="A2581" t="s">
        <v>2468</v>
      </c>
      <c r="B2581">
        <v>1</v>
      </c>
    </row>
    <row r="2582" spans="1:2">
      <c r="A2582" t="s">
        <v>2476</v>
      </c>
      <c r="B2582">
        <v>2</v>
      </c>
    </row>
    <row r="2583" spans="1:2">
      <c r="A2583" t="s">
        <v>1290</v>
      </c>
      <c r="B2583">
        <v>2</v>
      </c>
    </row>
    <row r="2584" spans="1:2">
      <c r="A2584" t="s">
        <v>709</v>
      </c>
      <c r="B2584">
        <v>8</v>
      </c>
    </row>
    <row r="2585" spans="1:2">
      <c r="A2585" t="s">
        <v>2481</v>
      </c>
      <c r="B2585">
        <v>2</v>
      </c>
    </row>
    <row r="2586" spans="1:2">
      <c r="A2586" t="s">
        <v>2484</v>
      </c>
      <c r="B2586">
        <v>4</v>
      </c>
    </row>
    <row r="2587" spans="1:2">
      <c r="A2587" t="s">
        <v>2485</v>
      </c>
      <c r="B2587">
        <v>2</v>
      </c>
    </row>
    <row r="2588" spans="1:2">
      <c r="A2588" t="s">
        <v>2490</v>
      </c>
      <c r="B2588">
        <v>2</v>
      </c>
    </row>
    <row r="2589" spans="1:2">
      <c r="A2589" t="s">
        <v>2495</v>
      </c>
      <c r="B2589">
        <v>3</v>
      </c>
    </row>
    <row r="2590" spans="1:2">
      <c r="A2590" t="s">
        <v>2497</v>
      </c>
      <c r="B2590">
        <v>1</v>
      </c>
    </row>
    <row r="2591" spans="1:2">
      <c r="A2591" t="s">
        <v>2500</v>
      </c>
      <c r="B2591">
        <v>1</v>
      </c>
    </row>
    <row r="2592" spans="1:2">
      <c r="A2592" t="s">
        <v>2504</v>
      </c>
      <c r="B2592">
        <v>2</v>
      </c>
    </row>
    <row r="2593" spans="1:2">
      <c r="A2593" t="s">
        <v>2512</v>
      </c>
      <c r="B2593">
        <v>1</v>
      </c>
    </row>
    <row r="2594" spans="1:2">
      <c r="A2594" t="s">
        <v>2522</v>
      </c>
      <c r="B2594">
        <v>1</v>
      </c>
    </row>
    <row r="2595" spans="1:2">
      <c r="A2595" t="s">
        <v>810</v>
      </c>
      <c r="B2595">
        <v>2</v>
      </c>
    </row>
    <row r="2596" spans="1:2">
      <c r="A2596" t="s">
        <v>2540</v>
      </c>
      <c r="B2596">
        <v>1</v>
      </c>
    </row>
    <row r="2597" spans="1:2">
      <c r="A2597" t="s">
        <v>955</v>
      </c>
      <c r="B2597">
        <v>2</v>
      </c>
    </row>
    <row r="2598" spans="1:2">
      <c r="A2598" t="s">
        <v>2558</v>
      </c>
      <c r="B2598">
        <v>2</v>
      </c>
    </row>
    <row r="2599" spans="1:2">
      <c r="A2599" t="s">
        <v>725</v>
      </c>
      <c r="B2599">
        <v>4</v>
      </c>
    </row>
    <row r="2600" spans="1:2">
      <c r="A2600" t="s">
        <v>2573</v>
      </c>
      <c r="B2600">
        <v>3</v>
      </c>
    </row>
    <row r="2601" spans="1:2">
      <c r="A2601" t="s">
        <v>2576</v>
      </c>
      <c r="B2601">
        <v>2</v>
      </c>
    </row>
    <row r="2602" spans="1:2">
      <c r="A2602" t="s">
        <v>2579</v>
      </c>
      <c r="B2602">
        <v>1</v>
      </c>
    </row>
    <row r="2603" spans="1:2">
      <c r="A2603" t="s">
        <v>2580</v>
      </c>
      <c r="B2603">
        <v>1</v>
      </c>
    </row>
    <row r="2604" spans="1:2">
      <c r="A2604" t="s">
        <v>239</v>
      </c>
      <c r="B2604">
        <v>3</v>
      </c>
    </row>
    <row r="2605" spans="1:2">
      <c r="A2605" t="s">
        <v>2594</v>
      </c>
      <c r="B2605">
        <v>1</v>
      </c>
    </row>
    <row r="2606" spans="1:2">
      <c r="A2606" t="s">
        <v>1023</v>
      </c>
      <c r="B2606">
        <v>2</v>
      </c>
    </row>
    <row r="2607" spans="1:2">
      <c r="A2607" t="s">
        <v>2603</v>
      </c>
      <c r="B2607">
        <v>2</v>
      </c>
    </row>
    <row r="2608" spans="1:2">
      <c r="A2608" t="s">
        <v>2606</v>
      </c>
      <c r="B2608">
        <v>1</v>
      </c>
    </row>
    <row r="2609" spans="1:2">
      <c r="A2609" t="s">
        <v>2609</v>
      </c>
      <c r="B2609">
        <v>1</v>
      </c>
    </row>
    <row r="2610" spans="1:2">
      <c r="A2610" t="s">
        <v>1721</v>
      </c>
      <c r="B2610">
        <v>2</v>
      </c>
    </row>
    <row r="2611" spans="1:2">
      <c r="A2611" t="s">
        <v>2623</v>
      </c>
      <c r="B2611">
        <v>1</v>
      </c>
    </row>
    <row r="2612" spans="1:2">
      <c r="A2612" t="s">
        <v>2627</v>
      </c>
      <c r="B2612">
        <v>1</v>
      </c>
    </row>
    <row r="2613" spans="1:2">
      <c r="A2613" t="s">
        <v>2628</v>
      </c>
      <c r="B2613">
        <v>1</v>
      </c>
    </row>
    <row r="2614" spans="1:2">
      <c r="A2614" t="s">
        <v>2644</v>
      </c>
      <c r="B2614">
        <v>1</v>
      </c>
    </row>
    <row r="2615" spans="1:2">
      <c r="A2615" t="s">
        <v>205</v>
      </c>
      <c r="B2615">
        <v>1</v>
      </c>
    </row>
    <row r="2616" spans="1:2">
      <c r="A2616" t="s">
        <v>1592</v>
      </c>
      <c r="B2616">
        <v>1</v>
      </c>
    </row>
    <row r="2617" spans="1:2">
      <c r="A2617" t="s">
        <v>1601</v>
      </c>
      <c r="B2617">
        <v>1</v>
      </c>
    </row>
    <row r="2618" spans="1:2">
      <c r="A2618" t="s">
        <v>2657</v>
      </c>
      <c r="B2618">
        <v>1</v>
      </c>
    </row>
    <row r="2619" spans="1:2">
      <c r="A2619" t="s">
        <v>1698</v>
      </c>
      <c r="B2619">
        <v>1</v>
      </c>
    </row>
    <row r="2620" spans="1:2">
      <c r="A2620" t="s">
        <v>2658</v>
      </c>
      <c r="B2620">
        <v>2</v>
      </c>
    </row>
    <row r="2621" spans="1:2">
      <c r="A2621" t="s">
        <v>2660</v>
      </c>
      <c r="B2621">
        <v>1</v>
      </c>
    </row>
    <row r="2622" spans="1:2">
      <c r="A2622" t="s">
        <v>2661</v>
      </c>
      <c r="B2622">
        <v>1</v>
      </c>
    </row>
    <row r="2623" spans="1:2">
      <c r="A2623" t="s">
        <v>2665</v>
      </c>
      <c r="B2623">
        <v>1</v>
      </c>
    </row>
    <row r="2624" spans="1:2">
      <c r="A2624" t="s">
        <v>1581</v>
      </c>
      <c r="B2624">
        <v>1</v>
      </c>
    </row>
    <row r="2625" spans="1:2">
      <c r="A2625" t="s">
        <v>1391</v>
      </c>
      <c r="B2625">
        <v>1</v>
      </c>
    </row>
    <row r="2626" spans="1:2">
      <c r="A2626" t="s">
        <v>2675</v>
      </c>
      <c r="B2626">
        <v>2</v>
      </c>
    </row>
    <row r="2627" spans="1:2">
      <c r="A2627" t="s">
        <v>2679</v>
      </c>
      <c r="B2627">
        <v>1</v>
      </c>
    </row>
    <row r="2628" spans="1:2">
      <c r="A2628" t="s">
        <v>2689</v>
      </c>
      <c r="B2628">
        <v>1</v>
      </c>
    </row>
    <row r="2629" spans="1:2">
      <c r="A2629" t="s">
        <v>2690</v>
      </c>
      <c r="B2629">
        <v>1</v>
      </c>
    </row>
    <row r="2630" spans="1:2">
      <c r="A2630" t="s">
        <v>2695</v>
      </c>
      <c r="B2630">
        <v>1</v>
      </c>
    </row>
    <row r="2631" spans="1:2">
      <c r="A2631" t="s">
        <v>2699</v>
      </c>
      <c r="B2631">
        <v>2</v>
      </c>
    </row>
    <row r="2632" spans="1:2">
      <c r="A2632" t="s">
        <v>2701</v>
      </c>
      <c r="B2632">
        <v>2</v>
      </c>
    </row>
    <row r="2633" spans="1:2">
      <c r="A2633" t="s">
        <v>2709</v>
      </c>
      <c r="B2633">
        <v>1</v>
      </c>
    </row>
    <row r="2634" spans="1:2">
      <c r="A2634" t="s">
        <v>2729</v>
      </c>
      <c r="B2634">
        <v>1</v>
      </c>
    </row>
    <row r="2635" spans="1:2">
      <c r="A2635" t="s">
        <v>2735</v>
      </c>
      <c r="B2635">
        <v>1</v>
      </c>
    </row>
    <row r="2636" spans="1:2">
      <c r="A2636" t="s">
        <v>526</v>
      </c>
      <c r="B2636">
        <v>1</v>
      </c>
    </row>
    <row r="2637" spans="1:2">
      <c r="A2637" t="s">
        <v>2739</v>
      </c>
      <c r="B2637">
        <v>1</v>
      </c>
    </row>
    <row r="2638" spans="1:2">
      <c r="A2638" t="s">
        <v>2766</v>
      </c>
      <c r="B2638">
        <v>1</v>
      </c>
    </row>
    <row r="2639" spans="1:2">
      <c r="A2639" t="s">
        <v>2782</v>
      </c>
      <c r="B2639">
        <v>1</v>
      </c>
    </row>
    <row r="2640" spans="1:2">
      <c r="A2640" t="s">
        <v>2790</v>
      </c>
      <c r="B2640">
        <v>1</v>
      </c>
    </row>
    <row r="2641" spans="1:2">
      <c r="A2641" t="s">
        <v>2795</v>
      </c>
      <c r="B2641">
        <v>2</v>
      </c>
    </row>
    <row r="2642" spans="1:2">
      <c r="A2642" t="s">
        <v>1660</v>
      </c>
      <c r="B2642">
        <v>2</v>
      </c>
    </row>
    <row r="2643" spans="1:2">
      <c r="A2643" t="s">
        <v>2802</v>
      </c>
      <c r="B2643">
        <v>1</v>
      </c>
    </row>
    <row r="2644" spans="1:2">
      <c r="A2644" t="s">
        <v>1746</v>
      </c>
      <c r="B2644">
        <v>1</v>
      </c>
    </row>
    <row r="2645" spans="1:2">
      <c r="A2645" t="s">
        <v>1693</v>
      </c>
      <c r="B2645">
        <v>2</v>
      </c>
    </row>
    <row r="2646" spans="1:2">
      <c r="A2646" t="s">
        <v>891</v>
      </c>
      <c r="B2646">
        <v>1</v>
      </c>
    </row>
    <row r="2647" spans="1:2">
      <c r="A2647" t="s">
        <v>2816</v>
      </c>
      <c r="B2647">
        <v>2</v>
      </c>
    </row>
    <row r="2648" spans="1:2">
      <c r="A2648" t="s">
        <v>1745</v>
      </c>
      <c r="B2648">
        <v>1</v>
      </c>
    </row>
    <row r="2649" spans="1:2">
      <c r="A2649" t="s">
        <v>2839</v>
      </c>
      <c r="B2649">
        <v>1</v>
      </c>
    </row>
    <row r="2650" spans="1:2">
      <c r="A2650" t="s">
        <v>2840</v>
      </c>
      <c r="B2650">
        <v>1</v>
      </c>
    </row>
    <row r="2651" spans="1:2">
      <c r="A2651" t="s">
        <v>1104</v>
      </c>
      <c r="B2651">
        <v>1</v>
      </c>
    </row>
    <row r="2652" spans="1:2">
      <c r="A2652" t="s">
        <v>2849</v>
      </c>
      <c r="B2652">
        <v>1</v>
      </c>
    </row>
    <row r="2653" spans="1:2">
      <c r="A2653" t="s">
        <v>2851</v>
      </c>
      <c r="B2653">
        <v>1</v>
      </c>
    </row>
    <row r="2654" spans="1:2">
      <c r="A2654" t="s">
        <v>1365</v>
      </c>
      <c r="B2654">
        <v>1</v>
      </c>
    </row>
    <row r="2655" spans="1:2">
      <c r="A2655" t="s">
        <v>2872</v>
      </c>
      <c r="B2655">
        <v>1</v>
      </c>
    </row>
    <row r="2656" spans="1:2">
      <c r="A2656" t="s">
        <v>2882</v>
      </c>
      <c r="B2656">
        <v>1</v>
      </c>
    </row>
    <row r="2657" spans="1:2">
      <c r="A2657" t="s">
        <v>2887</v>
      </c>
      <c r="B2657">
        <v>1</v>
      </c>
    </row>
    <row r="2658" spans="1:2">
      <c r="A2658" t="s">
        <v>2899</v>
      </c>
      <c r="B2658">
        <v>2</v>
      </c>
    </row>
    <row r="2659" spans="1:2">
      <c r="A2659" t="s">
        <v>2908</v>
      </c>
      <c r="B2659">
        <v>1</v>
      </c>
    </row>
    <row r="2660" spans="1:2">
      <c r="A2660" t="s">
        <v>1722</v>
      </c>
      <c r="B2660">
        <v>1</v>
      </c>
    </row>
    <row r="2661" spans="1:2">
      <c r="A2661" t="s">
        <v>1422</v>
      </c>
      <c r="B2661">
        <v>1</v>
      </c>
    </row>
    <row r="2662" spans="1:2">
      <c r="A2662" t="s">
        <v>1532</v>
      </c>
      <c r="B2662">
        <v>1</v>
      </c>
    </row>
    <row r="2663" spans="1:2">
      <c r="A2663" s="2" t="s">
        <v>9</v>
      </c>
      <c r="B2663" s="2">
        <v>2963</v>
      </c>
    </row>
    <row r="2665" spans="1:2">
      <c r="A2665" s="2" t="s">
        <v>537</v>
      </c>
    </row>
    <row r="2666" spans="1:2">
      <c r="A2666" s="2" t="s">
        <v>0</v>
      </c>
      <c r="B2666" s="2" t="s">
        <v>1</v>
      </c>
    </row>
    <row r="2667" spans="1:2">
      <c r="A2667" t="s">
        <v>639</v>
      </c>
      <c r="B2667">
        <v>21</v>
      </c>
    </row>
    <row r="2668" spans="1:2">
      <c r="A2668" t="s">
        <v>1324</v>
      </c>
      <c r="B2668">
        <v>57</v>
      </c>
    </row>
    <row r="2669" spans="1:2">
      <c r="A2669" t="s">
        <v>661</v>
      </c>
      <c r="B2669">
        <v>125</v>
      </c>
    </row>
    <row r="2670" spans="1:2">
      <c r="A2670" t="s">
        <v>868</v>
      </c>
      <c r="B2670">
        <v>8</v>
      </c>
    </row>
    <row r="2671" spans="1:2">
      <c r="A2671" t="s">
        <v>935</v>
      </c>
      <c r="B2671">
        <v>3</v>
      </c>
    </row>
    <row r="2672" spans="1:2">
      <c r="A2672" t="s">
        <v>714</v>
      </c>
      <c r="B2672">
        <v>9</v>
      </c>
    </row>
    <row r="2673" spans="1:2">
      <c r="A2673" t="s">
        <v>1826</v>
      </c>
      <c r="B2673">
        <v>1</v>
      </c>
    </row>
    <row r="2674" spans="1:2">
      <c r="A2674" t="s">
        <v>1830</v>
      </c>
      <c r="B2674">
        <v>2</v>
      </c>
    </row>
    <row r="2675" spans="1:2">
      <c r="A2675" t="s">
        <v>1835</v>
      </c>
      <c r="B2675">
        <v>7</v>
      </c>
    </row>
    <row r="2676" spans="1:2">
      <c r="A2676" t="s">
        <v>698</v>
      </c>
      <c r="B2676">
        <v>41</v>
      </c>
    </row>
    <row r="2677" spans="1:2">
      <c r="A2677" t="s">
        <v>628</v>
      </c>
      <c r="B2677">
        <v>96</v>
      </c>
    </row>
    <row r="2678" spans="1:2">
      <c r="A2678" t="s">
        <v>494</v>
      </c>
      <c r="B2678">
        <v>19</v>
      </c>
    </row>
    <row r="2679" spans="1:2">
      <c r="A2679" t="s">
        <v>1241</v>
      </c>
      <c r="B2679">
        <v>24</v>
      </c>
    </row>
    <row r="2680" spans="1:2">
      <c r="A2680" t="s">
        <v>1304</v>
      </c>
      <c r="B2680">
        <v>24</v>
      </c>
    </row>
    <row r="2681" spans="1:2">
      <c r="A2681" t="s">
        <v>1539</v>
      </c>
      <c r="B2681">
        <v>19</v>
      </c>
    </row>
    <row r="2682" spans="1:2">
      <c r="A2682" t="s">
        <v>931</v>
      </c>
      <c r="B2682">
        <v>63</v>
      </c>
    </row>
    <row r="2683" spans="1:2">
      <c r="A2683" t="s">
        <v>1862</v>
      </c>
      <c r="B2683">
        <v>4</v>
      </c>
    </row>
    <row r="2684" spans="1:2">
      <c r="A2684" t="s">
        <v>664</v>
      </c>
      <c r="B2684">
        <v>7</v>
      </c>
    </row>
    <row r="2685" spans="1:2">
      <c r="A2685" t="s">
        <v>666</v>
      </c>
      <c r="B2685">
        <v>6</v>
      </c>
    </row>
    <row r="2686" spans="1:2">
      <c r="A2686" t="s">
        <v>1527</v>
      </c>
      <c r="B2686">
        <v>9</v>
      </c>
    </row>
    <row r="2687" spans="1:2">
      <c r="A2687" t="s">
        <v>504</v>
      </c>
      <c r="B2687">
        <v>10</v>
      </c>
    </row>
    <row r="2688" spans="1:2">
      <c r="A2688" t="s">
        <v>997</v>
      </c>
      <c r="B2688">
        <v>2</v>
      </c>
    </row>
    <row r="2689" spans="1:2">
      <c r="A2689" t="s">
        <v>1891</v>
      </c>
      <c r="B2689">
        <v>1</v>
      </c>
    </row>
    <row r="2690" spans="1:2">
      <c r="A2690" t="s">
        <v>253</v>
      </c>
      <c r="B2690">
        <v>90</v>
      </c>
    </row>
    <row r="2691" spans="1:2">
      <c r="A2691" t="s">
        <v>764</v>
      </c>
      <c r="B2691">
        <v>9</v>
      </c>
    </row>
    <row r="2692" spans="1:2">
      <c r="A2692" t="s">
        <v>1920</v>
      </c>
      <c r="B2692">
        <v>7</v>
      </c>
    </row>
    <row r="2693" spans="1:2">
      <c r="A2693" t="s">
        <v>1921</v>
      </c>
      <c r="B2693">
        <v>4</v>
      </c>
    </row>
    <row r="2694" spans="1:2">
      <c r="A2694" t="s">
        <v>1021</v>
      </c>
      <c r="B2694">
        <v>12</v>
      </c>
    </row>
    <row r="2695" spans="1:2">
      <c r="A2695" t="s">
        <v>1927</v>
      </c>
      <c r="B2695">
        <v>2</v>
      </c>
    </row>
    <row r="2696" spans="1:2">
      <c r="A2696" t="s">
        <v>1688</v>
      </c>
      <c r="B2696">
        <v>3</v>
      </c>
    </row>
    <row r="2697" spans="1:2">
      <c r="A2697" t="s">
        <v>173</v>
      </c>
      <c r="B2697">
        <v>17</v>
      </c>
    </row>
    <row r="2698" spans="1:2">
      <c r="A2698" t="s">
        <v>654</v>
      </c>
      <c r="B2698">
        <v>13</v>
      </c>
    </row>
    <row r="2699" spans="1:2">
      <c r="A2699" t="s">
        <v>334</v>
      </c>
      <c r="B2699">
        <v>14</v>
      </c>
    </row>
    <row r="2700" spans="1:2">
      <c r="A2700" t="s">
        <v>1985</v>
      </c>
      <c r="B2700">
        <v>1</v>
      </c>
    </row>
    <row r="2701" spans="1:2">
      <c r="A2701" t="s">
        <v>1986</v>
      </c>
      <c r="B2701">
        <v>1</v>
      </c>
    </row>
    <row r="2702" spans="1:2">
      <c r="A2702" t="s">
        <v>831</v>
      </c>
      <c r="B2702">
        <v>3</v>
      </c>
    </row>
    <row r="2703" spans="1:2">
      <c r="A2703" t="s">
        <v>1993</v>
      </c>
      <c r="B2703">
        <v>1</v>
      </c>
    </row>
    <row r="2704" spans="1:2">
      <c r="A2704" t="s">
        <v>716</v>
      </c>
      <c r="B2704">
        <v>4</v>
      </c>
    </row>
    <row r="2705" spans="1:2">
      <c r="A2705" t="s">
        <v>2050</v>
      </c>
      <c r="B2705">
        <v>1</v>
      </c>
    </row>
    <row r="2706" spans="1:2">
      <c r="A2706" t="s">
        <v>2066</v>
      </c>
      <c r="B2706">
        <v>3</v>
      </c>
    </row>
    <row r="2707" spans="1:2">
      <c r="A2707" t="s">
        <v>972</v>
      </c>
      <c r="B2707">
        <v>9</v>
      </c>
    </row>
    <row r="2708" spans="1:2">
      <c r="A2708" t="s">
        <v>189</v>
      </c>
      <c r="B2708">
        <v>14</v>
      </c>
    </row>
    <row r="2709" spans="1:2">
      <c r="A2709" t="s">
        <v>391</v>
      </c>
      <c r="B2709">
        <v>3</v>
      </c>
    </row>
    <row r="2710" spans="1:2">
      <c r="A2710" t="s">
        <v>2190</v>
      </c>
      <c r="B2710">
        <v>3</v>
      </c>
    </row>
    <row r="2711" spans="1:2">
      <c r="A2711" t="s">
        <v>2224</v>
      </c>
      <c r="B2711">
        <v>1</v>
      </c>
    </row>
    <row r="2712" spans="1:2">
      <c r="A2712" t="s">
        <v>2252</v>
      </c>
      <c r="B2712">
        <v>1</v>
      </c>
    </row>
    <row r="2713" spans="1:2">
      <c r="A2713" t="s">
        <v>2253</v>
      </c>
      <c r="B2713">
        <v>1</v>
      </c>
    </row>
    <row r="2714" spans="1:2">
      <c r="A2714" t="s">
        <v>1797</v>
      </c>
      <c r="B2714">
        <v>5</v>
      </c>
    </row>
    <row r="2715" spans="1:2">
      <c r="A2715" t="s">
        <v>2262</v>
      </c>
      <c r="B2715">
        <v>1</v>
      </c>
    </row>
    <row r="2716" spans="1:2">
      <c r="A2716" t="s">
        <v>2297</v>
      </c>
      <c r="B2716">
        <v>1</v>
      </c>
    </row>
    <row r="2717" spans="1:2">
      <c r="A2717" t="s">
        <v>2326</v>
      </c>
      <c r="B2717">
        <v>5</v>
      </c>
    </row>
    <row r="2718" spans="1:2">
      <c r="A2718" t="s">
        <v>2340</v>
      </c>
      <c r="B2718">
        <v>1</v>
      </c>
    </row>
    <row r="2719" spans="1:2">
      <c r="A2719" t="s">
        <v>838</v>
      </c>
      <c r="B2719">
        <v>10</v>
      </c>
    </row>
    <row r="2720" spans="1:2">
      <c r="A2720" t="s">
        <v>2346</v>
      </c>
      <c r="B2720">
        <v>3</v>
      </c>
    </row>
    <row r="2721" spans="1:2">
      <c r="A2721" t="s">
        <v>2405</v>
      </c>
      <c r="B2721">
        <v>1</v>
      </c>
    </row>
    <row r="2722" spans="1:2">
      <c r="A2722" t="s">
        <v>2445</v>
      </c>
      <c r="B2722">
        <v>1</v>
      </c>
    </row>
    <row r="2723" spans="1:2">
      <c r="A2723" t="s">
        <v>2525</v>
      </c>
      <c r="B2723">
        <v>1</v>
      </c>
    </row>
    <row r="2724" spans="1:2">
      <c r="A2724" t="s">
        <v>2543</v>
      </c>
      <c r="B2724">
        <v>1</v>
      </c>
    </row>
    <row r="2725" spans="1:2">
      <c r="A2725" t="s">
        <v>2570</v>
      </c>
      <c r="B2725">
        <v>1</v>
      </c>
    </row>
    <row r="2726" spans="1:2">
      <c r="A2726" t="s">
        <v>2630</v>
      </c>
      <c r="B2726">
        <v>1</v>
      </c>
    </row>
    <row r="2727" spans="1:2">
      <c r="A2727" t="s">
        <v>2640</v>
      </c>
      <c r="B2727">
        <v>1</v>
      </c>
    </row>
    <row r="2728" spans="1:2">
      <c r="A2728" t="s">
        <v>2642</v>
      </c>
      <c r="B2728">
        <v>1</v>
      </c>
    </row>
    <row r="2729" spans="1:2">
      <c r="A2729" t="s">
        <v>2643</v>
      </c>
      <c r="B2729">
        <v>1</v>
      </c>
    </row>
    <row r="2730" spans="1:2">
      <c r="A2730" t="s">
        <v>2654</v>
      </c>
      <c r="B2730">
        <v>3</v>
      </c>
    </row>
    <row r="2731" spans="1:2">
      <c r="A2731" t="s">
        <v>2667</v>
      </c>
      <c r="B2731">
        <v>1</v>
      </c>
    </row>
    <row r="2732" spans="1:2">
      <c r="A2732" t="s">
        <v>2821</v>
      </c>
      <c r="B2732">
        <v>1</v>
      </c>
    </row>
    <row r="2733" spans="1:2">
      <c r="A2733" t="s">
        <v>2878</v>
      </c>
      <c r="B2733">
        <v>1</v>
      </c>
    </row>
    <row r="2734" spans="1:2">
      <c r="A2734" t="s">
        <v>2888</v>
      </c>
      <c r="B2734">
        <v>1</v>
      </c>
    </row>
    <row r="2735" spans="1:2">
      <c r="A2735" t="s">
        <v>2895</v>
      </c>
      <c r="B2735">
        <v>1</v>
      </c>
    </row>
    <row r="2736" spans="1:2">
      <c r="A2736" t="s">
        <v>2905</v>
      </c>
      <c r="B2736">
        <v>1</v>
      </c>
    </row>
    <row r="2737" spans="1:2">
      <c r="A2737" s="2" t="s">
        <v>9</v>
      </c>
      <c r="B2737" s="2">
        <v>819</v>
      </c>
    </row>
    <row r="2739" spans="1:2">
      <c r="A2739" s="2" t="s">
        <v>95</v>
      </c>
    </row>
    <row r="2740" spans="1:2">
      <c r="A2740" s="2" t="s">
        <v>0</v>
      </c>
      <c r="B2740" s="2" t="s">
        <v>1</v>
      </c>
    </row>
    <row r="2741" spans="1:2">
      <c r="A2741" t="s">
        <v>165</v>
      </c>
      <c r="B2741">
        <v>55</v>
      </c>
    </row>
    <row r="2742" spans="1:2">
      <c r="A2742" t="s">
        <v>230</v>
      </c>
      <c r="B2742">
        <v>48</v>
      </c>
    </row>
    <row r="2743" spans="1:2">
      <c r="A2743" t="s">
        <v>1030</v>
      </c>
      <c r="B2743">
        <v>4</v>
      </c>
    </row>
    <row r="2744" spans="1:2">
      <c r="A2744" t="s">
        <v>1770</v>
      </c>
      <c r="B2744">
        <v>3</v>
      </c>
    </row>
    <row r="2745" spans="1:2">
      <c r="A2745" t="s">
        <v>385</v>
      </c>
      <c r="B2745">
        <v>120</v>
      </c>
    </row>
    <row r="2746" spans="1:2">
      <c r="A2746" t="s">
        <v>163</v>
      </c>
      <c r="B2746">
        <v>100</v>
      </c>
    </row>
    <row r="2747" spans="1:2">
      <c r="A2747" t="s">
        <v>1829</v>
      </c>
      <c r="B2747">
        <v>3</v>
      </c>
    </row>
    <row r="2748" spans="1:2">
      <c r="A2748" t="s">
        <v>168</v>
      </c>
      <c r="B2748">
        <v>45</v>
      </c>
    </row>
    <row r="2749" spans="1:2">
      <c r="A2749" t="s">
        <v>90</v>
      </c>
      <c r="B2749">
        <v>83</v>
      </c>
    </row>
    <row r="2750" spans="1:2">
      <c r="A2750" t="s">
        <v>756</v>
      </c>
      <c r="B2750">
        <v>54</v>
      </c>
    </row>
    <row r="2751" spans="1:2">
      <c r="A2751" t="s">
        <v>83</v>
      </c>
      <c r="B2751">
        <v>152</v>
      </c>
    </row>
    <row r="2752" spans="1:2">
      <c r="A2752" t="s">
        <v>330</v>
      </c>
      <c r="B2752">
        <v>81</v>
      </c>
    </row>
    <row r="2753" spans="1:2">
      <c r="A2753" t="s">
        <v>965</v>
      </c>
      <c r="B2753">
        <v>86</v>
      </c>
    </row>
    <row r="2754" spans="1:2">
      <c r="A2754" t="s">
        <v>331</v>
      </c>
      <c r="B2754">
        <v>15</v>
      </c>
    </row>
    <row r="2755" spans="1:2">
      <c r="A2755" t="s">
        <v>1433</v>
      </c>
      <c r="B2755">
        <v>3</v>
      </c>
    </row>
    <row r="2756" spans="1:2">
      <c r="A2756" t="s">
        <v>238</v>
      </c>
      <c r="B2756">
        <v>40</v>
      </c>
    </row>
    <row r="2757" spans="1:2">
      <c r="A2757" t="s">
        <v>665</v>
      </c>
      <c r="B2757">
        <v>13</v>
      </c>
    </row>
    <row r="2758" spans="1:2">
      <c r="A2758" t="s">
        <v>692</v>
      </c>
      <c r="B2758">
        <v>49</v>
      </c>
    </row>
    <row r="2759" spans="1:2">
      <c r="A2759" t="s">
        <v>190</v>
      </c>
      <c r="B2759">
        <v>47</v>
      </c>
    </row>
    <row r="2760" spans="1:2">
      <c r="A2760" t="s">
        <v>390</v>
      </c>
      <c r="B2760">
        <v>20</v>
      </c>
    </row>
    <row r="2761" spans="1:2">
      <c r="A2761" t="s">
        <v>1852</v>
      </c>
      <c r="B2761">
        <v>1</v>
      </c>
    </row>
    <row r="2762" spans="1:2">
      <c r="A2762" t="s">
        <v>458</v>
      </c>
      <c r="B2762">
        <v>25</v>
      </c>
    </row>
    <row r="2763" spans="1:2">
      <c r="A2763" t="s">
        <v>1476</v>
      </c>
      <c r="B2763">
        <v>9</v>
      </c>
    </row>
    <row r="2764" spans="1:2">
      <c r="A2764" t="s">
        <v>1856</v>
      </c>
      <c r="B2764">
        <v>2</v>
      </c>
    </row>
    <row r="2765" spans="1:2">
      <c r="A2765" t="s">
        <v>412</v>
      </c>
      <c r="B2765">
        <v>5</v>
      </c>
    </row>
    <row r="2766" spans="1:2">
      <c r="A2766" t="s">
        <v>646</v>
      </c>
      <c r="B2766">
        <v>1</v>
      </c>
    </row>
    <row r="2767" spans="1:2">
      <c r="A2767" t="s">
        <v>388</v>
      </c>
      <c r="B2767">
        <v>1</v>
      </c>
    </row>
    <row r="2768" spans="1:2">
      <c r="A2768" t="s">
        <v>1867</v>
      </c>
      <c r="B2768">
        <v>4</v>
      </c>
    </row>
    <row r="2769" spans="1:2">
      <c r="A2769" t="s">
        <v>1868</v>
      </c>
      <c r="B2769">
        <v>6</v>
      </c>
    </row>
    <row r="2770" spans="1:2">
      <c r="A2770" t="s">
        <v>996</v>
      </c>
      <c r="B2770">
        <v>5</v>
      </c>
    </row>
    <row r="2771" spans="1:2">
      <c r="A2771" t="s">
        <v>505</v>
      </c>
      <c r="B2771">
        <v>24</v>
      </c>
    </row>
    <row r="2772" spans="1:2">
      <c r="A2772" t="s">
        <v>1115</v>
      </c>
      <c r="B2772">
        <v>2</v>
      </c>
    </row>
    <row r="2773" spans="1:2">
      <c r="A2773" t="s">
        <v>1892</v>
      </c>
      <c r="B2773">
        <v>1</v>
      </c>
    </row>
    <row r="2774" spans="1:2">
      <c r="A2774" t="s">
        <v>563</v>
      </c>
      <c r="B2774">
        <v>6</v>
      </c>
    </row>
    <row r="2775" spans="1:2">
      <c r="A2775" t="s">
        <v>1659</v>
      </c>
      <c r="B2775">
        <v>13</v>
      </c>
    </row>
    <row r="2776" spans="1:2">
      <c r="A2776" t="s">
        <v>1109</v>
      </c>
      <c r="B2776">
        <v>12</v>
      </c>
    </row>
    <row r="2777" spans="1:2">
      <c r="A2777" t="s">
        <v>370</v>
      </c>
      <c r="B2777">
        <v>20</v>
      </c>
    </row>
    <row r="2778" spans="1:2">
      <c r="A2778" t="s">
        <v>325</v>
      </c>
      <c r="B2778">
        <v>7</v>
      </c>
    </row>
    <row r="2779" spans="1:2">
      <c r="A2779" t="s">
        <v>1295</v>
      </c>
      <c r="B2779">
        <v>3</v>
      </c>
    </row>
    <row r="2780" spans="1:2">
      <c r="A2780" t="s">
        <v>408</v>
      </c>
      <c r="B2780">
        <v>57</v>
      </c>
    </row>
    <row r="2781" spans="1:2">
      <c r="A2781" t="s">
        <v>1929</v>
      </c>
      <c r="B2781">
        <v>10</v>
      </c>
    </row>
    <row r="2782" spans="1:2">
      <c r="A2782" t="s">
        <v>1931</v>
      </c>
      <c r="B2782">
        <v>3</v>
      </c>
    </row>
    <row r="2783" spans="1:2">
      <c r="A2783" t="s">
        <v>1126</v>
      </c>
      <c r="B2783">
        <v>4</v>
      </c>
    </row>
    <row r="2784" spans="1:2">
      <c r="A2784" t="s">
        <v>1430</v>
      </c>
      <c r="B2784">
        <v>5</v>
      </c>
    </row>
    <row r="2785" spans="1:2">
      <c r="A2785" t="s">
        <v>1942</v>
      </c>
      <c r="B2785">
        <v>1</v>
      </c>
    </row>
    <row r="2786" spans="1:2">
      <c r="A2786" t="s">
        <v>1944</v>
      </c>
      <c r="B2786">
        <v>5</v>
      </c>
    </row>
    <row r="2787" spans="1:2">
      <c r="A2787" t="s">
        <v>1945</v>
      </c>
      <c r="B2787">
        <v>2</v>
      </c>
    </row>
    <row r="2788" spans="1:2">
      <c r="A2788" t="s">
        <v>1951</v>
      </c>
      <c r="B2788">
        <v>2</v>
      </c>
    </row>
    <row r="2789" spans="1:2">
      <c r="A2789" t="s">
        <v>1952</v>
      </c>
      <c r="B2789">
        <v>1</v>
      </c>
    </row>
    <row r="2790" spans="1:2">
      <c r="A2790" t="s">
        <v>1959</v>
      </c>
      <c r="B2790">
        <v>5</v>
      </c>
    </row>
    <row r="2791" spans="1:2">
      <c r="A2791" t="s">
        <v>247</v>
      </c>
      <c r="B2791">
        <v>10</v>
      </c>
    </row>
    <row r="2792" spans="1:2">
      <c r="A2792" t="s">
        <v>1971</v>
      </c>
      <c r="B2792">
        <v>4</v>
      </c>
    </row>
    <row r="2793" spans="1:2">
      <c r="A2793" t="s">
        <v>1371</v>
      </c>
      <c r="B2793">
        <v>3</v>
      </c>
    </row>
    <row r="2794" spans="1:2">
      <c r="A2794" t="s">
        <v>87</v>
      </c>
      <c r="B2794">
        <v>32</v>
      </c>
    </row>
    <row r="2795" spans="1:2">
      <c r="A2795" t="s">
        <v>395</v>
      </c>
      <c r="B2795">
        <v>23</v>
      </c>
    </row>
    <row r="2796" spans="1:2">
      <c r="A2796" t="s">
        <v>1237</v>
      </c>
      <c r="B2796">
        <v>10</v>
      </c>
    </row>
    <row r="2797" spans="1:2">
      <c r="A2797" t="s">
        <v>1550</v>
      </c>
      <c r="B2797">
        <v>3</v>
      </c>
    </row>
    <row r="2798" spans="1:2">
      <c r="A2798" t="s">
        <v>2007</v>
      </c>
      <c r="B2798">
        <v>1</v>
      </c>
    </row>
    <row r="2799" spans="1:2">
      <c r="A2799" t="s">
        <v>2012</v>
      </c>
      <c r="B2799">
        <v>2</v>
      </c>
    </row>
    <row r="2800" spans="1:2">
      <c r="A2800" t="s">
        <v>2014</v>
      </c>
      <c r="B2800">
        <v>6</v>
      </c>
    </row>
    <row r="2801" spans="1:2">
      <c r="A2801" t="s">
        <v>700</v>
      </c>
      <c r="B2801">
        <v>3</v>
      </c>
    </row>
    <row r="2802" spans="1:2">
      <c r="A2802" t="s">
        <v>2021</v>
      </c>
      <c r="B2802">
        <v>13</v>
      </c>
    </row>
    <row r="2803" spans="1:2">
      <c r="A2803" t="s">
        <v>1673</v>
      </c>
      <c r="B2803">
        <v>4</v>
      </c>
    </row>
    <row r="2804" spans="1:2">
      <c r="A2804" t="s">
        <v>2029</v>
      </c>
      <c r="B2804">
        <v>5</v>
      </c>
    </row>
    <row r="2805" spans="1:2">
      <c r="A2805" t="s">
        <v>2060</v>
      </c>
      <c r="B2805">
        <v>8</v>
      </c>
    </row>
    <row r="2806" spans="1:2">
      <c r="A2806" t="s">
        <v>1729</v>
      </c>
      <c r="B2806">
        <v>10</v>
      </c>
    </row>
    <row r="2807" spans="1:2">
      <c r="A2807" t="s">
        <v>645</v>
      </c>
      <c r="B2807">
        <v>5</v>
      </c>
    </row>
    <row r="2808" spans="1:2">
      <c r="A2808" t="s">
        <v>1204</v>
      </c>
      <c r="B2808">
        <v>3</v>
      </c>
    </row>
    <row r="2809" spans="1:2">
      <c r="A2809" t="s">
        <v>2080</v>
      </c>
      <c r="B2809">
        <v>4</v>
      </c>
    </row>
    <row r="2810" spans="1:2">
      <c r="A2810" t="s">
        <v>852</v>
      </c>
      <c r="B2810">
        <v>3</v>
      </c>
    </row>
    <row r="2811" spans="1:2">
      <c r="A2811" t="s">
        <v>1100</v>
      </c>
      <c r="B2811">
        <v>7</v>
      </c>
    </row>
    <row r="2812" spans="1:2">
      <c r="A2812" t="s">
        <v>303</v>
      </c>
      <c r="B2812">
        <v>18</v>
      </c>
    </row>
    <row r="2813" spans="1:2">
      <c r="A2813" t="s">
        <v>2093</v>
      </c>
      <c r="B2813">
        <v>11</v>
      </c>
    </row>
    <row r="2814" spans="1:2">
      <c r="A2814" t="s">
        <v>625</v>
      </c>
      <c r="B2814">
        <v>5</v>
      </c>
    </row>
    <row r="2815" spans="1:2">
      <c r="A2815" t="s">
        <v>548</v>
      </c>
      <c r="B2815">
        <v>8</v>
      </c>
    </row>
    <row r="2816" spans="1:2">
      <c r="A2816" t="s">
        <v>2100</v>
      </c>
      <c r="B2816">
        <v>4</v>
      </c>
    </row>
    <row r="2817" spans="1:2">
      <c r="A2817" t="s">
        <v>386</v>
      </c>
      <c r="B2817">
        <v>5</v>
      </c>
    </row>
    <row r="2818" spans="1:2">
      <c r="A2818" t="s">
        <v>1118</v>
      </c>
      <c r="B2818">
        <v>10</v>
      </c>
    </row>
    <row r="2819" spans="1:2">
      <c r="A2819" t="s">
        <v>382</v>
      </c>
      <c r="B2819">
        <v>14</v>
      </c>
    </row>
    <row r="2820" spans="1:2">
      <c r="A2820" t="s">
        <v>2103</v>
      </c>
      <c r="B2820">
        <v>4</v>
      </c>
    </row>
    <row r="2821" spans="1:2">
      <c r="A2821" t="s">
        <v>2104</v>
      </c>
      <c r="B2821">
        <v>4</v>
      </c>
    </row>
    <row r="2822" spans="1:2">
      <c r="A2822" t="s">
        <v>2107</v>
      </c>
      <c r="B2822">
        <v>2</v>
      </c>
    </row>
    <row r="2823" spans="1:2">
      <c r="A2823" t="s">
        <v>601</v>
      </c>
      <c r="B2823">
        <v>1</v>
      </c>
    </row>
    <row r="2824" spans="1:2">
      <c r="A2824" t="s">
        <v>2119</v>
      </c>
      <c r="B2824">
        <v>2</v>
      </c>
    </row>
    <row r="2825" spans="1:2">
      <c r="A2825" t="s">
        <v>1184</v>
      </c>
      <c r="B2825">
        <v>9</v>
      </c>
    </row>
    <row r="2826" spans="1:2">
      <c r="A2826" t="s">
        <v>2129</v>
      </c>
      <c r="B2826">
        <v>1</v>
      </c>
    </row>
    <row r="2827" spans="1:2">
      <c r="A2827" t="s">
        <v>783</v>
      </c>
      <c r="B2827">
        <v>1</v>
      </c>
    </row>
    <row r="2828" spans="1:2">
      <c r="A2828" t="s">
        <v>384</v>
      </c>
      <c r="B2828">
        <v>10</v>
      </c>
    </row>
    <row r="2829" spans="1:2">
      <c r="A2829" t="s">
        <v>2140</v>
      </c>
      <c r="B2829">
        <v>5</v>
      </c>
    </row>
    <row r="2830" spans="1:2">
      <c r="A2830" t="s">
        <v>1409</v>
      </c>
      <c r="B2830">
        <v>5</v>
      </c>
    </row>
    <row r="2831" spans="1:2">
      <c r="A2831" t="s">
        <v>1214</v>
      </c>
      <c r="B2831">
        <v>5</v>
      </c>
    </row>
    <row r="2832" spans="1:2">
      <c r="A2832" t="s">
        <v>2187</v>
      </c>
      <c r="B2832">
        <v>3</v>
      </c>
    </row>
    <row r="2833" spans="1:2">
      <c r="A2833" t="s">
        <v>1368</v>
      </c>
      <c r="B2833">
        <v>2</v>
      </c>
    </row>
    <row r="2834" spans="1:2">
      <c r="A2834" t="s">
        <v>1127</v>
      </c>
      <c r="B2834">
        <v>2</v>
      </c>
    </row>
    <row r="2835" spans="1:2">
      <c r="A2835" t="s">
        <v>434</v>
      </c>
      <c r="B2835">
        <v>26</v>
      </c>
    </row>
    <row r="2836" spans="1:2">
      <c r="A2836" t="s">
        <v>463</v>
      </c>
      <c r="B2836">
        <v>14</v>
      </c>
    </row>
    <row r="2837" spans="1:2">
      <c r="A2837" t="s">
        <v>940</v>
      </c>
      <c r="B2837">
        <v>3</v>
      </c>
    </row>
    <row r="2838" spans="1:2">
      <c r="A2838" t="s">
        <v>1173</v>
      </c>
      <c r="B2838">
        <v>2</v>
      </c>
    </row>
    <row r="2839" spans="1:2">
      <c r="A2839" t="s">
        <v>1265</v>
      </c>
      <c r="B2839">
        <v>12</v>
      </c>
    </row>
    <row r="2840" spans="1:2">
      <c r="A2840" t="s">
        <v>2227</v>
      </c>
      <c r="B2840">
        <v>1</v>
      </c>
    </row>
    <row r="2841" spans="1:2">
      <c r="A2841" t="s">
        <v>284</v>
      </c>
      <c r="B2841">
        <v>3</v>
      </c>
    </row>
    <row r="2842" spans="1:2">
      <c r="A2842" t="s">
        <v>735</v>
      </c>
      <c r="B2842">
        <v>10</v>
      </c>
    </row>
    <row r="2843" spans="1:2">
      <c r="A2843" t="s">
        <v>2234</v>
      </c>
      <c r="B2843">
        <v>1</v>
      </c>
    </row>
    <row r="2844" spans="1:2">
      <c r="A2844" t="s">
        <v>705</v>
      </c>
      <c r="B2844">
        <v>2</v>
      </c>
    </row>
    <row r="2845" spans="1:2">
      <c r="A2845" t="s">
        <v>2241</v>
      </c>
      <c r="B2845">
        <v>3</v>
      </c>
    </row>
    <row r="2846" spans="1:2">
      <c r="A2846" t="s">
        <v>630</v>
      </c>
      <c r="B2846">
        <v>3</v>
      </c>
    </row>
    <row r="2847" spans="1:2">
      <c r="A2847" t="s">
        <v>2244</v>
      </c>
      <c r="B2847">
        <v>4</v>
      </c>
    </row>
    <row r="2848" spans="1:2">
      <c r="A2848" t="s">
        <v>2245</v>
      </c>
      <c r="B2848">
        <v>3</v>
      </c>
    </row>
    <row r="2849" spans="1:2">
      <c r="A2849" t="s">
        <v>2251</v>
      </c>
      <c r="B2849">
        <v>4</v>
      </c>
    </row>
    <row r="2850" spans="1:2">
      <c r="A2850" t="s">
        <v>1456</v>
      </c>
      <c r="B2850">
        <v>2</v>
      </c>
    </row>
    <row r="2851" spans="1:2">
      <c r="A2851" t="s">
        <v>1244</v>
      </c>
      <c r="B2851">
        <v>9</v>
      </c>
    </row>
    <row r="2852" spans="1:2">
      <c r="A2852" t="s">
        <v>2295</v>
      </c>
      <c r="B2852">
        <v>9</v>
      </c>
    </row>
    <row r="2853" spans="1:2">
      <c r="A2853" t="s">
        <v>2329</v>
      </c>
      <c r="B2853">
        <v>1</v>
      </c>
    </row>
    <row r="2854" spans="1:2">
      <c r="A2854" t="s">
        <v>2341</v>
      </c>
      <c r="B2854">
        <v>1</v>
      </c>
    </row>
    <row r="2855" spans="1:2">
      <c r="A2855" t="s">
        <v>2343</v>
      </c>
      <c r="B2855">
        <v>3</v>
      </c>
    </row>
    <row r="2856" spans="1:2">
      <c r="A2856" t="s">
        <v>557</v>
      </c>
      <c r="B2856">
        <v>7</v>
      </c>
    </row>
    <row r="2857" spans="1:2">
      <c r="A2857" t="s">
        <v>2374</v>
      </c>
      <c r="B2857">
        <v>2</v>
      </c>
    </row>
    <row r="2858" spans="1:2">
      <c r="A2858" t="s">
        <v>2375</v>
      </c>
      <c r="B2858">
        <v>2</v>
      </c>
    </row>
    <row r="2859" spans="1:2">
      <c r="A2859" t="s">
        <v>2377</v>
      </c>
      <c r="B2859">
        <v>3</v>
      </c>
    </row>
    <row r="2860" spans="1:2">
      <c r="A2860" t="s">
        <v>2378</v>
      </c>
      <c r="B2860">
        <v>4</v>
      </c>
    </row>
    <row r="2861" spans="1:2">
      <c r="A2861" t="s">
        <v>2407</v>
      </c>
      <c r="B2861">
        <v>2</v>
      </c>
    </row>
    <row r="2862" spans="1:2">
      <c r="A2862" t="s">
        <v>551</v>
      </c>
      <c r="B2862">
        <v>5</v>
      </c>
    </row>
    <row r="2863" spans="1:2">
      <c r="A2863" t="s">
        <v>1431</v>
      </c>
      <c r="B2863">
        <v>1</v>
      </c>
    </row>
    <row r="2864" spans="1:2">
      <c r="A2864" t="s">
        <v>1367</v>
      </c>
      <c r="B2864">
        <v>3</v>
      </c>
    </row>
    <row r="2865" spans="1:2">
      <c r="A2865" t="s">
        <v>1536</v>
      </c>
      <c r="B2865">
        <v>1</v>
      </c>
    </row>
    <row r="2866" spans="1:2">
      <c r="A2866" t="s">
        <v>2408</v>
      </c>
      <c r="B2866">
        <v>1</v>
      </c>
    </row>
    <row r="2867" spans="1:2">
      <c r="A2867" t="s">
        <v>1137</v>
      </c>
      <c r="B2867">
        <v>4</v>
      </c>
    </row>
    <row r="2868" spans="1:2">
      <c r="A2868" t="s">
        <v>2409</v>
      </c>
      <c r="B2868">
        <v>1</v>
      </c>
    </row>
    <row r="2869" spans="1:2">
      <c r="A2869" t="s">
        <v>377</v>
      </c>
      <c r="B2869">
        <v>4</v>
      </c>
    </row>
    <row r="2870" spans="1:2">
      <c r="A2870" t="s">
        <v>2440</v>
      </c>
      <c r="B2870">
        <v>2</v>
      </c>
    </row>
    <row r="2871" spans="1:2">
      <c r="A2871" t="s">
        <v>2449</v>
      </c>
      <c r="B2871">
        <v>1</v>
      </c>
    </row>
    <row r="2872" spans="1:2">
      <c r="A2872" t="s">
        <v>1541</v>
      </c>
      <c r="B2872">
        <v>3</v>
      </c>
    </row>
    <row r="2873" spans="1:2">
      <c r="A2873" t="s">
        <v>1590</v>
      </c>
      <c r="B2873">
        <v>3</v>
      </c>
    </row>
    <row r="2874" spans="1:2">
      <c r="A2874" t="s">
        <v>2471</v>
      </c>
      <c r="B2874">
        <v>3</v>
      </c>
    </row>
    <row r="2875" spans="1:2">
      <c r="A2875" t="s">
        <v>1055</v>
      </c>
      <c r="B2875">
        <v>3</v>
      </c>
    </row>
    <row r="2876" spans="1:2">
      <c r="A2876" t="s">
        <v>2472</v>
      </c>
      <c r="B2876">
        <v>3</v>
      </c>
    </row>
    <row r="2877" spans="1:2">
      <c r="A2877" t="s">
        <v>659</v>
      </c>
      <c r="B2877">
        <v>1</v>
      </c>
    </row>
    <row r="2878" spans="1:2">
      <c r="A2878" t="s">
        <v>1682</v>
      </c>
      <c r="B2878">
        <v>3</v>
      </c>
    </row>
    <row r="2879" spans="1:2">
      <c r="A2879" t="s">
        <v>2480</v>
      </c>
      <c r="B2879">
        <v>1</v>
      </c>
    </row>
    <row r="2880" spans="1:2">
      <c r="A2880" t="s">
        <v>1219</v>
      </c>
      <c r="B2880">
        <v>3</v>
      </c>
    </row>
    <row r="2881" spans="1:2">
      <c r="A2881" t="s">
        <v>2507</v>
      </c>
      <c r="B2881">
        <v>1</v>
      </c>
    </row>
    <row r="2882" spans="1:2">
      <c r="A2882" t="s">
        <v>2515</v>
      </c>
      <c r="B2882">
        <v>1</v>
      </c>
    </row>
    <row r="2883" spans="1:2">
      <c r="A2883" t="s">
        <v>2516</v>
      </c>
      <c r="B2883">
        <v>4</v>
      </c>
    </row>
    <row r="2884" spans="1:2">
      <c r="A2884" t="s">
        <v>778</v>
      </c>
      <c r="B2884">
        <v>2</v>
      </c>
    </row>
    <row r="2885" spans="1:2">
      <c r="A2885" t="s">
        <v>2526</v>
      </c>
      <c r="B2885">
        <v>1</v>
      </c>
    </row>
    <row r="2886" spans="1:2">
      <c r="A2886" t="s">
        <v>2527</v>
      </c>
      <c r="B2886">
        <v>1</v>
      </c>
    </row>
    <row r="2887" spans="1:2">
      <c r="A2887" t="s">
        <v>2547</v>
      </c>
      <c r="B2887">
        <v>2</v>
      </c>
    </row>
    <row r="2888" spans="1:2">
      <c r="A2888" t="s">
        <v>1300</v>
      </c>
      <c r="B2888">
        <v>1</v>
      </c>
    </row>
    <row r="2889" spans="1:2">
      <c r="A2889" t="s">
        <v>979</v>
      </c>
      <c r="B2889">
        <v>2</v>
      </c>
    </row>
    <row r="2890" spans="1:2">
      <c r="A2890" t="s">
        <v>2553</v>
      </c>
      <c r="B2890">
        <v>3</v>
      </c>
    </row>
    <row r="2891" spans="1:2">
      <c r="A2891" t="s">
        <v>2563</v>
      </c>
      <c r="B2891">
        <v>1</v>
      </c>
    </row>
    <row r="2892" spans="1:2">
      <c r="A2892" t="s">
        <v>1376</v>
      </c>
      <c r="B2892">
        <v>1</v>
      </c>
    </row>
    <row r="2893" spans="1:2">
      <c r="A2893" t="s">
        <v>85</v>
      </c>
      <c r="B2893">
        <v>2</v>
      </c>
    </row>
    <row r="2894" spans="1:2">
      <c r="A2894" t="s">
        <v>2578</v>
      </c>
      <c r="B2894">
        <v>2</v>
      </c>
    </row>
    <row r="2895" spans="1:2">
      <c r="A2895" t="s">
        <v>2586</v>
      </c>
      <c r="B2895">
        <v>1</v>
      </c>
    </row>
    <row r="2896" spans="1:2">
      <c r="A2896" t="s">
        <v>2597</v>
      </c>
      <c r="B2896">
        <v>1</v>
      </c>
    </row>
    <row r="2897" spans="1:2">
      <c r="A2897" t="s">
        <v>1681</v>
      </c>
      <c r="B2897">
        <v>6</v>
      </c>
    </row>
    <row r="2898" spans="1:2">
      <c r="A2898" t="s">
        <v>2600</v>
      </c>
      <c r="B2898">
        <v>5</v>
      </c>
    </row>
    <row r="2899" spans="1:2">
      <c r="A2899" t="s">
        <v>297</v>
      </c>
      <c r="B2899">
        <v>1</v>
      </c>
    </row>
    <row r="2900" spans="1:2">
      <c r="A2900" t="s">
        <v>2613</v>
      </c>
      <c r="B2900">
        <v>1</v>
      </c>
    </row>
    <row r="2901" spans="1:2">
      <c r="A2901" t="s">
        <v>2618</v>
      </c>
      <c r="B2901">
        <v>1</v>
      </c>
    </row>
    <row r="2902" spans="1:2">
      <c r="A2902" t="s">
        <v>1584</v>
      </c>
      <c r="B2902">
        <v>1</v>
      </c>
    </row>
    <row r="2903" spans="1:2">
      <c r="A2903" t="s">
        <v>1352</v>
      </c>
      <c r="B2903">
        <v>2</v>
      </c>
    </row>
    <row r="2904" spans="1:2">
      <c r="A2904" t="s">
        <v>1155</v>
      </c>
      <c r="B2904">
        <v>7</v>
      </c>
    </row>
    <row r="2905" spans="1:2">
      <c r="A2905" t="s">
        <v>2648</v>
      </c>
      <c r="B2905">
        <v>1</v>
      </c>
    </row>
    <row r="2906" spans="1:2">
      <c r="A2906" t="s">
        <v>1226</v>
      </c>
      <c r="B2906">
        <v>1</v>
      </c>
    </row>
    <row r="2907" spans="1:2">
      <c r="A2907" t="s">
        <v>2680</v>
      </c>
      <c r="B2907">
        <v>2</v>
      </c>
    </row>
    <row r="2908" spans="1:2">
      <c r="A2908" t="s">
        <v>1591</v>
      </c>
      <c r="B2908">
        <v>1</v>
      </c>
    </row>
    <row r="2909" spans="1:2">
      <c r="A2909" t="s">
        <v>2687</v>
      </c>
      <c r="B2909">
        <v>2</v>
      </c>
    </row>
    <row r="2910" spans="1:2">
      <c r="A2910" t="s">
        <v>2700</v>
      </c>
      <c r="B2910">
        <v>2</v>
      </c>
    </row>
    <row r="2911" spans="1:2">
      <c r="A2911" t="s">
        <v>2703</v>
      </c>
      <c r="B2911">
        <v>1</v>
      </c>
    </row>
    <row r="2912" spans="1:2">
      <c r="A2912" t="s">
        <v>2707</v>
      </c>
      <c r="B2912">
        <v>2</v>
      </c>
    </row>
    <row r="2913" spans="1:2">
      <c r="A2913" t="s">
        <v>1354</v>
      </c>
      <c r="B2913">
        <v>1</v>
      </c>
    </row>
    <row r="2914" spans="1:2">
      <c r="A2914" t="s">
        <v>2744</v>
      </c>
      <c r="B2914">
        <v>1</v>
      </c>
    </row>
    <row r="2915" spans="1:2">
      <c r="A2915" t="s">
        <v>82</v>
      </c>
      <c r="B2915">
        <v>3</v>
      </c>
    </row>
    <row r="2916" spans="1:2">
      <c r="A2916" t="s">
        <v>2749</v>
      </c>
      <c r="B2916">
        <v>1</v>
      </c>
    </row>
    <row r="2917" spans="1:2">
      <c r="A2917" t="s">
        <v>1702</v>
      </c>
      <c r="B2917">
        <v>3</v>
      </c>
    </row>
    <row r="2918" spans="1:2">
      <c r="A2918" t="s">
        <v>2757</v>
      </c>
      <c r="B2918">
        <v>1</v>
      </c>
    </row>
    <row r="2919" spans="1:2">
      <c r="A2919" t="s">
        <v>2758</v>
      </c>
      <c r="B2919">
        <v>1</v>
      </c>
    </row>
    <row r="2920" spans="1:2">
      <c r="A2920" t="s">
        <v>1636</v>
      </c>
      <c r="B2920">
        <v>1</v>
      </c>
    </row>
    <row r="2921" spans="1:2">
      <c r="A2921" t="s">
        <v>2761</v>
      </c>
      <c r="B2921">
        <v>2</v>
      </c>
    </row>
    <row r="2922" spans="1:2">
      <c r="A2922" t="s">
        <v>2762</v>
      </c>
      <c r="B2922">
        <v>1</v>
      </c>
    </row>
    <row r="2923" spans="1:2">
      <c r="A2923" t="s">
        <v>2763</v>
      </c>
      <c r="B2923">
        <v>1</v>
      </c>
    </row>
    <row r="2924" spans="1:2">
      <c r="A2924" t="s">
        <v>1668</v>
      </c>
      <c r="B2924">
        <v>1</v>
      </c>
    </row>
    <row r="2925" spans="1:2">
      <c r="A2925" t="s">
        <v>2764</v>
      </c>
      <c r="B2925">
        <v>1</v>
      </c>
    </row>
    <row r="2926" spans="1:2">
      <c r="A2926" t="s">
        <v>2765</v>
      </c>
      <c r="B2926">
        <v>1</v>
      </c>
    </row>
    <row r="2927" spans="1:2">
      <c r="A2927" t="s">
        <v>2768</v>
      </c>
      <c r="B2927">
        <v>1</v>
      </c>
    </row>
    <row r="2928" spans="1:2">
      <c r="A2928" t="s">
        <v>2776</v>
      </c>
      <c r="B2928">
        <v>1</v>
      </c>
    </row>
    <row r="2929" spans="1:2">
      <c r="A2929" t="s">
        <v>1647</v>
      </c>
      <c r="B2929">
        <v>1</v>
      </c>
    </row>
    <row r="2930" spans="1:2">
      <c r="A2930" t="s">
        <v>88</v>
      </c>
      <c r="B2930">
        <v>1</v>
      </c>
    </row>
    <row r="2931" spans="1:2">
      <c r="A2931" t="s">
        <v>2778</v>
      </c>
      <c r="B2931">
        <v>1</v>
      </c>
    </row>
    <row r="2932" spans="1:2">
      <c r="A2932" t="s">
        <v>2779</v>
      </c>
      <c r="B2932">
        <v>1</v>
      </c>
    </row>
    <row r="2933" spans="1:2">
      <c r="A2933" t="s">
        <v>1167</v>
      </c>
      <c r="B2933">
        <v>2</v>
      </c>
    </row>
    <row r="2934" spans="1:2">
      <c r="A2934" t="s">
        <v>1152</v>
      </c>
      <c r="B2934">
        <v>2</v>
      </c>
    </row>
    <row r="2935" spans="1:2">
      <c r="A2935" t="s">
        <v>1363</v>
      </c>
      <c r="B2935">
        <v>1</v>
      </c>
    </row>
    <row r="2936" spans="1:2">
      <c r="A2936" t="s">
        <v>2796</v>
      </c>
      <c r="B2936">
        <v>1</v>
      </c>
    </row>
    <row r="2937" spans="1:2">
      <c r="A2937" t="s">
        <v>2803</v>
      </c>
      <c r="B2937">
        <v>1</v>
      </c>
    </row>
    <row r="2938" spans="1:2">
      <c r="A2938" t="s">
        <v>2804</v>
      </c>
      <c r="B2938">
        <v>1</v>
      </c>
    </row>
    <row r="2939" spans="1:2">
      <c r="A2939" t="s">
        <v>2827</v>
      </c>
      <c r="B2939">
        <v>2</v>
      </c>
    </row>
    <row r="2940" spans="1:2">
      <c r="A2940" t="s">
        <v>2831</v>
      </c>
      <c r="B2940">
        <v>2</v>
      </c>
    </row>
    <row r="2941" spans="1:2">
      <c r="A2941" t="s">
        <v>2832</v>
      </c>
      <c r="B2941">
        <v>1</v>
      </c>
    </row>
    <row r="2942" spans="1:2">
      <c r="A2942" t="s">
        <v>1674</v>
      </c>
      <c r="B2942">
        <v>2</v>
      </c>
    </row>
    <row r="2943" spans="1:2">
      <c r="A2943" t="s">
        <v>2833</v>
      </c>
      <c r="B2943">
        <v>1</v>
      </c>
    </row>
    <row r="2944" spans="1:2">
      <c r="A2944" t="s">
        <v>2841</v>
      </c>
      <c r="B2944">
        <v>1</v>
      </c>
    </row>
    <row r="2945" spans="1:2">
      <c r="A2945" t="s">
        <v>2846</v>
      </c>
      <c r="B2945">
        <v>1</v>
      </c>
    </row>
    <row r="2946" spans="1:2">
      <c r="A2946" t="s">
        <v>2847</v>
      </c>
      <c r="B2946">
        <v>2</v>
      </c>
    </row>
    <row r="2947" spans="1:2">
      <c r="A2947" t="s">
        <v>1672</v>
      </c>
      <c r="B2947">
        <v>1</v>
      </c>
    </row>
    <row r="2948" spans="1:2">
      <c r="A2948" t="s">
        <v>1671</v>
      </c>
      <c r="B2948">
        <v>1</v>
      </c>
    </row>
    <row r="2949" spans="1:2">
      <c r="A2949" t="s">
        <v>2848</v>
      </c>
      <c r="B2949">
        <v>2</v>
      </c>
    </row>
    <row r="2950" spans="1:2">
      <c r="A2950" t="s">
        <v>1670</v>
      </c>
      <c r="B2950">
        <v>1</v>
      </c>
    </row>
    <row r="2951" spans="1:2">
      <c r="A2951" t="s">
        <v>1538</v>
      </c>
      <c r="B2951">
        <v>1</v>
      </c>
    </row>
    <row r="2952" spans="1:2">
      <c r="A2952" t="s">
        <v>2868</v>
      </c>
      <c r="B2952">
        <v>1</v>
      </c>
    </row>
    <row r="2953" spans="1:2">
      <c r="A2953" t="s">
        <v>2869</v>
      </c>
      <c r="B2953">
        <v>1</v>
      </c>
    </row>
    <row r="2954" spans="1:2">
      <c r="A2954" t="s">
        <v>2870</v>
      </c>
      <c r="B2954">
        <v>1</v>
      </c>
    </row>
    <row r="2955" spans="1:2">
      <c r="A2955" t="s">
        <v>1595</v>
      </c>
      <c r="B2955">
        <v>1</v>
      </c>
    </row>
    <row r="2956" spans="1:2">
      <c r="A2956" t="s">
        <v>2883</v>
      </c>
      <c r="B2956">
        <v>1</v>
      </c>
    </row>
    <row r="2957" spans="1:2">
      <c r="A2957" t="s">
        <v>1675</v>
      </c>
      <c r="B2957">
        <v>1</v>
      </c>
    </row>
    <row r="2958" spans="1:2">
      <c r="A2958" t="s">
        <v>2886</v>
      </c>
      <c r="B2958">
        <v>1</v>
      </c>
    </row>
    <row r="2959" spans="1:2">
      <c r="A2959" t="s">
        <v>2898</v>
      </c>
      <c r="B2959">
        <v>1</v>
      </c>
    </row>
    <row r="2960" spans="1:2">
      <c r="A2960" t="s">
        <v>2900</v>
      </c>
      <c r="B2960">
        <v>2</v>
      </c>
    </row>
    <row r="2961" spans="1:2">
      <c r="A2961" t="s">
        <v>2907</v>
      </c>
      <c r="B2961">
        <v>1</v>
      </c>
    </row>
    <row r="2962" spans="1:2">
      <c r="A2962" t="s">
        <v>2919</v>
      </c>
      <c r="B2962">
        <v>1</v>
      </c>
    </row>
    <row r="2963" spans="1:2">
      <c r="A2963" t="s">
        <v>1436</v>
      </c>
      <c r="B2963">
        <v>1</v>
      </c>
    </row>
    <row r="2964" spans="1:2">
      <c r="A2964" t="s">
        <v>1634</v>
      </c>
      <c r="B2964">
        <v>1</v>
      </c>
    </row>
    <row r="2965" spans="1:2">
      <c r="A2965" s="2" t="s">
        <v>9</v>
      </c>
      <c r="B2965" s="2">
        <v>1862</v>
      </c>
    </row>
    <row r="2967" spans="1:2">
      <c r="A2967" s="2" t="s">
        <v>530</v>
      </c>
    </row>
    <row r="2968" spans="1:2">
      <c r="A2968" s="2" t="s">
        <v>0</v>
      </c>
      <c r="B2968" s="2" t="s">
        <v>1</v>
      </c>
    </row>
    <row r="2969" spans="1:2">
      <c r="A2969" t="s">
        <v>405</v>
      </c>
      <c r="B2969">
        <v>29</v>
      </c>
    </row>
    <row r="2970" spans="1:2">
      <c r="A2970" t="s">
        <v>555</v>
      </c>
      <c r="B2970">
        <v>139</v>
      </c>
    </row>
    <row r="2971" spans="1:2">
      <c r="A2971" t="s">
        <v>817</v>
      </c>
      <c r="B2971">
        <v>26</v>
      </c>
    </row>
    <row r="2972" spans="1:2">
      <c r="A2972" t="s">
        <v>286</v>
      </c>
      <c r="B2972">
        <v>35</v>
      </c>
    </row>
    <row r="2973" spans="1:2">
      <c r="A2973" t="s">
        <v>274</v>
      </c>
      <c r="B2973">
        <v>43</v>
      </c>
    </row>
    <row r="2974" spans="1:2">
      <c r="A2974" t="s">
        <v>607</v>
      </c>
      <c r="B2974">
        <v>23</v>
      </c>
    </row>
    <row r="2975" spans="1:2">
      <c r="A2975" t="s">
        <v>194</v>
      </c>
      <c r="B2975">
        <v>33</v>
      </c>
    </row>
    <row r="2976" spans="1:2">
      <c r="A2976" t="s">
        <v>565</v>
      </c>
      <c r="B2976">
        <v>3</v>
      </c>
    </row>
    <row r="2977" spans="1:2">
      <c r="A2977" t="s">
        <v>228</v>
      </c>
      <c r="B2977">
        <v>14</v>
      </c>
    </row>
    <row r="2978" spans="1:2">
      <c r="A2978" t="s">
        <v>1896</v>
      </c>
      <c r="B2978">
        <v>1</v>
      </c>
    </row>
    <row r="2979" spans="1:2">
      <c r="A2979" t="s">
        <v>482</v>
      </c>
      <c r="B2979">
        <v>10</v>
      </c>
    </row>
    <row r="2980" spans="1:2">
      <c r="A2980" t="s">
        <v>575</v>
      </c>
      <c r="B2980">
        <v>4</v>
      </c>
    </row>
    <row r="2981" spans="1:2">
      <c r="A2981" t="s">
        <v>1992</v>
      </c>
      <c r="B2981">
        <v>1</v>
      </c>
    </row>
    <row r="2982" spans="1:2">
      <c r="A2982" t="s">
        <v>2028</v>
      </c>
      <c r="B2982">
        <v>3</v>
      </c>
    </row>
    <row r="2983" spans="1:2">
      <c r="A2983" t="s">
        <v>2081</v>
      </c>
      <c r="B2983">
        <v>3</v>
      </c>
    </row>
    <row r="2984" spans="1:2">
      <c r="A2984" t="s">
        <v>2170</v>
      </c>
      <c r="B2984">
        <v>2</v>
      </c>
    </row>
    <row r="2985" spans="1:2">
      <c r="A2985" t="s">
        <v>2178</v>
      </c>
      <c r="B2985">
        <v>2</v>
      </c>
    </row>
    <row r="2986" spans="1:2">
      <c r="A2986" t="s">
        <v>374</v>
      </c>
      <c r="B2986">
        <v>2</v>
      </c>
    </row>
    <row r="2987" spans="1:2">
      <c r="A2987" t="s">
        <v>1756</v>
      </c>
      <c r="B2987">
        <v>1</v>
      </c>
    </row>
    <row r="2988" spans="1:2">
      <c r="A2988" t="s">
        <v>2226</v>
      </c>
      <c r="B2988">
        <v>1</v>
      </c>
    </row>
    <row r="2989" spans="1:2">
      <c r="A2989" t="s">
        <v>2236</v>
      </c>
      <c r="B2989">
        <v>3</v>
      </c>
    </row>
    <row r="2990" spans="1:2">
      <c r="A2990" t="s">
        <v>2282</v>
      </c>
      <c r="B2990">
        <v>2</v>
      </c>
    </row>
    <row r="2991" spans="1:2">
      <c r="A2991" t="s">
        <v>2291</v>
      </c>
      <c r="B2991">
        <v>1</v>
      </c>
    </row>
    <row r="2992" spans="1:2">
      <c r="A2992" t="s">
        <v>2298</v>
      </c>
      <c r="B2992">
        <v>3</v>
      </c>
    </row>
    <row r="2993" spans="1:2">
      <c r="A2993" t="s">
        <v>2348</v>
      </c>
      <c r="B2993">
        <v>5</v>
      </c>
    </row>
    <row r="2994" spans="1:2">
      <c r="A2994" t="s">
        <v>2349</v>
      </c>
      <c r="B2994">
        <v>1</v>
      </c>
    </row>
    <row r="2995" spans="1:2">
      <c r="A2995" t="s">
        <v>2352</v>
      </c>
      <c r="B2995">
        <v>1</v>
      </c>
    </row>
    <row r="2996" spans="1:2">
      <c r="A2996" t="s">
        <v>39</v>
      </c>
      <c r="B2996">
        <v>4</v>
      </c>
    </row>
    <row r="2997" spans="1:2">
      <c r="A2997" t="s">
        <v>2392</v>
      </c>
      <c r="B2997">
        <v>1</v>
      </c>
    </row>
    <row r="2998" spans="1:2">
      <c r="A2998" t="s">
        <v>2393</v>
      </c>
      <c r="B2998">
        <v>1</v>
      </c>
    </row>
    <row r="2999" spans="1:2">
      <c r="A2999" t="s">
        <v>2417</v>
      </c>
      <c r="B2999">
        <v>1</v>
      </c>
    </row>
    <row r="3000" spans="1:2">
      <c r="A3000" t="s">
        <v>2491</v>
      </c>
      <c r="B3000">
        <v>1</v>
      </c>
    </row>
    <row r="3001" spans="1:2">
      <c r="A3001" t="s">
        <v>2521</v>
      </c>
      <c r="B3001">
        <v>2</v>
      </c>
    </row>
    <row r="3002" spans="1:2">
      <c r="A3002" t="s">
        <v>693</v>
      </c>
      <c r="B3002">
        <v>1</v>
      </c>
    </row>
    <row r="3003" spans="1:2">
      <c r="A3003" t="s">
        <v>2588</v>
      </c>
      <c r="B3003">
        <v>1</v>
      </c>
    </row>
    <row r="3004" spans="1:2">
      <c r="A3004" t="s">
        <v>2599</v>
      </c>
      <c r="B3004">
        <v>1</v>
      </c>
    </row>
    <row r="3005" spans="1:2">
      <c r="A3005" t="s">
        <v>2773</v>
      </c>
      <c r="B3005">
        <v>1</v>
      </c>
    </row>
    <row r="3006" spans="1:2">
      <c r="A3006" t="s">
        <v>1507</v>
      </c>
      <c r="B3006">
        <v>1</v>
      </c>
    </row>
    <row r="3007" spans="1:2">
      <c r="A3007" s="2" t="s">
        <v>9</v>
      </c>
      <c r="B3007" s="2">
        <v>406</v>
      </c>
    </row>
    <row r="3009" spans="1:2">
      <c r="A3009" s="2" t="s">
        <v>50</v>
      </c>
    </row>
    <row r="3010" spans="1:2">
      <c r="A3010" s="2" t="s">
        <v>0</v>
      </c>
      <c r="B3010" s="2" t="s">
        <v>1</v>
      </c>
    </row>
    <row r="3011" spans="1:2">
      <c r="A3011" t="s">
        <v>143</v>
      </c>
      <c r="B3011">
        <v>110</v>
      </c>
    </row>
    <row r="3012" spans="1:2">
      <c r="A3012" t="s">
        <v>474</v>
      </c>
      <c r="B3012">
        <v>61</v>
      </c>
    </row>
    <row r="3013" spans="1:2">
      <c r="A3013" t="s">
        <v>987</v>
      </c>
      <c r="B3013">
        <v>10</v>
      </c>
    </row>
    <row r="3014" spans="1:2">
      <c r="A3014" t="s">
        <v>1812</v>
      </c>
      <c r="B3014">
        <v>1</v>
      </c>
    </row>
    <row r="3015" spans="1:2">
      <c r="A3015" t="s">
        <v>1813</v>
      </c>
      <c r="B3015">
        <v>3</v>
      </c>
    </row>
    <row r="3016" spans="1:2">
      <c r="A3016" t="s">
        <v>1819</v>
      </c>
      <c r="B3016">
        <v>10</v>
      </c>
    </row>
    <row r="3017" spans="1:2">
      <c r="A3017" t="s">
        <v>1821</v>
      </c>
      <c r="B3017">
        <v>20</v>
      </c>
    </row>
    <row r="3018" spans="1:2">
      <c r="A3018" t="s">
        <v>157</v>
      </c>
      <c r="B3018">
        <v>133</v>
      </c>
    </row>
    <row r="3019" spans="1:2">
      <c r="A3019" t="s">
        <v>25</v>
      </c>
      <c r="B3019">
        <v>296</v>
      </c>
    </row>
    <row r="3020" spans="1:2">
      <c r="A3020" t="s">
        <v>86</v>
      </c>
      <c r="B3020">
        <v>136</v>
      </c>
    </row>
    <row r="3021" spans="1:2">
      <c r="A3021" t="s">
        <v>1380</v>
      </c>
      <c r="B3021">
        <v>28</v>
      </c>
    </row>
    <row r="3022" spans="1:2">
      <c r="A3022" t="s">
        <v>1033</v>
      </c>
      <c r="B3022">
        <v>41</v>
      </c>
    </row>
    <row r="3023" spans="1:2">
      <c r="A3023" t="s">
        <v>354</v>
      </c>
      <c r="B3023">
        <v>11</v>
      </c>
    </row>
    <row r="3024" spans="1:2">
      <c r="A3024" t="s">
        <v>723</v>
      </c>
      <c r="B3024">
        <v>9</v>
      </c>
    </row>
    <row r="3025" spans="1:2">
      <c r="A3025" t="s">
        <v>237</v>
      </c>
      <c r="B3025">
        <v>11</v>
      </c>
    </row>
    <row r="3026" spans="1:2">
      <c r="A3026" t="s">
        <v>209</v>
      </c>
      <c r="B3026">
        <v>95</v>
      </c>
    </row>
    <row r="3027" spans="1:2">
      <c r="A3027" t="s">
        <v>447</v>
      </c>
      <c r="B3027">
        <v>57</v>
      </c>
    </row>
    <row r="3028" spans="1:2">
      <c r="A3028" t="s">
        <v>348</v>
      </c>
      <c r="B3028">
        <v>49</v>
      </c>
    </row>
    <row r="3029" spans="1:2">
      <c r="A3029" t="s">
        <v>262</v>
      </c>
      <c r="B3029">
        <v>84</v>
      </c>
    </row>
    <row r="3030" spans="1:2">
      <c r="A3030" t="s">
        <v>455</v>
      </c>
      <c r="B3030">
        <v>117</v>
      </c>
    </row>
    <row r="3031" spans="1:2">
      <c r="A3031" t="s">
        <v>1271</v>
      </c>
      <c r="B3031">
        <v>2</v>
      </c>
    </row>
    <row r="3032" spans="1:2">
      <c r="A3032" t="s">
        <v>175</v>
      </c>
      <c r="B3032">
        <v>116</v>
      </c>
    </row>
    <row r="3033" spans="1:2">
      <c r="A3033" t="s">
        <v>1844</v>
      </c>
      <c r="B3033">
        <v>1</v>
      </c>
    </row>
    <row r="3034" spans="1:2">
      <c r="A3034" t="s">
        <v>1846</v>
      </c>
      <c r="B3034">
        <v>5</v>
      </c>
    </row>
    <row r="3035" spans="1:2">
      <c r="A3035" t="s">
        <v>170</v>
      </c>
      <c r="B3035">
        <v>34</v>
      </c>
    </row>
    <row r="3036" spans="1:2">
      <c r="A3036" t="s">
        <v>1076</v>
      </c>
      <c r="B3036">
        <v>17</v>
      </c>
    </row>
    <row r="3037" spans="1:2">
      <c r="A3037" t="s">
        <v>1576</v>
      </c>
      <c r="B3037">
        <v>27</v>
      </c>
    </row>
    <row r="3038" spans="1:2">
      <c r="A3038" t="s">
        <v>1858</v>
      </c>
      <c r="B3038">
        <v>4</v>
      </c>
    </row>
    <row r="3039" spans="1:2">
      <c r="A3039" t="s">
        <v>1859</v>
      </c>
      <c r="B3039">
        <v>5</v>
      </c>
    </row>
    <row r="3040" spans="1:2">
      <c r="A3040" t="s">
        <v>1864</v>
      </c>
      <c r="B3040">
        <v>4</v>
      </c>
    </row>
    <row r="3041" spans="1:2">
      <c r="A3041" t="s">
        <v>1869</v>
      </c>
      <c r="B3041">
        <v>5</v>
      </c>
    </row>
    <row r="3042" spans="1:2">
      <c r="A3042" t="s">
        <v>840</v>
      </c>
      <c r="B3042">
        <v>5</v>
      </c>
    </row>
    <row r="3043" spans="1:2">
      <c r="A3043" t="s">
        <v>1708</v>
      </c>
      <c r="B3043">
        <v>15</v>
      </c>
    </row>
    <row r="3044" spans="1:2">
      <c r="A3044" t="s">
        <v>819</v>
      </c>
      <c r="B3044">
        <v>11</v>
      </c>
    </row>
    <row r="3045" spans="1:2">
      <c r="A3045" t="s">
        <v>815</v>
      </c>
      <c r="B3045">
        <v>12</v>
      </c>
    </row>
    <row r="3046" spans="1:2">
      <c r="A3046" t="s">
        <v>1884</v>
      </c>
      <c r="B3046">
        <v>4</v>
      </c>
    </row>
    <row r="3047" spans="1:2">
      <c r="A3047" t="s">
        <v>620</v>
      </c>
      <c r="B3047">
        <v>1</v>
      </c>
    </row>
    <row r="3048" spans="1:2">
      <c r="A3048" t="s">
        <v>449</v>
      </c>
      <c r="B3048">
        <v>16</v>
      </c>
    </row>
    <row r="3049" spans="1:2">
      <c r="A3049" t="s">
        <v>1426</v>
      </c>
      <c r="B3049">
        <v>1</v>
      </c>
    </row>
    <row r="3050" spans="1:2">
      <c r="A3050" t="s">
        <v>413</v>
      </c>
      <c r="B3050">
        <v>36</v>
      </c>
    </row>
    <row r="3051" spans="1:2">
      <c r="A3051" t="s">
        <v>1909</v>
      </c>
      <c r="B3051">
        <v>4</v>
      </c>
    </row>
    <row r="3052" spans="1:2">
      <c r="A3052" t="s">
        <v>1079</v>
      </c>
      <c r="B3052">
        <v>1</v>
      </c>
    </row>
    <row r="3053" spans="1:2">
      <c r="A3053" t="s">
        <v>952</v>
      </c>
      <c r="B3053">
        <v>25</v>
      </c>
    </row>
    <row r="3054" spans="1:2">
      <c r="A3054" t="s">
        <v>1918</v>
      </c>
      <c r="B3054">
        <v>5</v>
      </c>
    </row>
    <row r="3055" spans="1:2">
      <c r="A3055" t="s">
        <v>1330</v>
      </c>
      <c r="B3055">
        <v>3</v>
      </c>
    </row>
    <row r="3056" spans="1:2">
      <c r="A3056" t="s">
        <v>1925</v>
      </c>
      <c r="B3056">
        <v>4</v>
      </c>
    </row>
    <row r="3057" spans="1:2">
      <c r="A3057" t="s">
        <v>1737</v>
      </c>
      <c r="B3057">
        <v>3</v>
      </c>
    </row>
    <row r="3058" spans="1:2">
      <c r="A3058" t="s">
        <v>1369</v>
      </c>
      <c r="B3058">
        <v>8</v>
      </c>
    </row>
    <row r="3059" spans="1:2">
      <c r="A3059" t="s">
        <v>1151</v>
      </c>
      <c r="B3059">
        <v>3</v>
      </c>
    </row>
    <row r="3060" spans="1:2">
      <c r="A3060" t="s">
        <v>75</v>
      </c>
      <c r="B3060">
        <v>3</v>
      </c>
    </row>
    <row r="3061" spans="1:2">
      <c r="A3061" t="s">
        <v>1941</v>
      </c>
      <c r="B3061">
        <v>2</v>
      </c>
    </row>
    <row r="3062" spans="1:2">
      <c r="A3062" t="s">
        <v>953</v>
      </c>
      <c r="B3062">
        <v>11</v>
      </c>
    </row>
    <row r="3063" spans="1:2">
      <c r="A3063" t="s">
        <v>1954</v>
      </c>
      <c r="B3063">
        <v>4</v>
      </c>
    </row>
    <row r="3064" spans="1:2">
      <c r="A3064" t="s">
        <v>1463</v>
      </c>
      <c r="B3064">
        <v>4</v>
      </c>
    </row>
    <row r="3065" spans="1:2">
      <c r="A3065" t="s">
        <v>1962</v>
      </c>
      <c r="B3065">
        <v>18</v>
      </c>
    </row>
    <row r="3066" spans="1:2">
      <c r="A3066" t="s">
        <v>1977</v>
      </c>
      <c r="B3066">
        <v>1</v>
      </c>
    </row>
    <row r="3067" spans="1:2">
      <c r="A3067" t="s">
        <v>488</v>
      </c>
      <c r="B3067">
        <v>11</v>
      </c>
    </row>
    <row r="3068" spans="1:2">
      <c r="A3068" t="s">
        <v>1982</v>
      </c>
      <c r="B3068">
        <v>1</v>
      </c>
    </row>
    <row r="3069" spans="1:2">
      <c r="A3069" t="s">
        <v>1332</v>
      </c>
      <c r="B3069">
        <v>1</v>
      </c>
    </row>
    <row r="3070" spans="1:2">
      <c r="A3070" t="s">
        <v>1106</v>
      </c>
      <c r="B3070">
        <v>3</v>
      </c>
    </row>
    <row r="3071" spans="1:2">
      <c r="A3071" t="s">
        <v>476</v>
      </c>
      <c r="B3071">
        <v>21</v>
      </c>
    </row>
    <row r="3072" spans="1:2">
      <c r="A3072" t="s">
        <v>818</v>
      </c>
      <c r="B3072">
        <v>1</v>
      </c>
    </row>
    <row r="3073" spans="1:2">
      <c r="A3073" t="s">
        <v>2004</v>
      </c>
      <c r="B3073">
        <v>4</v>
      </c>
    </row>
    <row r="3074" spans="1:2">
      <c r="A3074" t="s">
        <v>2009</v>
      </c>
      <c r="B3074">
        <v>1</v>
      </c>
    </row>
    <row r="3075" spans="1:2">
      <c r="A3075" t="s">
        <v>433</v>
      </c>
      <c r="B3075">
        <v>10</v>
      </c>
    </row>
    <row r="3076" spans="1:2">
      <c r="A3076" t="s">
        <v>116</v>
      </c>
      <c r="B3076">
        <v>8</v>
      </c>
    </row>
    <row r="3077" spans="1:2">
      <c r="A3077" t="s">
        <v>2038</v>
      </c>
      <c r="B3077">
        <v>7</v>
      </c>
    </row>
    <row r="3078" spans="1:2">
      <c r="A3078" t="s">
        <v>1613</v>
      </c>
      <c r="B3078">
        <v>2</v>
      </c>
    </row>
    <row r="3079" spans="1:2">
      <c r="A3079" t="s">
        <v>830</v>
      </c>
      <c r="B3079">
        <v>6</v>
      </c>
    </row>
    <row r="3080" spans="1:2">
      <c r="A3080" t="s">
        <v>836</v>
      </c>
      <c r="B3080">
        <v>1</v>
      </c>
    </row>
    <row r="3081" spans="1:2">
      <c r="A3081" t="s">
        <v>2067</v>
      </c>
      <c r="B3081">
        <v>3</v>
      </c>
    </row>
    <row r="3082" spans="1:2">
      <c r="A3082" t="s">
        <v>2068</v>
      </c>
      <c r="B3082">
        <v>1</v>
      </c>
    </row>
    <row r="3083" spans="1:2">
      <c r="A3083" t="s">
        <v>1545</v>
      </c>
      <c r="B3083">
        <v>2</v>
      </c>
    </row>
    <row r="3084" spans="1:2">
      <c r="A3084" t="s">
        <v>1736</v>
      </c>
      <c r="B3084">
        <v>3</v>
      </c>
    </row>
    <row r="3085" spans="1:2">
      <c r="A3085" t="s">
        <v>1107</v>
      </c>
      <c r="B3085">
        <v>3</v>
      </c>
    </row>
    <row r="3086" spans="1:2">
      <c r="A3086" t="s">
        <v>480</v>
      </c>
      <c r="B3086">
        <v>6</v>
      </c>
    </row>
    <row r="3087" spans="1:2">
      <c r="A3087" t="s">
        <v>832</v>
      </c>
      <c r="B3087">
        <v>10</v>
      </c>
    </row>
    <row r="3088" spans="1:2">
      <c r="A3088" t="s">
        <v>461</v>
      </c>
      <c r="B3088">
        <v>30</v>
      </c>
    </row>
    <row r="3089" spans="1:2">
      <c r="A3089" t="s">
        <v>1215</v>
      </c>
      <c r="B3089">
        <v>8</v>
      </c>
    </row>
    <row r="3090" spans="1:2">
      <c r="A3090" t="s">
        <v>492</v>
      </c>
      <c r="B3090">
        <v>16</v>
      </c>
    </row>
    <row r="3091" spans="1:2">
      <c r="A3091" t="s">
        <v>464</v>
      </c>
      <c r="B3091">
        <v>4</v>
      </c>
    </row>
    <row r="3092" spans="1:2">
      <c r="A3092" t="s">
        <v>1146</v>
      </c>
      <c r="B3092">
        <v>4</v>
      </c>
    </row>
    <row r="3093" spans="1:2">
      <c r="A3093" t="s">
        <v>484</v>
      </c>
      <c r="B3093">
        <v>10</v>
      </c>
    </row>
    <row r="3094" spans="1:2">
      <c r="A3094" t="s">
        <v>2133</v>
      </c>
      <c r="B3094">
        <v>1</v>
      </c>
    </row>
    <row r="3095" spans="1:2">
      <c r="A3095" t="s">
        <v>1546</v>
      </c>
      <c r="B3095">
        <v>5</v>
      </c>
    </row>
    <row r="3096" spans="1:2">
      <c r="A3096" t="s">
        <v>1044</v>
      </c>
      <c r="B3096">
        <v>8</v>
      </c>
    </row>
    <row r="3097" spans="1:2">
      <c r="A3097" t="s">
        <v>2135</v>
      </c>
      <c r="B3097">
        <v>1</v>
      </c>
    </row>
    <row r="3098" spans="1:2">
      <c r="A3098" t="s">
        <v>2136</v>
      </c>
      <c r="B3098">
        <v>1</v>
      </c>
    </row>
    <row r="3099" spans="1:2">
      <c r="A3099" t="s">
        <v>2137</v>
      </c>
      <c r="B3099">
        <v>2</v>
      </c>
    </row>
    <row r="3100" spans="1:2">
      <c r="A3100" t="s">
        <v>956</v>
      </c>
      <c r="B3100">
        <v>8</v>
      </c>
    </row>
    <row r="3101" spans="1:2">
      <c r="A3101" t="s">
        <v>1277</v>
      </c>
      <c r="B3101">
        <v>3</v>
      </c>
    </row>
    <row r="3102" spans="1:2">
      <c r="A3102" t="s">
        <v>1318</v>
      </c>
      <c r="B3102">
        <v>8</v>
      </c>
    </row>
    <row r="3103" spans="1:2">
      <c r="A3103" t="s">
        <v>1711</v>
      </c>
      <c r="B3103">
        <v>8</v>
      </c>
    </row>
    <row r="3104" spans="1:2">
      <c r="A3104" t="s">
        <v>2150</v>
      </c>
      <c r="B3104">
        <v>9</v>
      </c>
    </row>
    <row r="3105" spans="1:2">
      <c r="A3105" t="s">
        <v>2158</v>
      </c>
      <c r="B3105">
        <v>3</v>
      </c>
    </row>
    <row r="3106" spans="1:2">
      <c r="A3106" t="s">
        <v>1571</v>
      </c>
      <c r="B3106">
        <v>4</v>
      </c>
    </row>
    <row r="3107" spans="1:2">
      <c r="A3107" t="s">
        <v>2173</v>
      </c>
      <c r="B3107">
        <v>1</v>
      </c>
    </row>
    <row r="3108" spans="1:2">
      <c r="A3108" t="s">
        <v>2180</v>
      </c>
      <c r="B3108">
        <v>2</v>
      </c>
    </row>
    <row r="3109" spans="1:2">
      <c r="A3109" t="s">
        <v>2191</v>
      </c>
      <c r="B3109">
        <v>3</v>
      </c>
    </row>
    <row r="3110" spans="1:2">
      <c r="A3110" t="s">
        <v>2196</v>
      </c>
      <c r="B3110">
        <v>2</v>
      </c>
    </row>
    <row r="3111" spans="1:2">
      <c r="A3111" t="s">
        <v>1651</v>
      </c>
      <c r="B3111">
        <v>15</v>
      </c>
    </row>
    <row r="3112" spans="1:2">
      <c r="A3112" t="s">
        <v>999</v>
      </c>
      <c r="B3112">
        <v>8</v>
      </c>
    </row>
    <row r="3113" spans="1:2">
      <c r="A3113" t="s">
        <v>898</v>
      </c>
      <c r="B3113">
        <v>11</v>
      </c>
    </row>
    <row r="3114" spans="1:2">
      <c r="A3114" t="s">
        <v>2266</v>
      </c>
      <c r="B3114">
        <v>3</v>
      </c>
    </row>
    <row r="3115" spans="1:2">
      <c r="A3115" t="s">
        <v>1548</v>
      </c>
      <c r="B3115">
        <v>4</v>
      </c>
    </row>
    <row r="3116" spans="1:2">
      <c r="A3116" t="s">
        <v>1149</v>
      </c>
      <c r="B3116">
        <v>1</v>
      </c>
    </row>
    <row r="3117" spans="1:2">
      <c r="A3117" t="s">
        <v>2271</v>
      </c>
      <c r="B3117">
        <v>2</v>
      </c>
    </row>
    <row r="3118" spans="1:2">
      <c r="A3118" t="s">
        <v>1366</v>
      </c>
      <c r="B3118">
        <v>8</v>
      </c>
    </row>
    <row r="3119" spans="1:2">
      <c r="A3119" t="s">
        <v>1453</v>
      </c>
      <c r="B3119">
        <v>1</v>
      </c>
    </row>
    <row r="3120" spans="1:2">
      <c r="A3120" t="s">
        <v>839</v>
      </c>
      <c r="B3120">
        <v>3</v>
      </c>
    </row>
    <row r="3121" spans="1:2">
      <c r="A3121" t="s">
        <v>1586</v>
      </c>
      <c r="B3121">
        <v>6</v>
      </c>
    </row>
    <row r="3122" spans="1:2">
      <c r="A3122" t="s">
        <v>1379</v>
      </c>
      <c r="B3122">
        <v>1</v>
      </c>
    </row>
    <row r="3123" spans="1:2">
      <c r="A3123" t="s">
        <v>978</v>
      </c>
      <c r="B3123">
        <v>5</v>
      </c>
    </row>
    <row r="3124" spans="1:2">
      <c r="A3124" t="s">
        <v>1620</v>
      </c>
      <c r="B3124">
        <v>1</v>
      </c>
    </row>
    <row r="3125" spans="1:2">
      <c r="A3125" t="s">
        <v>2350</v>
      </c>
      <c r="B3125">
        <v>1</v>
      </c>
    </row>
    <row r="3126" spans="1:2">
      <c r="A3126" t="s">
        <v>2351</v>
      </c>
      <c r="B3126">
        <v>3</v>
      </c>
    </row>
    <row r="3127" spans="1:2">
      <c r="A3127" t="s">
        <v>445</v>
      </c>
      <c r="B3127">
        <v>8</v>
      </c>
    </row>
    <row r="3128" spans="1:2">
      <c r="A3128" t="s">
        <v>2354</v>
      </c>
      <c r="B3128">
        <v>3</v>
      </c>
    </row>
    <row r="3129" spans="1:2">
      <c r="A3129" t="s">
        <v>2362</v>
      </c>
      <c r="B3129">
        <v>2</v>
      </c>
    </row>
    <row r="3130" spans="1:2">
      <c r="A3130" t="s">
        <v>1462</v>
      </c>
      <c r="B3130">
        <v>6</v>
      </c>
    </row>
    <row r="3131" spans="1:2">
      <c r="A3131" t="s">
        <v>2385</v>
      </c>
      <c r="B3131">
        <v>1</v>
      </c>
    </row>
    <row r="3132" spans="1:2">
      <c r="A3132" t="s">
        <v>2390</v>
      </c>
      <c r="B3132">
        <v>1</v>
      </c>
    </row>
    <row r="3133" spans="1:2">
      <c r="A3133" t="s">
        <v>777</v>
      </c>
      <c r="B3133">
        <v>1</v>
      </c>
    </row>
    <row r="3134" spans="1:2">
      <c r="A3134" t="s">
        <v>2404</v>
      </c>
      <c r="B3134">
        <v>1</v>
      </c>
    </row>
    <row r="3135" spans="1:2">
      <c r="A3135" t="s">
        <v>400</v>
      </c>
      <c r="B3135">
        <v>6</v>
      </c>
    </row>
    <row r="3136" spans="1:2">
      <c r="A3136" t="s">
        <v>983</v>
      </c>
      <c r="B3136">
        <v>3</v>
      </c>
    </row>
    <row r="3137" spans="1:2">
      <c r="A3137" t="s">
        <v>60</v>
      </c>
      <c r="B3137">
        <v>4</v>
      </c>
    </row>
    <row r="3138" spans="1:2">
      <c r="A3138" t="s">
        <v>2425</v>
      </c>
      <c r="B3138">
        <v>2</v>
      </c>
    </row>
    <row r="3139" spans="1:2">
      <c r="A3139" t="s">
        <v>1715</v>
      </c>
      <c r="B3139">
        <v>2</v>
      </c>
    </row>
    <row r="3140" spans="1:2">
      <c r="A3140" t="s">
        <v>2446</v>
      </c>
      <c r="B3140">
        <v>2</v>
      </c>
    </row>
    <row r="3141" spans="1:2">
      <c r="A3141" t="s">
        <v>1005</v>
      </c>
      <c r="B3141">
        <v>10</v>
      </c>
    </row>
    <row r="3142" spans="1:2">
      <c r="A3142" t="s">
        <v>1744</v>
      </c>
      <c r="B3142">
        <v>2</v>
      </c>
    </row>
    <row r="3143" spans="1:2">
      <c r="A3143" t="s">
        <v>2470</v>
      </c>
      <c r="B3143">
        <v>3</v>
      </c>
    </row>
    <row r="3144" spans="1:2">
      <c r="A3144" t="s">
        <v>2503</v>
      </c>
      <c r="B3144">
        <v>1</v>
      </c>
    </row>
    <row r="3145" spans="1:2">
      <c r="A3145" t="s">
        <v>2506</v>
      </c>
      <c r="B3145">
        <v>2</v>
      </c>
    </row>
    <row r="3146" spans="1:2">
      <c r="A3146" t="s">
        <v>195</v>
      </c>
      <c r="B3146">
        <v>2</v>
      </c>
    </row>
    <row r="3147" spans="1:2">
      <c r="A3147" t="s">
        <v>2529</v>
      </c>
      <c r="B3147">
        <v>1</v>
      </c>
    </row>
    <row r="3148" spans="1:2">
      <c r="A3148" t="s">
        <v>2530</v>
      </c>
      <c r="B3148">
        <v>1</v>
      </c>
    </row>
    <row r="3149" spans="1:2">
      <c r="A3149" t="s">
        <v>2546</v>
      </c>
      <c r="B3149">
        <v>1</v>
      </c>
    </row>
    <row r="3150" spans="1:2">
      <c r="A3150" t="s">
        <v>454</v>
      </c>
      <c r="B3150">
        <v>4</v>
      </c>
    </row>
    <row r="3151" spans="1:2">
      <c r="A3151" t="s">
        <v>2568</v>
      </c>
      <c r="B3151">
        <v>1</v>
      </c>
    </row>
    <row r="3152" spans="1:2">
      <c r="A3152" t="s">
        <v>2571</v>
      </c>
      <c r="B3152">
        <v>1</v>
      </c>
    </row>
    <row r="3153" spans="1:2">
      <c r="A3153" t="s">
        <v>1080</v>
      </c>
      <c r="B3153">
        <v>2</v>
      </c>
    </row>
    <row r="3154" spans="1:2">
      <c r="A3154" t="s">
        <v>2581</v>
      </c>
      <c r="B3154">
        <v>2</v>
      </c>
    </row>
    <row r="3155" spans="1:2">
      <c r="A3155" t="s">
        <v>2590</v>
      </c>
      <c r="B3155">
        <v>1</v>
      </c>
    </row>
    <row r="3156" spans="1:2">
      <c r="A3156" t="s">
        <v>1270</v>
      </c>
      <c r="B3156">
        <v>6</v>
      </c>
    </row>
    <row r="3157" spans="1:2">
      <c r="A3157" t="s">
        <v>2605</v>
      </c>
      <c r="B3157">
        <v>8</v>
      </c>
    </row>
    <row r="3158" spans="1:2">
      <c r="A3158" t="s">
        <v>1484</v>
      </c>
      <c r="B3158">
        <v>7</v>
      </c>
    </row>
    <row r="3159" spans="1:2">
      <c r="A3159" t="s">
        <v>2619</v>
      </c>
      <c r="B3159">
        <v>1</v>
      </c>
    </row>
    <row r="3160" spans="1:2">
      <c r="A3160" t="s">
        <v>1401</v>
      </c>
      <c r="B3160">
        <v>2</v>
      </c>
    </row>
    <row r="3161" spans="1:2">
      <c r="A3161" t="s">
        <v>2662</v>
      </c>
      <c r="B3161">
        <v>2</v>
      </c>
    </row>
    <row r="3162" spans="1:2">
      <c r="A3162" t="s">
        <v>1034</v>
      </c>
      <c r="B3162">
        <v>3</v>
      </c>
    </row>
    <row r="3163" spans="1:2">
      <c r="A3163" t="s">
        <v>2693</v>
      </c>
      <c r="B3163">
        <v>1</v>
      </c>
    </row>
    <row r="3164" spans="1:2">
      <c r="A3164" t="s">
        <v>1549</v>
      </c>
      <c r="B3164">
        <v>2</v>
      </c>
    </row>
    <row r="3165" spans="1:2">
      <c r="A3165" t="s">
        <v>986</v>
      </c>
      <c r="B3165">
        <v>1</v>
      </c>
    </row>
    <row r="3166" spans="1:2">
      <c r="A3166" t="s">
        <v>1404</v>
      </c>
      <c r="B3166">
        <v>1</v>
      </c>
    </row>
    <row r="3167" spans="1:2">
      <c r="A3167" t="s">
        <v>2712</v>
      </c>
      <c r="B3167">
        <v>1</v>
      </c>
    </row>
    <row r="3168" spans="1:2">
      <c r="A3168" t="s">
        <v>2723</v>
      </c>
      <c r="B3168">
        <v>2</v>
      </c>
    </row>
    <row r="3169" spans="1:2">
      <c r="A3169" t="s">
        <v>765</v>
      </c>
      <c r="B3169">
        <v>1</v>
      </c>
    </row>
    <row r="3170" spans="1:2">
      <c r="A3170" t="s">
        <v>619</v>
      </c>
      <c r="B3170">
        <v>1</v>
      </c>
    </row>
    <row r="3171" spans="1:2">
      <c r="A3171" t="s">
        <v>2733</v>
      </c>
      <c r="B3171">
        <v>1</v>
      </c>
    </row>
    <row r="3172" spans="1:2">
      <c r="A3172" t="s">
        <v>998</v>
      </c>
      <c r="B3172">
        <v>13</v>
      </c>
    </row>
    <row r="3173" spans="1:2">
      <c r="A3173" t="s">
        <v>1402</v>
      </c>
      <c r="B3173">
        <v>2</v>
      </c>
    </row>
    <row r="3174" spans="1:2">
      <c r="A3174" t="s">
        <v>2753</v>
      </c>
      <c r="B3174">
        <v>1</v>
      </c>
    </row>
    <row r="3175" spans="1:2">
      <c r="A3175" t="s">
        <v>2754</v>
      </c>
      <c r="B3175">
        <v>1</v>
      </c>
    </row>
    <row r="3176" spans="1:2">
      <c r="A3176" t="s">
        <v>2760</v>
      </c>
      <c r="B3176">
        <v>1</v>
      </c>
    </row>
    <row r="3177" spans="1:2">
      <c r="A3177" t="s">
        <v>1769</v>
      </c>
      <c r="B3177">
        <v>1</v>
      </c>
    </row>
    <row r="3178" spans="1:2">
      <c r="A3178" t="s">
        <v>2777</v>
      </c>
      <c r="B3178">
        <v>2</v>
      </c>
    </row>
    <row r="3179" spans="1:2">
      <c r="A3179" t="s">
        <v>2780</v>
      </c>
      <c r="B3179">
        <v>1</v>
      </c>
    </row>
    <row r="3180" spans="1:2">
      <c r="A3180" t="s">
        <v>2781</v>
      </c>
      <c r="B3180">
        <v>1</v>
      </c>
    </row>
    <row r="3181" spans="1:2">
      <c r="A3181" t="s">
        <v>2784</v>
      </c>
      <c r="B3181">
        <v>1</v>
      </c>
    </row>
    <row r="3182" spans="1:2">
      <c r="A3182" t="s">
        <v>1004</v>
      </c>
      <c r="B3182">
        <v>2</v>
      </c>
    </row>
    <row r="3183" spans="1:2">
      <c r="A3183" t="s">
        <v>2794</v>
      </c>
      <c r="B3183">
        <v>1</v>
      </c>
    </row>
    <row r="3184" spans="1:2">
      <c r="A3184" t="s">
        <v>2814</v>
      </c>
      <c r="B3184">
        <v>2</v>
      </c>
    </row>
    <row r="3185" spans="1:2">
      <c r="A3185" t="s">
        <v>2818</v>
      </c>
      <c r="B3185">
        <v>1</v>
      </c>
    </row>
    <row r="3186" spans="1:2">
      <c r="A3186" t="s">
        <v>1683</v>
      </c>
      <c r="B3186">
        <v>1</v>
      </c>
    </row>
    <row r="3187" spans="1:2">
      <c r="A3187" t="s">
        <v>1642</v>
      </c>
      <c r="B3187">
        <v>3</v>
      </c>
    </row>
    <row r="3188" spans="1:2">
      <c r="A3188" t="s">
        <v>2837</v>
      </c>
      <c r="B3188">
        <v>1</v>
      </c>
    </row>
    <row r="3189" spans="1:2">
      <c r="A3189" t="s">
        <v>2838</v>
      </c>
      <c r="B3189">
        <v>1</v>
      </c>
    </row>
    <row r="3190" spans="1:2">
      <c r="A3190" t="s">
        <v>2845</v>
      </c>
      <c r="B3190">
        <v>1</v>
      </c>
    </row>
    <row r="3191" spans="1:2">
      <c r="A3191" t="s">
        <v>2854</v>
      </c>
      <c r="B3191">
        <v>1</v>
      </c>
    </row>
    <row r="3192" spans="1:2">
      <c r="A3192" t="s">
        <v>2855</v>
      </c>
      <c r="B3192">
        <v>1</v>
      </c>
    </row>
    <row r="3193" spans="1:2">
      <c r="A3193" t="s">
        <v>860</v>
      </c>
      <c r="B3193">
        <v>1</v>
      </c>
    </row>
    <row r="3194" spans="1:2">
      <c r="A3194" t="s">
        <v>1340</v>
      </c>
      <c r="B3194">
        <v>1</v>
      </c>
    </row>
    <row r="3195" spans="1:2">
      <c r="A3195" t="s">
        <v>2864</v>
      </c>
      <c r="B3195">
        <v>2</v>
      </c>
    </row>
    <row r="3196" spans="1:2">
      <c r="A3196" t="s">
        <v>2901</v>
      </c>
      <c r="B3196">
        <v>1</v>
      </c>
    </row>
    <row r="3197" spans="1:2">
      <c r="A3197" t="s">
        <v>2918</v>
      </c>
      <c r="B3197">
        <v>1</v>
      </c>
    </row>
    <row r="3198" spans="1:2">
      <c r="A3198" t="s">
        <v>727</v>
      </c>
      <c r="B3198">
        <v>1</v>
      </c>
    </row>
    <row r="3199" spans="1:2">
      <c r="A3199" s="2" t="s">
        <v>9</v>
      </c>
      <c r="B3199" s="2">
        <v>2183</v>
      </c>
    </row>
    <row r="3201" spans="1:2">
      <c r="A3201" s="2" t="s">
        <v>51</v>
      </c>
    </row>
    <row r="3202" spans="1:2">
      <c r="A3202" s="2" t="s">
        <v>0</v>
      </c>
      <c r="B3202" s="2" t="s">
        <v>1</v>
      </c>
    </row>
    <row r="3203" spans="1:2">
      <c r="A3203" t="s">
        <v>282</v>
      </c>
      <c r="B3203">
        <v>61</v>
      </c>
    </row>
    <row r="3204" spans="1:2">
      <c r="A3204" t="s">
        <v>1506</v>
      </c>
      <c r="B3204">
        <v>13</v>
      </c>
    </row>
    <row r="3205" spans="1:2">
      <c r="A3205" t="s">
        <v>647</v>
      </c>
      <c r="B3205">
        <v>16</v>
      </c>
    </row>
    <row r="3206" spans="1:2">
      <c r="A3206" t="s">
        <v>1815</v>
      </c>
      <c r="B3206">
        <v>6</v>
      </c>
    </row>
    <row r="3207" spans="1:2">
      <c r="A3207" t="s">
        <v>23</v>
      </c>
      <c r="B3207">
        <v>11</v>
      </c>
    </row>
    <row r="3208" spans="1:2">
      <c r="A3208" t="s">
        <v>1818</v>
      </c>
      <c r="B3208">
        <v>3</v>
      </c>
    </row>
    <row r="3209" spans="1:2">
      <c r="A3209" t="s">
        <v>307</v>
      </c>
      <c r="B3209">
        <v>25</v>
      </c>
    </row>
    <row r="3210" spans="1:2">
      <c r="A3210" t="s">
        <v>874</v>
      </c>
      <c r="B3210">
        <v>4</v>
      </c>
    </row>
    <row r="3211" spans="1:2">
      <c r="A3211" t="s">
        <v>697</v>
      </c>
      <c r="B3211">
        <v>21</v>
      </c>
    </row>
    <row r="3212" spans="1:2">
      <c r="A3212" t="s">
        <v>28</v>
      </c>
      <c r="B3212">
        <v>56</v>
      </c>
    </row>
    <row r="3213" spans="1:2">
      <c r="A3213" t="s">
        <v>672</v>
      </c>
      <c r="B3213">
        <v>47</v>
      </c>
    </row>
    <row r="3214" spans="1:2">
      <c r="A3214" t="s">
        <v>1837</v>
      </c>
      <c r="B3214">
        <v>21</v>
      </c>
    </row>
    <row r="3215" spans="1:2">
      <c r="A3215" t="s">
        <v>77</v>
      </c>
      <c r="B3215">
        <v>110</v>
      </c>
    </row>
    <row r="3216" spans="1:2">
      <c r="A3216" t="s">
        <v>739</v>
      </c>
      <c r="B3216">
        <v>17</v>
      </c>
    </row>
    <row r="3217" spans="1:2">
      <c r="A3217" t="s">
        <v>861</v>
      </c>
      <c r="B3217">
        <v>24</v>
      </c>
    </row>
    <row r="3218" spans="1:2">
      <c r="A3218" t="s">
        <v>1840</v>
      </c>
      <c r="B3218">
        <v>6</v>
      </c>
    </row>
    <row r="3219" spans="1:2">
      <c r="A3219" t="s">
        <v>872</v>
      </c>
      <c r="B3219">
        <v>6</v>
      </c>
    </row>
    <row r="3220" spans="1:2">
      <c r="A3220" t="s">
        <v>1845</v>
      </c>
      <c r="B3220">
        <v>2</v>
      </c>
    </row>
    <row r="3221" spans="1:2">
      <c r="A3221" t="s">
        <v>624</v>
      </c>
      <c r="B3221">
        <v>74</v>
      </c>
    </row>
    <row r="3222" spans="1:2">
      <c r="A3222" t="s">
        <v>119</v>
      </c>
      <c r="B3222">
        <v>19</v>
      </c>
    </row>
    <row r="3223" spans="1:2">
      <c r="A3223" t="s">
        <v>1857</v>
      </c>
      <c r="B3223">
        <v>6</v>
      </c>
    </row>
    <row r="3224" spans="1:2">
      <c r="A3224" t="s">
        <v>1322</v>
      </c>
      <c r="B3224">
        <v>5</v>
      </c>
    </row>
    <row r="3225" spans="1:2">
      <c r="A3225" t="s">
        <v>293</v>
      </c>
      <c r="B3225">
        <v>11</v>
      </c>
    </row>
    <row r="3226" spans="1:2">
      <c r="A3226" t="s">
        <v>1890</v>
      </c>
      <c r="B3226">
        <v>1</v>
      </c>
    </row>
    <row r="3227" spans="1:2">
      <c r="A3227" t="s">
        <v>425</v>
      </c>
      <c r="B3227">
        <v>8</v>
      </c>
    </row>
    <row r="3228" spans="1:2">
      <c r="A3228" t="s">
        <v>1907</v>
      </c>
      <c r="B3228">
        <v>5</v>
      </c>
    </row>
    <row r="3229" spans="1:2">
      <c r="A3229" t="s">
        <v>740</v>
      </c>
      <c r="B3229">
        <v>1</v>
      </c>
    </row>
    <row r="3230" spans="1:2">
      <c r="A3230" t="s">
        <v>766</v>
      </c>
      <c r="B3230">
        <v>16</v>
      </c>
    </row>
    <row r="3231" spans="1:2">
      <c r="A3231" t="s">
        <v>290</v>
      </c>
      <c r="B3231">
        <v>9</v>
      </c>
    </row>
    <row r="3232" spans="1:2">
      <c r="A3232" t="s">
        <v>1953</v>
      </c>
      <c r="B3232">
        <v>11</v>
      </c>
    </row>
    <row r="3233" spans="1:2">
      <c r="A3233" t="s">
        <v>295</v>
      </c>
      <c r="B3233">
        <v>16</v>
      </c>
    </row>
    <row r="3234" spans="1:2">
      <c r="A3234" t="s">
        <v>1439</v>
      </c>
      <c r="B3234">
        <v>3</v>
      </c>
    </row>
    <row r="3235" spans="1:2">
      <c r="A3235" t="s">
        <v>1029</v>
      </c>
      <c r="B3235">
        <v>15</v>
      </c>
    </row>
    <row r="3236" spans="1:2">
      <c r="A3236" t="s">
        <v>1975</v>
      </c>
      <c r="B3236">
        <v>2</v>
      </c>
    </row>
    <row r="3237" spans="1:2">
      <c r="A3237" t="s">
        <v>2047</v>
      </c>
      <c r="B3237">
        <v>3</v>
      </c>
    </row>
    <row r="3238" spans="1:2">
      <c r="A3238" t="s">
        <v>1450</v>
      </c>
      <c r="B3238">
        <v>1</v>
      </c>
    </row>
    <row r="3239" spans="1:2">
      <c r="A3239" t="s">
        <v>568</v>
      </c>
      <c r="B3239">
        <v>2</v>
      </c>
    </row>
    <row r="3240" spans="1:2">
      <c r="A3240" t="s">
        <v>2155</v>
      </c>
      <c r="B3240">
        <v>1</v>
      </c>
    </row>
    <row r="3241" spans="1:2">
      <c r="A3241" t="s">
        <v>2167</v>
      </c>
      <c r="B3241">
        <v>1</v>
      </c>
    </row>
    <row r="3242" spans="1:2">
      <c r="A3242" t="s">
        <v>2174</v>
      </c>
      <c r="B3242">
        <v>4</v>
      </c>
    </row>
    <row r="3243" spans="1:2">
      <c r="A3243" t="s">
        <v>823</v>
      </c>
      <c r="B3243">
        <v>5</v>
      </c>
    </row>
    <row r="3244" spans="1:2">
      <c r="A3244" t="s">
        <v>2183</v>
      </c>
      <c r="B3244">
        <v>3</v>
      </c>
    </row>
    <row r="3245" spans="1:2">
      <c r="A3245" t="s">
        <v>2264</v>
      </c>
      <c r="B3245">
        <v>1</v>
      </c>
    </row>
    <row r="3246" spans="1:2">
      <c r="A3246" t="s">
        <v>2284</v>
      </c>
      <c r="B3246">
        <v>5</v>
      </c>
    </row>
    <row r="3247" spans="1:2">
      <c r="A3247" t="s">
        <v>258</v>
      </c>
      <c r="B3247">
        <v>5</v>
      </c>
    </row>
    <row r="3248" spans="1:2">
      <c r="A3248" t="s">
        <v>2299</v>
      </c>
      <c r="B3248">
        <v>3</v>
      </c>
    </row>
    <row r="3249" spans="1:2">
      <c r="A3249" t="s">
        <v>2303</v>
      </c>
      <c r="B3249">
        <v>4</v>
      </c>
    </row>
    <row r="3250" spans="1:2">
      <c r="A3250" t="s">
        <v>1136</v>
      </c>
      <c r="B3250">
        <v>6</v>
      </c>
    </row>
    <row r="3251" spans="1:2">
      <c r="A3251" t="s">
        <v>2306</v>
      </c>
      <c r="B3251">
        <v>4</v>
      </c>
    </row>
    <row r="3252" spans="1:2">
      <c r="A3252" t="s">
        <v>2322</v>
      </c>
      <c r="B3252">
        <v>1</v>
      </c>
    </row>
    <row r="3253" spans="1:2">
      <c r="A3253" t="s">
        <v>2387</v>
      </c>
      <c r="B3253">
        <v>1</v>
      </c>
    </row>
    <row r="3254" spans="1:2">
      <c r="A3254" t="s">
        <v>1518</v>
      </c>
      <c r="B3254">
        <v>4</v>
      </c>
    </row>
    <row r="3255" spans="1:2">
      <c r="A3255" t="s">
        <v>2439</v>
      </c>
      <c r="B3255">
        <v>2</v>
      </c>
    </row>
    <row r="3256" spans="1:2">
      <c r="A3256" t="s">
        <v>2442</v>
      </c>
      <c r="B3256">
        <v>1</v>
      </c>
    </row>
    <row r="3257" spans="1:2">
      <c r="A3257" t="s">
        <v>2483</v>
      </c>
      <c r="B3257">
        <v>3</v>
      </c>
    </row>
    <row r="3258" spans="1:2">
      <c r="A3258" t="s">
        <v>2489</v>
      </c>
      <c r="B3258">
        <v>1</v>
      </c>
    </row>
    <row r="3259" spans="1:2">
      <c r="A3259" t="s">
        <v>1195</v>
      </c>
      <c r="B3259">
        <v>1</v>
      </c>
    </row>
    <row r="3260" spans="1:2">
      <c r="A3260" t="s">
        <v>2518</v>
      </c>
      <c r="B3260">
        <v>1</v>
      </c>
    </row>
    <row r="3261" spans="1:2">
      <c r="A3261" t="s">
        <v>2554</v>
      </c>
      <c r="B3261">
        <v>1</v>
      </c>
    </row>
    <row r="3262" spans="1:2">
      <c r="A3262" t="s">
        <v>547</v>
      </c>
      <c r="B3262">
        <v>1</v>
      </c>
    </row>
    <row r="3263" spans="1:2">
      <c r="A3263" t="s">
        <v>2641</v>
      </c>
      <c r="B3263">
        <v>1</v>
      </c>
    </row>
    <row r="3264" spans="1:2">
      <c r="A3264" t="s">
        <v>2652</v>
      </c>
      <c r="B3264">
        <v>1</v>
      </c>
    </row>
    <row r="3265" spans="1:2">
      <c r="A3265" t="s">
        <v>2664</v>
      </c>
      <c r="B3265">
        <v>2</v>
      </c>
    </row>
    <row r="3266" spans="1:2">
      <c r="A3266" t="s">
        <v>1020</v>
      </c>
      <c r="B3266">
        <v>1</v>
      </c>
    </row>
    <row r="3267" spans="1:2">
      <c r="A3267" t="s">
        <v>2672</v>
      </c>
      <c r="B3267">
        <v>1</v>
      </c>
    </row>
    <row r="3268" spans="1:2">
      <c r="A3268" t="s">
        <v>1755</v>
      </c>
      <c r="B3268">
        <v>1</v>
      </c>
    </row>
    <row r="3269" spans="1:2">
      <c r="A3269" t="s">
        <v>554</v>
      </c>
      <c r="B3269">
        <v>1</v>
      </c>
    </row>
    <row r="3270" spans="1:2">
      <c r="A3270" t="s">
        <v>1480</v>
      </c>
      <c r="B3270">
        <v>2</v>
      </c>
    </row>
    <row r="3271" spans="1:2">
      <c r="A3271" t="s">
        <v>1145</v>
      </c>
      <c r="B3271">
        <v>1</v>
      </c>
    </row>
    <row r="3272" spans="1:2">
      <c r="A3272" t="s">
        <v>2920</v>
      </c>
      <c r="B3272">
        <v>1</v>
      </c>
    </row>
    <row r="3273" spans="1:2">
      <c r="A3273" t="s">
        <v>2922</v>
      </c>
      <c r="B3273">
        <v>1</v>
      </c>
    </row>
    <row r="3274" spans="1:2">
      <c r="A3274" s="2" t="s">
        <v>9</v>
      </c>
      <c r="B3274" s="2">
        <v>729</v>
      </c>
    </row>
    <row r="3276" spans="1:2">
      <c r="A3276" s="2" t="s">
        <v>532</v>
      </c>
    </row>
    <row r="3277" spans="1:2">
      <c r="A3277" s="2" t="s">
        <v>0</v>
      </c>
      <c r="B3277" s="2" t="s">
        <v>1</v>
      </c>
    </row>
    <row r="3278" spans="1:2">
      <c r="A3278" t="s">
        <v>124</v>
      </c>
      <c r="B3278">
        <v>242</v>
      </c>
    </row>
    <row r="3279" spans="1:2">
      <c r="A3279" t="s">
        <v>1811</v>
      </c>
      <c r="B3279">
        <v>2</v>
      </c>
    </row>
    <row r="3280" spans="1:2">
      <c r="A3280" t="s">
        <v>103</v>
      </c>
      <c r="B3280">
        <v>360</v>
      </c>
    </row>
    <row r="3281" spans="1:2">
      <c r="A3281" t="s">
        <v>362</v>
      </c>
      <c r="B3281">
        <v>8</v>
      </c>
    </row>
    <row r="3282" spans="1:2">
      <c r="A3282" t="s">
        <v>1258</v>
      </c>
      <c r="B3282">
        <v>12</v>
      </c>
    </row>
    <row r="3283" spans="1:2">
      <c r="A3283" t="s">
        <v>97</v>
      </c>
      <c r="B3283">
        <v>181</v>
      </c>
    </row>
    <row r="3284" spans="1:2">
      <c r="A3284" t="s">
        <v>102</v>
      </c>
      <c r="B3284">
        <v>89</v>
      </c>
    </row>
    <row r="3285" spans="1:2">
      <c r="A3285" t="s">
        <v>271</v>
      </c>
      <c r="B3285">
        <v>19</v>
      </c>
    </row>
    <row r="3286" spans="1:2">
      <c r="A3286" t="s">
        <v>357</v>
      </c>
      <c r="B3286">
        <v>12</v>
      </c>
    </row>
    <row r="3287" spans="1:2">
      <c r="A3287" t="s">
        <v>703</v>
      </c>
      <c r="B3287">
        <v>22</v>
      </c>
    </row>
    <row r="3288" spans="1:2">
      <c r="A3288" t="s">
        <v>200</v>
      </c>
      <c r="B3288">
        <v>96</v>
      </c>
    </row>
    <row r="3289" spans="1:2">
      <c r="A3289" t="s">
        <v>1211</v>
      </c>
      <c r="B3289">
        <v>5</v>
      </c>
    </row>
    <row r="3290" spans="1:2">
      <c r="A3290" t="s">
        <v>161</v>
      </c>
      <c r="B3290">
        <v>39</v>
      </c>
    </row>
    <row r="3291" spans="1:2">
      <c r="A3291" t="s">
        <v>100</v>
      </c>
      <c r="B3291">
        <v>36</v>
      </c>
    </row>
    <row r="3292" spans="1:2">
      <c r="A3292" t="s">
        <v>304</v>
      </c>
      <c r="B3292">
        <v>3</v>
      </c>
    </row>
    <row r="3293" spans="1:2">
      <c r="A3293" t="s">
        <v>1326</v>
      </c>
      <c r="B3293">
        <v>48</v>
      </c>
    </row>
    <row r="3294" spans="1:2">
      <c r="A3294" t="s">
        <v>1283</v>
      </c>
      <c r="B3294">
        <v>2</v>
      </c>
    </row>
    <row r="3295" spans="1:2">
      <c r="A3295" t="s">
        <v>1096</v>
      </c>
      <c r="B3295">
        <v>5</v>
      </c>
    </row>
    <row r="3296" spans="1:2">
      <c r="A3296" t="s">
        <v>191</v>
      </c>
      <c r="B3296">
        <v>41</v>
      </c>
    </row>
    <row r="3297" spans="1:2">
      <c r="A3297" t="s">
        <v>1335</v>
      </c>
      <c r="B3297">
        <v>7</v>
      </c>
    </row>
    <row r="3298" spans="1:2">
      <c r="A3298" t="s">
        <v>1516</v>
      </c>
      <c r="B3298">
        <v>11</v>
      </c>
    </row>
    <row r="3299" spans="1:2">
      <c r="A3299" t="s">
        <v>1883</v>
      </c>
      <c r="B3299">
        <v>6</v>
      </c>
    </row>
    <row r="3300" spans="1:2">
      <c r="A3300" t="s">
        <v>99</v>
      </c>
      <c r="B3300">
        <v>28</v>
      </c>
    </row>
    <row r="3301" spans="1:2">
      <c r="A3301" t="s">
        <v>713</v>
      </c>
      <c r="B3301">
        <v>7</v>
      </c>
    </row>
    <row r="3302" spans="1:2">
      <c r="A3302" t="s">
        <v>1135</v>
      </c>
      <c r="B3302">
        <v>2</v>
      </c>
    </row>
    <row r="3303" spans="1:2">
      <c r="A3303" t="s">
        <v>1901</v>
      </c>
      <c r="B3303">
        <v>1</v>
      </c>
    </row>
    <row r="3304" spans="1:2">
      <c r="A3304" t="s">
        <v>1903</v>
      </c>
      <c r="B3304">
        <v>1</v>
      </c>
    </row>
    <row r="3305" spans="1:2">
      <c r="A3305" t="s">
        <v>155</v>
      </c>
      <c r="B3305">
        <v>15</v>
      </c>
    </row>
    <row r="3306" spans="1:2">
      <c r="A3306" t="s">
        <v>1347</v>
      </c>
      <c r="B3306">
        <v>5</v>
      </c>
    </row>
    <row r="3307" spans="1:2">
      <c r="A3307" t="s">
        <v>1168</v>
      </c>
      <c r="B3307">
        <v>11</v>
      </c>
    </row>
    <row r="3308" spans="1:2">
      <c r="A3308" t="s">
        <v>1922</v>
      </c>
      <c r="B3308">
        <v>5</v>
      </c>
    </row>
    <row r="3309" spans="1:2">
      <c r="A3309" t="s">
        <v>1266</v>
      </c>
      <c r="B3309">
        <v>5</v>
      </c>
    </row>
    <row r="3310" spans="1:2">
      <c r="A3310" t="s">
        <v>1924</v>
      </c>
      <c r="B3310">
        <v>3</v>
      </c>
    </row>
    <row r="3311" spans="1:2">
      <c r="A3311" t="s">
        <v>1593</v>
      </c>
      <c r="B3311">
        <v>3</v>
      </c>
    </row>
    <row r="3312" spans="1:2">
      <c r="A3312" t="s">
        <v>881</v>
      </c>
      <c r="B3312">
        <v>5</v>
      </c>
    </row>
    <row r="3313" spans="1:2">
      <c r="A3313" t="s">
        <v>1334</v>
      </c>
      <c r="B3313">
        <v>3</v>
      </c>
    </row>
    <row r="3314" spans="1:2">
      <c r="A3314" t="s">
        <v>1943</v>
      </c>
      <c r="B3314">
        <v>3</v>
      </c>
    </row>
    <row r="3315" spans="1:2">
      <c r="A3315" t="s">
        <v>1955</v>
      </c>
      <c r="B3315">
        <v>2</v>
      </c>
    </row>
    <row r="3316" spans="1:2">
      <c r="A3316" t="s">
        <v>198</v>
      </c>
      <c r="B3316">
        <v>71</v>
      </c>
    </row>
    <row r="3317" spans="1:2">
      <c r="A3317" t="s">
        <v>1965</v>
      </c>
      <c r="B3317">
        <v>2</v>
      </c>
    </row>
    <row r="3318" spans="1:2">
      <c r="A3318" t="s">
        <v>880</v>
      </c>
      <c r="B3318">
        <v>29</v>
      </c>
    </row>
    <row r="3319" spans="1:2">
      <c r="A3319" t="s">
        <v>1997</v>
      </c>
      <c r="B3319">
        <v>10</v>
      </c>
    </row>
    <row r="3320" spans="1:2">
      <c r="A3320" t="s">
        <v>2001</v>
      </c>
      <c r="B3320">
        <v>3</v>
      </c>
    </row>
    <row r="3321" spans="1:2">
      <c r="A3321" t="s">
        <v>1786</v>
      </c>
      <c r="B3321">
        <v>4</v>
      </c>
    </row>
    <row r="3322" spans="1:2">
      <c r="A3322" t="s">
        <v>1251</v>
      </c>
      <c r="B3322">
        <v>6</v>
      </c>
    </row>
    <row r="3323" spans="1:2">
      <c r="A3323" t="s">
        <v>1479</v>
      </c>
      <c r="B3323">
        <v>1</v>
      </c>
    </row>
    <row r="3324" spans="1:2">
      <c r="A3324" t="s">
        <v>2024</v>
      </c>
      <c r="B3324">
        <v>2</v>
      </c>
    </row>
    <row r="3325" spans="1:2">
      <c r="A3325" t="s">
        <v>2025</v>
      </c>
      <c r="B3325">
        <v>5</v>
      </c>
    </row>
    <row r="3326" spans="1:2">
      <c r="A3326" t="s">
        <v>2036</v>
      </c>
      <c r="B3326">
        <v>13</v>
      </c>
    </row>
    <row r="3327" spans="1:2">
      <c r="A3327" t="s">
        <v>1370</v>
      </c>
      <c r="B3327">
        <v>1</v>
      </c>
    </row>
    <row r="3328" spans="1:2">
      <c r="A3328" t="s">
        <v>2039</v>
      </c>
      <c r="B3328">
        <v>1</v>
      </c>
    </row>
    <row r="3329" spans="1:2">
      <c r="A3329" t="s">
        <v>2040</v>
      </c>
      <c r="B3329">
        <v>1</v>
      </c>
    </row>
    <row r="3330" spans="1:2">
      <c r="A3330" t="s">
        <v>2041</v>
      </c>
      <c r="B3330">
        <v>2</v>
      </c>
    </row>
    <row r="3331" spans="1:2">
      <c r="A3331" t="s">
        <v>2043</v>
      </c>
      <c r="B3331">
        <v>2</v>
      </c>
    </row>
    <row r="3332" spans="1:2">
      <c r="A3332" t="s">
        <v>781</v>
      </c>
      <c r="B3332">
        <v>17</v>
      </c>
    </row>
    <row r="3333" spans="1:2">
      <c r="A3333" t="s">
        <v>559</v>
      </c>
      <c r="B3333">
        <v>11</v>
      </c>
    </row>
    <row r="3334" spans="1:2">
      <c r="A3334" t="s">
        <v>2062</v>
      </c>
      <c r="B3334">
        <v>1</v>
      </c>
    </row>
    <row r="3335" spans="1:2">
      <c r="A3335" t="s">
        <v>994</v>
      </c>
      <c r="B3335">
        <v>11</v>
      </c>
    </row>
    <row r="3336" spans="1:2">
      <c r="A3336" t="s">
        <v>1224</v>
      </c>
      <c r="B3336">
        <v>3</v>
      </c>
    </row>
    <row r="3337" spans="1:2">
      <c r="A3337" t="s">
        <v>1558</v>
      </c>
      <c r="B3337">
        <v>7</v>
      </c>
    </row>
    <row r="3338" spans="1:2">
      <c r="A3338" t="s">
        <v>2078</v>
      </c>
      <c r="B3338">
        <v>11</v>
      </c>
    </row>
    <row r="3339" spans="1:2">
      <c r="A3339" t="s">
        <v>421</v>
      </c>
      <c r="B3339">
        <v>1</v>
      </c>
    </row>
    <row r="3340" spans="1:2">
      <c r="A3340" t="s">
        <v>755</v>
      </c>
      <c r="B3340">
        <v>4</v>
      </c>
    </row>
    <row r="3341" spans="1:2">
      <c r="A3341" t="s">
        <v>1220</v>
      </c>
      <c r="B3341">
        <v>3</v>
      </c>
    </row>
    <row r="3342" spans="1:2">
      <c r="A3342" t="s">
        <v>378</v>
      </c>
      <c r="B3342">
        <v>1</v>
      </c>
    </row>
    <row r="3343" spans="1:2">
      <c r="A3343" t="s">
        <v>2098</v>
      </c>
      <c r="B3343">
        <v>5</v>
      </c>
    </row>
    <row r="3344" spans="1:2">
      <c r="A3344" t="s">
        <v>2099</v>
      </c>
      <c r="B3344">
        <v>4</v>
      </c>
    </row>
    <row r="3345" spans="1:2">
      <c r="A3345" t="s">
        <v>995</v>
      </c>
      <c r="B3345">
        <v>2</v>
      </c>
    </row>
    <row r="3346" spans="1:2">
      <c r="A3346" t="s">
        <v>2109</v>
      </c>
      <c r="B3346">
        <v>3</v>
      </c>
    </row>
    <row r="3347" spans="1:2">
      <c r="A3347" t="s">
        <v>2116</v>
      </c>
      <c r="B3347">
        <v>1</v>
      </c>
    </row>
    <row r="3348" spans="1:2">
      <c r="A3348" t="s">
        <v>2117</v>
      </c>
      <c r="B3348">
        <v>12</v>
      </c>
    </row>
    <row r="3349" spans="1:2">
      <c r="A3349" t="s">
        <v>1728</v>
      </c>
      <c r="B3349">
        <v>2</v>
      </c>
    </row>
    <row r="3350" spans="1:2">
      <c r="A3350" t="s">
        <v>702</v>
      </c>
      <c r="B3350">
        <v>3</v>
      </c>
    </row>
    <row r="3351" spans="1:2">
      <c r="A3351" t="s">
        <v>745</v>
      </c>
      <c r="B3351">
        <v>1</v>
      </c>
    </row>
    <row r="3352" spans="1:2">
      <c r="A3352" t="s">
        <v>2176</v>
      </c>
      <c r="B3352">
        <v>1</v>
      </c>
    </row>
    <row r="3353" spans="1:2">
      <c r="A3353" t="s">
        <v>2179</v>
      </c>
      <c r="B3353">
        <v>1</v>
      </c>
    </row>
    <row r="3354" spans="1:2">
      <c r="A3354" t="s">
        <v>2188</v>
      </c>
      <c r="B3354">
        <v>1</v>
      </c>
    </row>
    <row r="3355" spans="1:2">
      <c r="A3355" t="s">
        <v>2207</v>
      </c>
      <c r="B3355">
        <v>8</v>
      </c>
    </row>
    <row r="3356" spans="1:2">
      <c r="A3356" t="s">
        <v>2218</v>
      </c>
      <c r="B3356">
        <v>5</v>
      </c>
    </row>
    <row r="3357" spans="1:2">
      <c r="A3357" t="s">
        <v>1123</v>
      </c>
      <c r="B3357">
        <v>6</v>
      </c>
    </row>
    <row r="3358" spans="1:2">
      <c r="A3358" t="s">
        <v>1727</v>
      </c>
      <c r="B3358">
        <v>4</v>
      </c>
    </row>
    <row r="3359" spans="1:2">
      <c r="A3359" t="s">
        <v>2225</v>
      </c>
      <c r="B3359">
        <v>2</v>
      </c>
    </row>
    <row r="3360" spans="1:2">
      <c r="A3360" t="s">
        <v>925</v>
      </c>
      <c r="B3360">
        <v>7</v>
      </c>
    </row>
    <row r="3361" spans="1:2">
      <c r="A3361" t="s">
        <v>2228</v>
      </c>
      <c r="B3361">
        <v>8</v>
      </c>
    </row>
    <row r="3362" spans="1:2">
      <c r="A3362" t="s">
        <v>2239</v>
      </c>
      <c r="B3362">
        <v>1</v>
      </c>
    </row>
    <row r="3363" spans="1:2">
      <c r="A3363" t="s">
        <v>2243</v>
      </c>
      <c r="B3363">
        <v>3</v>
      </c>
    </row>
    <row r="3364" spans="1:2">
      <c r="A3364" t="s">
        <v>1467</v>
      </c>
      <c r="B3364">
        <v>1</v>
      </c>
    </row>
    <row r="3365" spans="1:2">
      <c r="A3365" t="s">
        <v>2258</v>
      </c>
      <c r="B3365">
        <v>2</v>
      </c>
    </row>
    <row r="3366" spans="1:2">
      <c r="A3366" t="s">
        <v>2260</v>
      </c>
      <c r="B3366">
        <v>3</v>
      </c>
    </row>
    <row r="3367" spans="1:2">
      <c r="A3367" t="s">
        <v>866</v>
      </c>
      <c r="B3367">
        <v>11</v>
      </c>
    </row>
    <row r="3368" spans="1:2">
      <c r="A3368" t="s">
        <v>899</v>
      </c>
      <c r="B3368">
        <v>7</v>
      </c>
    </row>
    <row r="3369" spans="1:2">
      <c r="A3369" t="s">
        <v>2265</v>
      </c>
      <c r="B3369">
        <v>3</v>
      </c>
    </row>
    <row r="3370" spans="1:2">
      <c r="A3370" t="s">
        <v>270</v>
      </c>
      <c r="B3370">
        <v>2</v>
      </c>
    </row>
    <row r="3371" spans="1:2">
      <c r="A3371" t="s">
        <v>2268</v>
      </c>
      <c r="B3371">
        <v>2</v>
      </c>
    </row>
    <row r="3372" spans="1:2">
      <c r="A3372" t="s">
        <v>2269</v>
      </c>
      <c r="B3372">
        <v>1</v>
      </c>
    </row>
    <row r="3373" spans="1:2">
      <c r="A3373" t="s">
        <v>2279</v>
      </c>
      <c r="B3373">
        <v>1</v>
      </c>
    </row>
    <row r="3374" spans="1:2">
      <c r="A3374" t="s">
        <v>2293</v>
      </c>
      <c r="B3374">
        <v>2</v>
      </c>
    </row>
    <row r="3375" spans="1:2">
      <c r="A3375" t="s">
        <v>2312</v>
      </c>
      <c r="B3375">
        <v>2</v>
      </c>
    </row>
    <row r="3376" spans="1:2">
      <c r="A3376" t="s">
        <v>1405</v>
      </c>
      <c r="B3376">
        <v>4</v>
      </c>
    </row>
    <row r="3377" spans="1:2">
      <c r="A3377" t="s">
        <v>690</v>
      </c>
      <c r="B3377">
        <v>8</v>
      </c>
    </row>
    <row r="3378" spans="1:2">
      <c r="A3378" t="s">
        <v>452</v>
      </c>
      <c r="B3378">
        <v>2</v>
      </c>
    </row>
    <row r="3379" spans="1:2">
      <c r="A3379" t="s">
        <v>2363</v>
      </c>
      <c r="B3379">
        <v>6</v>
      </c>
    </row>
    <row r="3380" spans="1:2">
      <c r="A3380" t="s">
        <v>2369</v>
      </c>
      <c r="B3380">
        <v>2</v>
      </c>
    </row>
    <row r="3381" spans="1:2">
      <c r="A3381" t="s">
        <v>2373</v>
      </c>
      <c r="B3381">
        <v>2</v>
      </c>
    </row>
    <row r="3382" spans="1:2">
      <c r="A3382" t="s">
        <v>420</v>
      </c>
      <c r="B3382">
        <v>2</v>
      </c>
    </row>
    <row r="3383" spans="1:2">
      <c r="A3383" t="s">
        <v>2383</v>
      </c>
      <c r="B3383">
        <v>1</v>
      </c>
    </row>
    <row r="3384" spans="1:2">
      <c r="A3384" t="s">
        <v>1411</v>
      </c>
      <c r="B3384">
        <v>4</v>
      </c>
    </row>
    <row r="3385" spans="1:2">
      <c r="A3385" t="s">
        <v>2401</v>
      </c>
      <c r="B3385">
        <v>1</v>
      </c>
    </row>
    <row r="3386" spans="1:2">
      <c r="A3386" t="s">
        <v>2406</v>
      </c>
      <c r="B3386">
        <v>1</v>
      </c>
    </row>
    <row r="3387" spans="1:2">
      <c r="A3387" t="s">
        <v>2432</v>
      </c>
      <c r="B3387">
        <v>1</v>
      </c>
    </row>
    <row r="3388" spans="1:2">
      <c r="A3388" t="s">
        <v>2438</v>
      </c>
      <c r="B3388">
        <v>2</v>
      </c>
    </row>
    <row r="3389" spans="1:2">
      <c r="A3389" t="s">
        <v>721</v>
      </c>
      <c r="B3389">
        <v>1</v>
      </c>
    </row>
    <row r="3390" spans="1:2">
      <c r="A3390" t="s">
        <v>612</v>
      </c>
      <c r="B3390">
        <v>2</v>
      </c>
    </row>
    <row r="3391" spans="1:2">
      <c r="A3391" t="s">
        <v>1153</v>
      </c>
      <c r="B3391">
        <v>2</v>
      </c>
    </row>
    <row r="3392" spans="1:2">
      <c r="A3392" t="s">
        <v>1521</v>
      </c>
      <c r="B3392">
        <v>1</v>
      </c>
    </row>
    <row r="3393" spans="1:2">
      <c r="A3393" t="s">
        <v>2486</v>
      </c>
      <c r="B3393">
        <v>1</v>
      </c>
    </row>
    <row r="3394" spans="1:2">
      <c r="A3394" t="s">
        <v>1569</v>
      </c>
      <c r="B3394">
        <v>1</v>
      </c>
    </row>
    <row r="3395" spans="1:2">
      <c r="A3395" t="s">
        <v>1143</v>
      </c>
      <c r="B3395">
        <v>2</v>
      </c>
    </row>
    <row r="3396" spans="1:2">
      <c r="A3396" t="s">
        <v>676</v>
      </c>
      <c r="B3396">
        <v>2</v>
      </c>
    </row>
    <row r="3397" spans="1:2">
      <c r="A3397" t="s">
        <v>2511</v>
      </c>
      <c r="B3397">
        <v>1</v>
      </c>
    </row>
    <row r="3398" spans="1:2">
      <c r="A3398" t="s">
        <v>2517</v>
      </c>
      <c r="B3398">
        <v>1</v>
      </c>
    </row>
    <row r="3399" spans="1:2">
      <c r="A3399" t="s">
        <v>2519</v>
      </c>
      <c r="B3399">
        <v>1</v>
      </c>
    </row>
    <row r="3400" spans="1:2">
      <c r="A3400" t="s">
        <v>2524</v>
      </c>
      <c r="B3400">
        <v>1</v>
      </c>
    </row>
    <row r="3401" spans="1:2">
      <c r="A3401" t="s">
        <v>1645</v>
      </c>
      <c r="B3401">
        <v>2</v>
      </c>
    </row>
    <row r="3402" spans="1:2">
      <c r="A3402" t="s">
        <v>2549</v>
      </c>
      <c r="B3402">
        <v>1</v>
      </c>
    </row>
    <row r="3403" spans="1:2">
      <c r="A3403" t="s">
        <v>2550</v>
      </c>
      <c r="B3403">
        <v>1</v>
      </c>
    </row>
    <row r="3404" spans="1:2">
      <c r="A3404" t="s">
        <v>1081</v>
      </c>
      <c r="B3404">
        <v>2</v>
      </c>
    </row>
    <row r="3405" spans="1:2">
      <c r="A3405" t="s">
        <v>2559</v>
      </c>
      <c r="B3405">
        <v>1</v>
      </c>
    </row>
    <row r="3406" spans="1:2">
      <c r="A3406" t="s">
        <v>509</v>
      </c>
      <c r="B3406">
        <v>2</v>
      </c>
    </row>
    <row r="3407" spans="1:2">
      <c r="A3407" t="s">
        <v>2562</v>
      </c>
      <c r="B3407">
        <v>1</v>
      </c>
    </row>
    <row r="3408" spans="1:2">
      <c r="A3408" t="s">
        <v>2566</v>
      </c>
      <c r="B3408">
        <v>1</v>
      </c>
    </row>
    <row r="3409" spans="1:2">
      <c r="A3409" t="s">
        <v>2569</v>
      </c>
      <c r="B3409">
        <v>1</v>
      </c>
    </row>
    <row r="3410" spans="1:2">
      <c r="A3410" t="s">
        <v>1572</v>
      </c>
      <c r="B3410">
        <v>2</v>
      </c>
    </row>
    <row r="3411" spans="1:2">
      <c r="A3411" t="s">
        <v>2589</v>
      </c>
      <c r="B3411">
        <v>1</v>
      </c>
    </row>
    <row r="3412" spans="1:2">
      <c r="A3412" t="s">
        <v>767</v>
      </c>
      <c r="B3412">
        <v>2</v>
      </c>
    </row>
    <row r="3413" spans="1:2">
      <c r="A3413" t="s">
        <v>2595</v>
      </c>
      <c r="B3413">
        <v>1</v>
      </c>
    </row>
    <row r="3414" spans="1:2">
      <c r="A3414" t="s">
        <v>2601</v>
      </c>
      <c r="B3414">
        <v>1</v>
      </c>
    </row>
    <row r="3415" spans="1:2">
      <c r="A3415" t="s">
        <v>842</v>
      </c>
      <c r="B3415">
        <v>1</v>
      </c>
    </row>
    <row r="3416" spans="1:2">
      <c r="A3416" t="s">
        <v>2604</v>
      </c>
      <c r="B3416">
        <v>1</v>
      </c>
    </row>
    <row r="3417" spans="1:2">
      <c r="A3417" t="s">
        <v>398</v>
      </c>
      <c r="B3417">
        <v>1</v>
      </c>
    </row>
    <row r="3418" spans="1:2">
      <c r="A3418" t="s">
        <v>2621</v>
      </c>
      <c r="B3418">
        <v>2</v>
      </c>
    </row>
    <row r="3419" spans="1:2">
      <c r="A3419" t="s">
        <v>2655</v>
      </c>
      <c r="B3419">
        <v>1</v>
      </c>
    </row>
    <row r="3420" spans="1:2">
      <c r="A3420" t="s">
        <v>2668</v>
      </c>
      <c r="B3420">
        <v>1</v>
      </c>
    </row>
    <row r="3421" spans="1:2">
      <c r="A3421" t="s">
        <v>2681</v>
      </c>
      <c r="B3421">
        <v>1</v>
      </c>
    </row>
    <row r="3422" spans="1:2">
      <c r="A3422" t="s">
        <v>2684</v>
      </c>
      <c r="B3422">
        <v>1</v>
      </c>
    </row>
    <row r="3423" spans="1:2">
      <c r="A3423" t="s">
        <v>2688</v>
      </c>
      <c r="B3423">
        <v>1</v>
      </c>
    </row>
    <row r="3424" spans="1:2">
      <c r="A3424" t="s">
        <v>2691</v>
      </c>
      <c r="B3424">
        <v>1</v>
      </c>
    </row>
    <row r="3425" spans="1:2">
      <c r="A3425" t="s">
        <v>2692</v>
      </c>
      <c r="B3425">
        <v>1</v>
      </c>
    </row>
    <row r="3426" spans="1:2">
      <c r="A3426" t="s">
        <v>2694</v>
      </c>
      <c r="B3426">
        <v>1</v>
      </c>
    </row>
    <row r="3427" spans="1:2">
      <c r="A3427" t="s">
        <v>2704</v>
      </c>
      <c r="B3427">
        <v>1</v>
      </c>
    </row>
    <row r="3428" spans="1:2">
      <c r="A3428" t="s">
        <v>2717</v>
      </c>
      <c r="B3428">
        <v>1</v>
      </c>
    </row>
    <row r="3429" spans="1:2">
      <c r="A3429" t="s">
        <v>2720</v>
      </c>
      <c r="B3429">
        <v>1</v>
      </c>
    </row>
    <row r="3430" spans="1:2">
      <c r="A3430" t="s">
        <v>2722</v>
      </c>
      <c r="B3430">
        <v>1</v>
      </c>
    </row>
    <row r="3431" spans="1:2">
      <c r="A3431" t="s">
        <v>2728</v>
      </c>
      <c r="B3431">
        <v>1</v>
      </c>
    </row>
    <row r="3432" spans="1:2">
      <c r="A3432" t="s">
        <v>2741</v>
      </c>
      <c r="B3432">
        <v>1</v>
      </c>
    </row>
    <row r="3433" spans="1:2">
      <c r="A3433" t="s">
        <v>2756</v>
      </c>
      <c r="B3433">
        <v>1</v>
      </c>
    </row>
    <row r="3434" spans="1:2">
      <c r="A3434" t="s">
        <v>2769</v>
      </c>
      <c r="B3434">
        <v>1</v>
      </c>
    </row>
    <row r="3435" spans="1:2">
      <c r="A3435" t="s">
        <v>1112</v>
      </c>
      <c r="B3435">
        <v>1</v>
      </c>
    </row>
    <row r="3436" spans="1:2">
      <c r="A3436" t="s">
        <v>2785</v>
      </c>
      <c r="B3436">
        <v>1</v>
      </c>
    </row>
    <row r="3437" spans="1:2">
      <c r="A3437" t="s">
        <v>2786</v>
      </c>
      <c r="B3437">
        <v>1</v>
      </c>
    </row>
    <row r="3438" spans="1:2">
      <c r="A3438" t="s">
        <v>1663</v>
      </c>
      <c r="B3438">
        <v>4</v>
      </c>
    </row>
    <row r="3439" spans="1:2">
      <c r="A3439" t="s">
        <v>2828</v>
      </c>
      <c r="B3439">
        <v>1</v>
      </c>
    </row>
    <row r="3440" spans="1:2">
      <c r="A3440" t="s">
        <v>2858</v>
      </c>
      <c r="B3440">
        <v>1</v>
      </c>
    </row>
    <row r="3441" spans="1:2">
      <c r="A3441" t="s">
        <v>2862</v>
      </c>
      <c r="B3441">
        <v>1</v>
      </c>
    </row>
    <row r="3442" spans="1:2">
      <c r="A3442" t="s">
        <v>507</v>
      </c>
      <c r="B3442">
        <v>1</v>
      </c>
    </row>
    <row r="3443" spans="1:2">
      <c r="A3443" t="s">
        <v>2877</v>
      </c>
      <c r="B3443">
        <v>1</v>
      </c>
    </row>
    <row r="3444" spans="1:2">
      <c r="A3444" t="s">
        <v>2884</v>
      </c>
      <c r="B3444">
        <v>1</v>
      </c>
    </row>
    <row r="3445" spans="1:2">
      <c r="A3445" t="s">
        <v>1097</v>
      </c>
      <c r="B3445">
        <v>1</v>
      </c>
    </row>
    <row r="3446" spans="1:2">
      <c r="A3446" t="s">
        <v>2894</v>
      </c>
      <c r="B3446">
        <v>1</v>
      </c>
    </row>
    <row r="3447" spans="1:2">
      <c r="A3447" s="2" t="s">
        <v>9</v>
      </c>
      <c r="B3447" s="2">
        <v>1792</v>
      </c>
    </row>
    <row r="3449" spans="1:2">
      <c r="A3449" s="2" t="s">
        <v>54</v>
      </c>
    </row>
    <row r="3450" spans="1:2">
      <c r="A3450" s="2" t="s">
        <v>0</v>
      </c>
      <c r="B3450" s="2" t="s">
        <v>1</v>
      </c>
    </row>
    <row r="3451" spans="1:2">
      <c r="A3451" t="s">
        <v>302</v>
      </c>
      <c r="B3451">
        <v>81</v>
      </c>
    </row>
    <row r="3452" spans="1:2">
      <c r="A3452" t="s">
        <v>176</v>
      </c>
      <c r="B3452">
        <v>146</v>
      </c>
    </row>
    <row r="3453" spans="1:2">
      <c r="A3453" t="s">
        <v>1116</v>
      </c>
      <c r="B3453">
        <v>13</v>
      </c>
    </row>
    <row r="3454" spans="1:2">
      <c r="A3454" t="s">
        <v>576</v>
      </c>
      <c r="B3454">
        <v>24</v>
      </c>
    </row>
    <row r="3455" spans="1:2">
      <c r="A3455" t="s">
        <v>71</v>
      </c>
      <c r="B3455">
        <v>278</v>
      </c>
    </row>
    <row r="3456" spans="1:2">
      <c r="A3456" t="s">
        <v>1512</v>
      </c>
      <c r="B3456">
        <v>3</v>
      </c>
    </row>
    <row r="3457" spans="1:2">
      <c r="A3457" t="s">
        <v>969</v>
      </c>
      <c r="B3457">
        <v>39</v>
      </c>
    </row>
    <row r="3458" spans="1:2">
      <c r="A3458" t="s">
        <v>566</v>
      </c>
      <c r="B3458">
        <v>155</v>
      </c>
    </row>
    <row r="3459" spans="1:2">
      <c r="A3459" t="s">
        <v>371</v>
      </c>
      <c r="B3459">
        <v>100</v>
      </c>
    </row>
    <row r="3460" spans="1:2">
      <c r="A3460" t="s">
        <v>687</v>
      </c>
      <c r="B3460">
        <v>56</v>
      </c>
    </row>
    <row r="3461" spans="1:2">
      <c r="A3461" t="s">
        <v>121</v>
      </c>
      <c r="B3461">
        <v>49</v>
      </c>
    </row>
    <row r="3462" spans="1:2">
      <c r="A3462" t="s">
        <v>637</v>
      </c>
      <c r="B3462">
        <v>3</v>
      </c>
    </row>
    <row r="3463" spans="1:2">
      <c r="A3463" t="s">
        <v>223</v>
      </c>
      <c r="B3463">
        <v>17</v>
      </c>
    </row>
    <row r="3464" spans="1:2">
      <c r="A3464" t="s">
        <v>186</v>
      </c>
      <c r="B3464">
        <v>44</v>
      </c>
    </row>
    <row r="3465" spans="1:2">
      <c r="A3465" t="s">
        <v>876</v>
      </c>
      <c r="B3465">
        <v>30</v>
      </c>
    </row>
    <row r="3466" spans="1:2">
      <c r="A3466" t="s">
        <v>321</v>
      </c>
      <c r="B3466">
        <v>28</v>
      </c>
    </row>
    <row r="3467" spans="1:2">
      <c r="A3467" t="s">
        <v>1616</v>
      </c>
      <c r="B3467">
        <v>3</v>
      </c>
    </row>
    <row r="3468" spans="1:2">
      <c r="A3468" t="s">
        <v>1850</v>
      </c>
      <c r="B3468">
        <v>1</v>
      </c>
    </row>
    <row r="3469" spans="1:2">
      <c r="A3469" t="s">
        <v>309</v>
      </c>
      <c r="B3469">
        <v>13</v>
      </c>
    </row>
    <row r="3470" spans="1:2">
      <c r="A3470" t="s">
        <v>1872</v>
      </c>
      <c r="B3470">
        <v>1</v>
      </c>
    </row>
    <row r="3471" spans="1:2">
      <c r="A3471" t="s">
        <v>1478</v>
      </c>
      <c r="B3471">
        <v>38</v>
      </c>
    </row>
    <row r="3472" spans="1:2">
      <c r="A3472" t="s">
        <v>149</v>
      </c>
      <c r="B3472">
        <v>12</v>
      </c>
    </row>
    <row r="3473" spans="1:2">
      <c r="A3473" t="s">
        <v>610</v>
      </c>
      <c r="B3473">
        <v>5</v>
      </c>
    </row>
    <row r="3474" spans="1:2">
      <c r="A3474" t="s">
        <v>222</v>
      </c>
      <c r="B3474">
        <v>3</v>
      </c>
    </row>
    <row r="3475" spans="1:2">
      <c r="A3475" t="s">
        <v>1905</v>
      </c>
      <c r="B3475">
        <v>3</v>
      </c>
    </row>
    <row r="3476" spans="1:2">
      <c r="A3476" t="s">
        <v>606</v>
      </c>
      <c r="B3476">
        <v>11</v>
      </c>
    </row>
    <row r="3477" spans="1:2">
      <c r="A3477" t="s">
        <v>1063</v>
      </c>
      <c r="B3477">
        <v>7</v>
      </c>
    </row>
    <row r="3478" spans="1:2">
      <c r="A3478" t="s">
        <v>1915</v>
      </c>
      <c r="B3478">
        <v>11</v>
      </c>
    </row>
    <row r="3479" spans="1:2">
      <c r="A3479" t="s">
        <v>1600</v>
      </c>
      <c r="B3479">
        <v>2</v>
      </c>
    </row>
    <row r="3480" spans="1:2">
      <c r="A3480" t="s">
        <v>1932</v>
      </c>
      <c r="B3480">
        <v>1</v>
      </c>
    </row>
    <row r="3481" spans="1:2">
      <c r="A3481" t="s">
        <v>1424</v>
      </c>
      <c r="B3481">
        <v>24</v>
      </c>
    </row>
    <row r="3482" spans="1:2">
      <c r="A3482" t="s">
        <v>916</v>
      </c>
      <c r="B3482">
        <v>31</v>
      </c>
    </row>
    <row r="3483" spans="1:2">
      <c r="A3483" t="s">
        <v>324</v>
      </c>
      <c r="B3483">
        <v>16</v>
      </c>
    </row>
    <row r="3484" spans="1:2">
      <c r="A3484" t="s">
        <v>974</v>
      </c>
      <c r="B3484">
        <v>26</v>
      </c>
    </row>
    <row r="3485" spans="1:2">
      <c r="A3485" t="s">
        <v>1935</v>
      </c>
      <c r="B3485">
        <v>1</v>
      </c>
    </row>
    <row r="3486" spans="1:2">
      <c r="A3486" t="s">
        <v>376</v>
      </c>
      <c r="B3486">
        <v>20</v>
      </c>
    </row>
    <row r="3487" spans="1:2">
      <c r="A3487" t="s">
        <v>1504</v>
      </c>
      <c r="B3487">
        <v>21</v>
      </c>
    </row>
    <row r="3488" spans="1:2">
      <c r="A3488" t="s">
        <v>1940</v>
      </c>
      <c r="B3488">
        <v>1</v>
      </c>
    </row>
    <row r="3489" spans="1:2">
      <c r="A3489" t="s">
        <v>1230</v>
      </c>
      <c r="B3489">
        <v>25</v>
      </c>
    </row>
    <row r="3490" spans="1:2">
      <c r="A3490" t="s">
        <v>1607</v>
      </c>
      <c r="B3490">
        <v>5</v>
      </c>
    </row>
    <row r="3491" spans="1:2">
      <c r="A3491" t="s">
        <v>1166</v>
      </c>
      <c r="B3491">
        <v>28</v>
      </c>
    </row>
    <row r="3492" spans="1:2">
      <c r="A3492" t="s">
        <v>1242</v>
      </c>
      <c r="B3492">
        <v>1</v>
      </c>
    </row>
    <row r="3493" spans="1:2">
      <c r="A3493" t="s">
        <v>1247</v>
      </c>
      <c r="B3493">
        <v>25</v>
      </c>
    </row>
    <row r="3494" spans="1:2">
      <c r="A3494" t="s">
        <v>396</v>
      </c>
      <c r="B3494">
        <v>30</v>
      </c>
    </row>
    <row r="3495" spans="1:2">
      <c r="A3495" t="s">
        <v>941</v>
      </c>
      <c r="B3495">
        <v>30</v>
      </c>
    </row>
    <row r="3496" spans="1:2">
      <c r="A3496" t="s">
        <v>717</v>
      </c>
      <c r="B3496">
        <v>3</v>
      </c>
    </row>
    <row r="3497" spans="1:2">
      <c r="A3497" t="s">
        <v>613</v>
      </c>
      <c r="B3497">
        <v>14</v>
      </c>
    </row>
    <row r="3498" spans="1:2">
      <c r="A3498" t="s">
        <v>1188</v>
      </c>
      <c r="B3498">
        <v>15</v>
      </c>
    </row>
    <row r="3499" spans="1:2">
      <c r="A3499" t="s">
        <v>1287</v>
      </c>
      <c r="B3499">
        <v>7</v>
      </c>
    </row>
    <row r="3500" spans="1:2">
      <c r="A3500" t="s">
        <v>1961</v>
      </c>
      <c r="B3500">
        <v>1</v>
      </c>
    </row>
    <row r="3501" spans="1:2">
      <c r="A3501" t="s">
        <v>1964</v>
      </c>
      <c r="B3501">
        <v>4</v>
      </c>
    </row>
    <row r="3502" spans="1:2">
      <c r="A3502" t="s">
        <v>1182</v>
      </c>
      <c r="B3502">
        <v>1</v>
      </c>
    </row>
    <row r="3503" spans="1:2">
      <c r="A3503" t="s">
        <v>615</v>
      </c>
      <c r="B3503">
        <v>21</v>
      </c>
    </row>
    <row r="3504" spans="1:2">
      <c r="A3504" t="s">
        <v>1979</v>
      </c>
      <c r="B3504">
        <v>2</v>
      </c>
    </row>
    <row r="3505" spans="1:2">
      <c r="A3505" t="s">
        <v>397</v>
      </c>
      <c r="B3505">
        <v>11</v>
      </c>
    </row>
    <row r="3506" spans="1:2">
      <c r="A3506" t="s">
        <v>1501</v>
      </c>
      <c r="B3506">
        <v>8</v>
      </c>
    </row>
    <row r="3507" spans="1:2">
      <c r="A3507" t="s">
        <v>1995</v>
      </c>
      <c r="B3507">
        <v>2</v>
      </c>
    </row>
    <row r="3508" spans="1:2">
      <c r="A3508" t="s">
        <v>1428</v>
      </c>
      <c r="B3508">
        <v>4</v>
      </c>
    </row>
    <row r="3509" spans="1:2">
      <c r="A3509" t="s">
        <v>1626</v>
      </c>
      <c r="B3509">
        <v>4</v>
      </c>
    </row>
    <row r="3510" spans="1:2">
      <c r="A3510" t="s">
        <v>1474</v>
      </c>
      <c r="B3510">
        <v>10</v>
      </c>
    </row>
    <row r="3511" spans="1:2">
      <c r="A3511" t="s">
        <v>301</v>
      </c>
      <c r="B3511">
        <v>6</v>
      </c>
    </row>
    <row r="3512" spans="1:2">
      <c r="A3512" t="s">
        <v>2003</v>
      </c>
      <c r="B3512">
        <v>1</v>
      </c>
    </row>
    <row r="3513" spans="1:2">
      <c r="A3513" t="s">
        <v>2010</v>
      </c>
      <c r="B3513">
        <v>1</v>
      </c>
    </row>
    <row r="3514" spans="1:2">
      <c r="A3514" t="s">
        <v>2011</v>
      </c>
      <c r="B3514">
        <v>1</v>
      </c>
    </row>
    <row r="3515" spans="1:2">
      <c r="A3515" t="s">
        <v>1778</v>
      </c>
      <c r="B3515">
        <v>1</v>
      </c>
    </row>
    <row r="3516" spans="1:2">
      <c r="A3516" t="s">
        <v>1377</v>
      </c>
      <c r="B3516">
        <v>8</v>
      </c>
    </row>
    <row r="3517" spans="1:2">
      <c r="A3517" t="s">
        <v>1397</v>
      </c>
      <c r="B3517">
        <v>2</v>
      </c>
    </row>
    <row r="3518" spans="1:2">
      <c r="A3518" t="s">
        <v>2045</v>
      </c>
      <c r="B3518">
        <v>2</v>
      </c>
    </row>
    <row r="3519" spans="1:2">
      <c r="A3519" t="s">
        <v>383</v>
      </c>
      <c r="B3519">
        <v>12</v>
      </c>
    </row>
    <row r="3520" spans="1:2">
      <c r="A3520" t="s">
        <v>622</v>
      </c>
      <c r="B3520">
        <v>5</v>
      </c>
    </row>
    <row r="3521" spans="1:2">
      <c r="A3521" t="s">
        <v>403</v>
      </c>
      <c r="B3521">
        <v>2</v>
      </c>
    </row>
    <row r="3522" spans="1:2">
      <c r="A3522" t="s">
        <v>2083</v>
      </c>
      <c r="B3522">
        <v>1</v>
      </c>
    </row>
    <row r="3523" spans="1:2">
      <c r="A3523" t="s">
        <v>1286</v>
      </c>
      <c r="B3523">
        <v>4</v>
      </c>
    </row>
    <row r="3524" spans="1:2">
      <c r="A3524" t="s">
        <v>2091</v>
      </c>
      <c r="B3524">
        <v>3</v>
      </c>
    </row>
    <row r="3525" spans="1:2">
      <c r="A3525" t="s">
        <v>446</v>
      </c>
      <c r="B3525">
        <v>1</v>
      </c>
    </row>
    <row r="3526" spans="1:2">
      <c r="A3526" t="s">
        <v>2095</v>
      </c>
      <c r="B3526">
        <v>3</v>
      </c>
    </row>
    <row r="3527" spans="1:2">
      <c r="A3527" t="s">
        <v>442</v>
      </c>
      <c r="B3527">
        <v>6</v>
      </c>
    </row>
    <row r="3528" spans="1:2">
      <c r="A3528" t="s">
        <v>949</v>
      </c>
      <c r="B3528">
        <v>3</v>
      </c>
    </row>
    <row r="3529" spans="1:2">
      <c r="A3529" t="s">
        <v>2122</v>
      </c>
      <c r="B3529">
        <v>3</v>
      </c>
    </row>
    <row r="3530" spans="1:2">
      <c r="A3530" t="s">
        <v>2142</v>
      </c>
      <c r="B3530">
        <v>4</v>
      </c>
    </row>
    <row r="3531" spans="1:2">
      <c r="A3531" t="s">
        <v>2146</v>
      </c>
      <c r="B3531">
        <v>3</v>
      </c>
    </row>
    <row r="3532" spans="1:2">
      <c r="A3532" t="s">
        <v>2149</v>
      </c>
      <c r="B3532">
        <v>3</v>
      </c>
    </row>
    <row r="3533" spans="1:2">
      <c r="A3533" t="s">
        <v>816</v>
      </c>
      <c r="B3533">
        <v>3</v>
      </c>
    </row>
    <row r="3534" spans="1:2">
      <c r="A3534" t="s">
        <v>2181</v>
      </c>
      <c r="B3534">
        <v>1</v>
      </c>
    </row>
    <row r="3535" spans="1:2">
      <c r="A3535" t="s">
        <v>2189</v>
      </c>
      <c r="B3535">
        <v>1</v>
      </c>
    </row>
    <row r="3536" spans="1:2">
      <c r="A3536" t="s">
        <v>2194</v>
      </c>
      <c r="B3536">
        <v>2</v>
      </c>
    </row>
    <row r="3537" spans="1:2">
      <c r="A3537" t="s">
        <v>2200</v>
      </c>
      <c r="B3537">
        <v>1</v>
      </c>
    </row>
    <row r="3538" spans="1:2">
      <c r="A3538" t="s">
        <v>1560</v>
      </c>
      <c r="B3538">
        <v>4</v>
      </c>
    </row>
    <row r="3539" spans="1:2">
      <c r="A3539" t="s">
        <v>261</v>
      </c>
      <c r="B3539">
        <v>4</v>
      </c>
    </row>
    <row r="3540" spans="1:2">
      <c r="A3540" t="s">
        <v>2206</v>
      </c>
      <c r="B3540">
        <v>1</v>
      </c>
    </row>
    <row r="3541" spans="1:2">
      <c r="A3541" t="s">
        <v>1473</v>
      </c>
      <c r="B3541">
        <v>5</v>
      </c>
    </row>
    <row r="3542" spans="1:2">
      <c r="A3542" t="s">
        <v>2238</v>
      </c>
      <c r="B3542">
        <v>2</v>
      </c>
    </row>
    <row r="3543" spans="1:2">
      <c r="A3543" t="s">
        <v>1088</v>
      </c>
      <c r="B3543">
        <v>3</v>
      </c>
    </row>
    <row r="3544" spans="1:2">
      <c r="A3544" t="s">
        <v>660</v>
      </c>
      <c r="B3544">
        <v>3</v>
      </c>
    </row>
    <row r="3545" spans="1:2">
      <c r="A3545" t="s">
        <v>2283</v>
      </c>
      <c r="B3545">
        <v>1</v>
      </c>
    </row>
    <row r="3546" spans="1:2">
      <c r="A3546" t="s">
        <v>2307</v>
      </c>
      <c r="B3546">
        <v>2</v>
      </c>
    </row>
    <row r="3547" spans="1:2">
      <c r="A3547" t="s">
        <v>2308</v>
      </c>
      <c r="B3547">
        <v>2</v>
      </c>
    </row>
    <row r="3548" spans="1:2">
      <c r="A3548" t="s">
        <v>2309</v>
      </c>
      <c r="B3548">
        <v>1</v>
      </c>
    </row>
    <row r="3549" spans="1:2">
      <c r="A3549" t="s">
        <v>2313</v>
      </c>
      <c r="B3549">
        <v>1</v>
      </c>
    </row>
    <row r="3550" spans="1:2">
      <c r="A3550" t="s">
        <v>2320</v>
      </c>
      <c r="B3550">
        <v>8</v>
      </c>
    </row>
    <row r="3551" spans="1:2">
      <c r="A3551" t="s">
        <v>2323</v>
      </c>
      <c r="B3551">
        <v>1</v>
      </c>
    </row>
    <row r="3552" spans="1:2">
      <c r="A3552" t="s">
        <v>2332</v>
      </c>
      <c r="B3552">
        <v>1</v>
      </c>
    </row>
    <row r="3553" spans="1:2">
      <c r="A3553" t="s">
        <v>2336</v>
      </c>
      <c r="B3553">
        <v>1</v>
      </c>
    </row>
    <row r="3554" spans="1:2">
      <c r="A3554" t="s">
        <v>1337</v>
      </c>
      <c r="B3554">
        <v>1</v>
      </c>
    </row>
    <row r="3555" spans="1:2">
      <c r="A3555" t="s">
        <v>2355</v>
      </c>
      <c r="B3555">
        <v>1</v>
      </c>
    </row>
    <row r="3556" spans="1:2">
      <c r="A3556" t="s">
        <v>2368</v>
      </c>
      <c r="B3556">
        <v>5</v>
      </c>
    </row>
    <row r="3557" spans="1:2">
      <c r="A3557" t="s">
        <v>1669</v>
      </c>
      <c r="B3557">
        <v>2</v>
      </c>
    </row>
    <row r="3558" spans="1:2">
      <c r="A3558" t="s">
        <v>2384</v>
      </c>
      <c r="B3558">
        <v>2</v>
      </c>
    </row>
    <row r="3559" spans="1:2">
      <c r="A3559" t="s">
        <v>2386</v>
      </c>
      <c r="B3559">
        <v>1</v>
      </c>
    </row>
    <row r="3560" spans="1:2">
      <c r="A3560" t="s">
        <v>1566</v>
      </c>
      <c r="B3560">
        <v>1</v>
      </c>
    </row>
    <row r="3561" spans="1:2">
      <c r="A3561" t="s">
        <v>156</v>
      </c>
      <c r="B3561">
        <v>2</v>
      </c>
    </row>
    <row r="3562" spans="1:2">
      <c r="A3562" t="s">
        <v>1418</v>
      </c>
      <c r="B3562">
        <v>7</v>
      </c>
    </row>
    <row r="3563" spans="1:2">
      <c r="A3563" t="s">
        <v>1207</v>
      </c>
      <c r="B3563">
        <v>1</v>
      </c>
    </row>
    <row r="3564" spans="1:2">
      <c r="A3564" t="s">
        <v>2415</v>
      </c>
      <c r="B3564">
        <v>1</v>
      </c>
    </row>
    <row r="3565" spans="1:2">
      <c r="A3565" t="s">
        <v>2422</v>
      </c>
      <c r="B3565">
        <v>1</v>
      </c>
    </row>
    <row r="3566" spans="1:2">
      <c r="A3566" t="s">
        <v>2431</v>
      </c>
      <c r="B3566">
        <v>1</v>
      </c>
    </row>
    <row r="3567" spans="1:2">
      <c r="A3567" t="s">
        <v>2434</v>
      </c>
      <c r="B3567">
        <v>1</v>
      </c>
    </row>
    <row r="3568" spans="1:2">
      <c r="A3568" t="s">
        <v>1564</v>
      </c>
      <c r="B3568">
        <v>2</v>
      </c>
    </row>
    <row r="3569" spans="1:2">
      <c r="A3569" t="s">
        <v>1180</v>
      </c>
      <c r="B3569">
        <v>1</v>
      </c>
    </row>
    <row r="3570" spans="1:2">
      <c r="A3570" t="s">
        <v>2466</v>
      </c>
      <c r="B3570">
        <v>3</v>
      </c>
    </row>
    <row r="3571" spans="1:2">
      <c r="A3571" t="s">
        <v>1351</v>
      </c>
      <c r="B3571">
        <v>3</v>
      </c>
    </row>
    <row r="3572" spans="1:2">
      <c r="A3572" t="s">
        <v>2479</v>
      </c>
      <c r="B3572">
        <v>1</v>
      </c>
    </row>
    <row r="3573" spans="1:2">
      <c r="A3573" t="s">
        <v>2496</v>
      </c>
      <c r="B3573">
        <v>1</v>
      </c>
    </row>
    <row r="3574" spans="1:2">
      <c r="A3574" t="s">
        <v>2498</v>
      </c>
      <c r="B3574">
        <v>1</v>
      </c>
    </row>
    <row r="3575" spans="1:2">
      <c r="A3575" t="s">
        <v>182</v>
      </c>
      <c r="B3575">
        <v>1</v>
      </c>
    </row>
    <row r="3576" spans="1:2">
      <c r="A3576" t="s">
        <v>882</v>
      </c>
      <c r="B3576">
        <v>4</v>
      </c>
    </row>
    <row r="3577" spans="1:2">
      <c r="A3577" t="s">
        <v>1387</v>
      </c>
      <c r="B3577">
        <v>2</v>
      </c>
    </row>
    <row r="3578" spans="1:2">
      <c r="A3578" t="s">
        <v>2544</v>
      </c>
      <c r="B3578">
        <v>3</v>
      </c>
    </row>
    <row r="3579" spans="1:2">
      <c r="A3579" t="s">
        <v>2560</v>
      </c>
      <c r="B3579">
        <v>2</v>
      </c>
    </row>
    <row r="3580" spans="1:2">
      <c r="A3580" t="s">
        <v>2567</v>
      </c>
      <c r="B3580">
        <v>1</v>
      </c>
    </row>
    <row r="3581" spans="1:2">
      <c r="A3581" t="s">
        <v>2572</v>
      </c>
      <c r="B3581">
        <v>5</v>
      </c>
    </row>
    <row r="3582" spans="1:2">
      <c r="A3582" t="s">
        <v>44</v>
      </c>
      <c r="B3582">
        <v>1</v>
      </c>
    </row>
    <row r="3583" spans="1:2">
      <c r="A3583" t="s">
        <v>2577</v>
      </c>
      <c r="B3583">
        <v>1</v>
      </c>
    </row>
    <row r="3584" spans="1:2">
      <c r="A3584" t="s">
        <v>1796</v>
      </c>
      <c r="B3584">
        <v>1</v>
      </c>
    </row>
    <row r="3585" spans="1:2">
      <c r="A3585" t="s">
        <v>1285</v>
      </c>
      <c r="B3585">
        <v>1</v>
      </c>
    </row>
    <row r="3586" spans="1:2">
      <c r="A3586" t="s">
        <v>2585</v>
      </c>
      <c r="B3586">
        <v>1</v>
      </c>
    </row>
    <row r="3587" spans="1:2">
      <c r="A3587" t="s">
        <v>2593</v>
      </c>
      <c r="B3587">
        <v>2</v>
      </c>
    </row>
    <row r="3588" spans="1:2">
      <c r="A3588" t="s">
        <v>626</v>
      </c>
      <c r="B3588">
        <v>1</v>
      </c>
    </row>
    <row r="3589" spans="1:2">
      <c r="A3589" t="s">
        <v>2620</v>
      </c>
      <c r="B3589">
        <v>1</v>
      </c>
    </row>
    <row r="3590" spans="1:2">
      <c r="A3590" t="s">
        <v>2632</v>
      </c>
      <c r="B3590">
        <v>1</v>
      </c>
    </row>
    <row r="3591" spans="1:2">
      <c r="A3591" t="s">
        <v>849</v>
      </c>
      <c r="B3591">
        <v>4</v>
      </c>
    </row>
    <row r="3592" spans="1:2">
      <c r="A3592" t="s">
        <v>2646</v>
      </c>
      <c r="B3592">
        <v>1</v>
      </c>
    </row>
    <row r="3593" spans="1:2">
      <c r="A3593" t="s">
        <v>730</v>
      </c>
      <c r="B3593">
        <v>1</v>
      </c>
    </row>
    <row r="3594" spans="1:2">
      <c r="A3594" t="s">
        <v>1090</v>
      </c>
      <c r="B3594">
        <v>1</v>
      </c>
    </row>
    <row r="3595" spans="1:2">
      <c r="A3595" t="s">
        <v>2669</v>
      </c>
      <c r="B3595">
        <v>1</v>
      </c>
    </row>
    <row r="3596" spans="1:2">
      <c r="A3596" t="s">
        <v>2673</v>
      </c>
      <c r="B3596">
        <v>1</v>
      </c>
    </row>
    <row r="3597" spans="1:2">
      <c r="A3597" t="s">
        <v>2676</v>
      </c>
      <c r="B3597">
        <v>1</v>
      </c>
    </row>
    <row r="3598" spans="1:2">
      <c r="A3598" t="s">
        <v>2685</v>
      </c>
      <c r="B3598">
        <v>1</v>
      </c>
    </row>
    <row r="3599" spans="1:2">
      <c r="A3599" t="s">
        <v>1743</v>
      </c>
      <c r="B3599">
        <v>1</v>
      </c>
    </row>
    <row r="3600" spans="1:2">
      <c r="A3600" t="s">
        <v>1015</v>
      </c>
      <c r="B3600">
        <v>1</v>
      </c>
    </row>
    <row r="3601" spans="1:2">
      <c r="A3601" t="s">
        <v>2705</v>
      </c>
      <c r="B3601">
        <v>1</v>
      </c>
    </row>
    <row r="3602" spans="1:2">
      <c r="A3602" t="s">
        <v>2750</v>
      </c>
      <c r="B3602">
        <v>1</v>
      </c>
    </row>
    <row r="3603" spans="1:2">
      <c r="A3603" t="s">
        <v>2752</v>
      </c>
      <c r="B3603">
        <v>2</v>
      </c>
    </row>
    <row r="3604" spans="1:2">
      <c r="A3604" t="s">
        <v>2755</v>
      </c>
      <c r="B3604">
        <v>1</v>
      </c>
    </row>
    <row r="3605" spans="1:2">
      <c r="A3605" t="s">
        <v>2767</v>
      </c>
      <c r="B3605">
        <v>1</v>
      </c>
    </row>
    <row r="3606" spans="1:2">
      <c r="A3606" t="s">
        <v>2783</v>
      </c>
      <c r="B3606">
        <v>1</v>
      </c>
    </row>
    <row r="3607" spans="1:2">
      <c r="A3607" t="s">
        <v>2787</v>
      </c>
      <c r="B3607">
        <v>1</v>
      </c>
    </row>
    <row r="3608" spans="1:2">
      <c r="A3608" t="s">
        <v>2788</v>
      </c>
      <c r="B3608">
        <v>1</v>
      </c>
    </row>
    <row r="3609" spans="1:2">
      <c r="A3609" t="s">
        <v>1054</v>
      </c>
      <c r="B3609">
        <v>1</v>
      </c>
    </row>
    <row r="3610" spans="1:2">
      <c r="A3610" t="s">
        <v>2850</v>
      </c>
      <c r="B3610">
        <v>1</v>
      </c>
    </row>
    <row r="3611" spans="1:2">
      <c r="A3611" t="s">
        <v>1278</v>
      </c>
      <c r="B3611">
        <v>1</v>
      </c>
    </row>
    <row r="3612" spans="1:2">
      <c r="A3612" t="s">
        <v>2902</v>
      </c>
      <c r="B3612">
        <v>1</v>
      </c>
    </row>
    <row r="3613" spans="1:2">
      <c r="A3613" t="s">
        <v>2909</v>
      </c>
      <c r="B3613">
        <v>1</v>
      </c>
    </row>
    <row r="3614" spans="1:2">
      <c r="A3614" t="s">
        <v>2913</v>
      </c>
      <c r="B3614">
        <v>1</v>
      </c>
    </row>
    <row r="3615" spans="1:2">
      <c r="A3615" t="s">
        <v>2914</v>
      </c>
      <c r="B3615">
        <v>1</v>
      </c>
    </row>
    <row r="3616" spans="1:2">
      <c r="A3616" t="s">
        <v>2917</v>
      </c>
      <c r="B3616">
        <v>1</v>
      </c>
    </row>
    <row r="3617" spans="1:2">
      <c r="A3617" t="s">
        <v>2927</v>
      </c>
      <c r="B3617">
        <v>1</v>
      </c>
    </row>
    <row r="3618" spans="1:2">
      <c r="A3618" s="2" t="s">
        <v>9</v>
      </c>
      <c r="B3618" s="2">
        <v>1789</v>
      </c>
    </row>
    <row r="3620" spans="1:2">
      <c r="A3620" s="2" t="s">
        <v>2931</v>
      </c>
    </row>
    <row r="3621" spans="1:2">
      <c r="A3621" s="2" t="s">
        <v>0</v>
      </c>
      <c r="B3621" s="2" t="s">
        <v>1</v>
      </c>
    </row>
    <row r="3622" spans="1:2">
      <c r="A3622" t="s">
        <v>56</v>
      </c>
      <c r="B3622">
        <v>59</v>
      </c>
    </row>
    <row r="3623" spans="1:2">
      <c r="A3623" t="s">
        <v>1816</v>
      </c>
      <c r="B3623">
        <v>1</v>
      </c>
    </row>
    <row r="3624" spans="1:2">
      <c r="A3624" t="s">
        <v>1082</v>
      </c>
      <c r="B3624">
        <v>6</v>
      </c>
    </row>
    <row r="3625" spans="1:2">
      <c r="A3625" t="s">
        <v>17</v>
      </c>
      <c r="B3625">
        <v>70</v>
      </c>
    </row>
    <row r="3626" spans="1:2">
      <c r="A3626" t="s">
        <v>212</v>
      </c>
      <c r="B3626">
        <v>178</v>
      </c>
    </row>
    <row r="3627" spans="1:2">
      <c r="A3627" t="s">
        <v>306</v>
      </c>
      <c r="B3627">
        <v>18</v>
      </c>
    </row>
    <row r="3628" spans="1:2">
      <c r="A3628" t="s">
        <v>294</v>
      </c>
      <c r="B3628">
        <v>107</v>
      </c>
    </row>
    <row r="3629" spans="1:2">
      <c r="A3629" t="s">
        <v>1824</v>
      </c>
      <c r="B3629">
        <v>1</v>
      </c>
    </row>
    <row r="3630" spans="1:2">
      <c r="A3630" t="s">
        <v>355</v>
      </c>
      <c r="B3630">
        <v>18</v>
      </c>
    </row>
    <row r="3631" spans="1:2">
      <c r="A3631" t="s">
        <v>1832</v>
      </c>
      <c r="B3631">
        <v>15</v>
      </c>
    </row>
    <row r="3632" spans="1:2">
      <c r="A3632" t="s">
        <v>1836</v>
      </c>
      <c r="B3632">
        <v>18</v>
      </c>
    </row>
    <row r="3633" spans="1:2">
      <c r="A3633" t="s">
        <v>177</v>
      </c>
      <c r="B3633">
        <v>126</v>
      </c>
    </row>
    <row r="3634" spans="1:2">
      <c r="A3634" t="s">
        <v>1222</v>
      </c>
      <c r="B3634">
        <v>22</v>
      </c>
    </row>
    <row r="3635" spans="1:2">
      <c r="A3635" t="s">
        <v>46</v>
      </c>
      <c r="B3635">
        <v>38</v>
      </c>
    </row>
    <row r="3636" spans="1:2">
      <c r="A3636" t="s">
        <v>583</v>
      </c>
      <c r="B3636">
        <v>104</v>
      </c>
    </row>
    <row r="3637" spans="1:2">
      <c r="A3637" t="s">
        <v>731</v>
      </c>
      <c r="B3637">
        <v>7</v>
      </c>
    </row>
    <row r="3638" spans="1:2">
      <c r="A3638" t="s">
        <v>436</v>
      </c>
      <c r="B3638">
        <v>16</v>
      </c>
    </row>
    <row r="3639" spans="1:2">
      <c r="A3639" t="s">
        <v>477</v>
      </c>
      <c r="B3639">
        <v>25</v>
      </c>
    </row>
    <row r="3640" spans="1:2">
      <c r="A3640" t="s">
        <v>336</v>
      </c>
      <c r="B3640">
        <v>55</v>
      </c>
    </row>
    <row r="3641" spans="1:2">
      <c r="A3641" t="s">
        <v>1855</v>
      </c>
      <c r="B3641">
        <v>3</v>
      </c>
    </row>
    <row r="3642" spans="1:2">
      <c r="A3642" t="s">
        <v>708</v>
      </c>
      <c r="B3642">
        <v>58</v>
      </c>
    </row>
    <row r="3643" spans="1:2">
      <c r="A3643" t="s">
        <v>1860</v>
      </c>
      <c r="B3643">
        <v>6</v>
      </c>
    </row>
    <row r="3644" spans="1:2">
      <c r="A3644" t="s">
        <v>1874</v>
      </c>
      <c r="B3644">
        <v>1</v>
      </c>
    </row>
    <row r="3645" spans="1:2">
      <c r="A3645" t="s">
        <v>1893</v>
      </c>
      <c r="B3645">
        <v>1</v>
      </c>
    </row>
    <row r="3646" spans="1:2">
      <c r="A3646" t="s">
        <v>1895</v>
      </c>
      <c r="B3646">
        <v>1</v>
      </c>
    </row>
    <row r="3647" spans="1:2">
      <c r="A3647" t="s">
        <v>1908</v>
      </c>
      <c r="B3647">
        <v>5</v>
      </c>
    </row>
    <row r="3648" spans="1:2">
      <c r="A3648" t="s">
        <v>1911</v>
      </c>
      <c r="B3648">
        <v>3</v>
      </c>
    </row>
    <row r="3649" spans="1:2">
      <c r="A3649" t="s">
        <v>1917</v>
      </c>
      <c r="B3649">
        <v>12</v>
      </c>
    </row>
    <row r="3650" spans="1:2">
      <c r="A3650" t="s">
        <v>322</v>
      </c>
      <c r="B3650">
        <v>9</v>
      </c>
    </row>
    <row r="3651" spans="1:2">
      <c r="A3651" t="s">
        <v>1923</v>
      </c>
      <c r="B3651">
        <v>3</v>
      </c>
    </row>
    <row r="3652" spans="1:2">
      <c r="A3652" t="s">
        <v>1926</v>
      </c>
      <c r="B3652">
        <v>5</v>
      </c>
    </row>
    <row r="3653" spans="1:2">
      <c r="A3653" t="s">
        <v>573</v>
      </c>
      <c r="B3653">
        <v>9</v>
      </c>
    </row>
    <row r="3654" spans="1:2">
      <c r="A3654" t="s">
        <v>1481</v>
      </c>
      <c r="B3654">
        <v>6</v>
      </c>
    </row>
    <row r="3655" spans="1:2">
      <c r="A3655" t="s">
        <v>1482</v>
      </c>
      <c r="B3655">
        <v>6</v>
      </c>
    </row>
    <row r="3656" spans="1:2">
      <c r="A3656" t="s">
        <v>1731</v>
      </c>
      <c r="B3656">
        <v>7</v>
      </c>
    </row>
    <row r="3657" spans="1:2">
      <c r="A3657" t="s">
        <v>432</v>
      </c>
      <c r="B3657">
        <v>28</v>
      </c>
    </row>
    <row r="3658" spans="1:2">
      <c r="A3658" t="s">
        <v>1281</v>
      </c>
      <c r="B3658">
        <v>2</v>
      </c>
    </row>
    <row r="3659" spans="1:2">
      <c r="A3659" t="s">
        <v>920</v>
      </c>
      <c r="B3659">
        <v>33</v>
      </c>
    </row>
    <row r="3660" spans="1:2">
      <c r="A3660" t="s">
        <v>650</v>
      </c>
      <c r="B3660">
        <v>7</v>
      </c>
    </row>
    <row r="3661" spans="1:2">
      <c r="A3661" t="s">
        <v>1946</v>
      </c>
      <c r="B3661">
        <v>23</v>
      </c>
    </row>
    <row r="3662" spans="1:2">
      <c r="A3662" t="s">
        <v>1948</v>
      </c>
      <c r="B3662">
        <v>23</v>
      </c>
    </row>
    <row r="3663" spans="1:2">
      <c r="A3663" t="s">
        <v>264</v>
      </c>
      <c r="B3663">
        <v>18</v>
      </c>
    </row>
    <row r="3664" spans="1:2">
      <c r="A3664" t="s">
        <v>1960</v>
      </c>
      <c r="B3664">
        <v>3</v>
      </c>
    </row>
    <row r="3665" spans="1:2">
      <c r="A3665" t="s">
        <v>1963</v>
      </c>
      <c r="B3665">
        <v>1</v>
      </c>
    </row>
    <row r="3666" spans="1:2">
      <c r="A3666" t="s">
        <v>1972</v>
      </c>
      <c r="B3666">
        <v>1</v>
      </c>
    </row>
    <row r="3667" spans="1:2">
      <c r="A3667" t="s">
        <v>1978</v>
      </c>
      <c r="B3667">
        <v>2</v>
      </c>
    </row>
    <row r="3668" spans="1:2">
      <c r="A3668" t="s">
        <v>469</v>
      </c>
      <c r="B3668">
        <v>3</v>
      </c>
    </row>
    <row r="3669" spans="1:2">
      <c r="A3669" t="s">
        <v>394</v>
      </c>
      <c r="B3669">
        <v>19</v>
      </c>
    </row>
    <row r="3670" spans="1:2">
      <c r="A3670" t="s">
        <v>479</v>
      </c>
      <c r="B3670">
        <v>5</v>
      </c>
    </row>
    <row r="3671" spans="1:2">
      <c r="A3671" t="s">
        <v>1983</v>
      </c>
      <c r="B3671">
        <v>1</v>
      </c>
    </row>
    <row r="3672" spans="1:2">
      <c r="A3672" t="s">
        <v>805</v>
      </c>
      <c r="B3672">
        <v>16</v>
      </c>
    </row>
    <row r="3673" spans="1:2">
      <c r="A3673" t="s">
        <v>117</v>
      </c>
      <c r="B3673">
        <v>26</v>
      </c>
    </row>
    <row r="3674" spans="1:2">
      <c r="A3674" t="s">
        <v>106</v>
      </c>
      <c r="B3674">
        <v>44</v>
      </c>
    </row>
    <row r="3675" spans="1:2">
      <c r="A3675" t="s">
        <v>936</v>
      </c>
      <c r="B3675">
        <v>2</v>
      </c>
    </row>
    <row r="3676" spans="1:2">
      <c r="A3676" t="s">
        <v>1205</v>
      </c>
      <c r="B3676">
        <v>13</v>
      </c>
    </row>
    <row r="3677" spans="1:2">
      <c r="A3677" t="s">
        <v>1160</v>
      </c>
      <c r="B3677">
        <v>2</v>
      </c>
    </row>
    <row r="3678" spans="1:2">
      <c r="A3678" t="s">
        <v>317</v>
      </c>
      <c r="B3678">
        <v>2</v>
      </c>
    </row>
    <row r="3679" spans="1:2">
      <c r="A3679" t="s">
        <v>2017</v>
      </c>
      <c r="B3679">
        <v>1</v>
      </c>
    </row>
    <row r="3680" spans="1:2">
      <c r="A3680" t="s">
        <v>1385</v>
      </c>
      <c r="B3680">
        <v>1</v>
      </c>
    </row>
    <row r="3681" spans="1:2">
      <c r="A3681" t="s">
        <v>2023</v>
      </c>
      <c r="B3681">
        <v>2</v>
      </c>
    </row>
    <row r="3682" spans="1:2">
      <c r="A3682" t="s">
        <v>603</v>
      </c>
      <c r="B3682">
        <v>11</v>
      </c>
    </row>
    <row r="3683" spans="1:2">
      <c r="A3683" t="s">
        <v>991</v>
      </c>
      <c r="B3683">
        <v>5</v>
      </c>
    </row>
    <row r="3684" spans="1:2">
      <c r="A3684" t="s">
        <v>1649</v>
      </c>
      <c r="B3684">
        <v>14</v>
      </c>
    </row>
    <row r="3685" spans="1:2">
      <c r="A3685" t="s">
        <v>1274</v>
      </c>
      <c r="B3685">
        <v>15</v>
      </c>
    </row>
    <row r="3686" spans="1:2">
      <c r="A3686" t="s">
        <v>966</v>
      </c>
      <c r="B3686">
        <v>1</v>
      </c>
    </row>
    <row r="3687" spans="1:2">
      <c r="A3687" t="s">
        <v>1356</v>
      </c>
      <c r="B3687">
        <v>1</v>
      </c>
    </row>
    <row r="3688" spans="1:2">
      <c r="A3688" t="s">
        <v>1248</v>
      </c>
      <c r="B3688">
        <v>4</v>
      </c>
    </row>
    <row r="3689" spans="1:2">
      <c r="A3689" t="s">
        <v>414</v>
      </c>
      <c r="B3689">
        <v>8</v>
      </c>
    </row>
    <row r="3690" spans="1:2">
      <c r="A3690" t="s">
        <v>58</v>
      </c>
      <c r="B3690">
        <v>15</v>
      </c>
    </row>
    <row r="3691" spans="1:2">
      <c r="A3691" t="s">
        <v>287</v>
      </c>
      <c r="B3691">
        <v>2</v>
      </c>
    </row>
    <row r="3692" spans="1:2">
      <c r="A3692" t="s">
        <v>2053</v>
      </c>
      <c r="B3692">
        <v>7</v>
      </c>
    </row>
    <row r="3693" spans="1:2">
      <c r="A3693" t="s">
        <v>1273</v>
      </c>
      <c r="B3693">
        <v>4</v>
      </c>
    </row>
    <row r="3694" spans="1:2">
      <c r="A3694" t="s">
        <v>2064</v>
      </c>
      <c r="B3694">
        <v>1</v>
      </c>
    </row>
    <row r="3695" spans="1:2">
      <c r="A3695" t="s">
        <v>2069</v>
      </c>
      <c r="B3695">
        <v>1</v>
      </c>
    </row>
    <row r="3696" spans="1:2">
      <c r="A3696" t="s">
        <v>2076</v>
      </c>
      <c r="B3696">
        <v>2</v>
      </c>
    </row>
    <row r="3697" spans="1:2">
      <c r="A3697" t="s">
        <v>350</v>
      </c>
      <c r="B3697">
        <v>3</v>
      </c>
    </row>
    <row r="3698" spans="1:2">
      <c r="A3698" t="s">
        <v>2077</v>
      </c>
      <c r="B3698">
        <v>4</v>
      </c>
    </row>
    <row r="3699" spans="1:2">
      <c r="A3699" t="s">
        <v>2079</v>
      </c>
      <c r="B3699">
        <v>3</v>
      </c>
    </row>
    <row r="3700" spans="1:2">
      <c r="A3700" t="s">
        <v>266</v>
      </c>
      <c r="B3700">
        <v>7</v>
      </c>
    </row>
    <row r="3701" spans="1:2">
      <c r="A3701" t="s">
        <v>2092</v>
      </c>
      <c r="B3701">
        <v>1</v>
      </c>
    </row>
    <row r="3702" spans="1:2">
      <c r="A3702" t="s">
        <v>2096</v>
      </c>
      <c r="B3702">
        <v>3</v>
      </c>
    </row>
    <row r="3703" spans="1:2">
      <c r="A3703" t="s">
        <v>1003</v>
      </c>
      <c r="B3703">
        <v>9</v>
      </c>
    </row>
    <row r="3704" spans="1:2">
      <c r="A3704" t="s">
        <v>448</v>
      </c>
      <c r="B3704">
        <v>2</v>
      </c>
    </row>
    <row r="3705" spans="1:2">
      <c r="A3705" t="s">
        <v>312</v>
      </c>
      <c r="B3705">
        <v>5</v>
      </c>
    </row>
    <row r="3706" spans="1:2">
      <c r="A3706" t="s">
        <v>2111</v>
      </c>
      <c r="B3706">
        <v>1</v>
      </c>
    </row>
    <row r="3707" spans="1:2">
      <c r="A3707" t="s">
        <v>2112</v>
      </c>
      <c r="B3707">
        <v>1</v>
      </c>
    </row>
    <row r="3708" spans="1:2">
      <c r="A3708" t="s">
        <v>753</v>
      </c>
      <c r="B3708">
        <v>7</v>
      </c>
    </row>
    <row r="3709" spans="1:2">
      <c r="A3709" t="s">
        <v>1253</v>
      </c>
      <c r="B3709">
        <v>16</v>
      </c>
    </row>
    <row r="3710" spans="1:2">
      <c r="A3710" t="s">
        <v>2127</v>
      </c>
      <c r="B3710">
        <v>6</v>
      </c>
    </row>
    <row r="3711" spans="1:2">
      <c r="A3711" t="s">
        <v>1225</v>
      </c>
      <c r="B3711">
        <v>2</v>
      </c>
    </row>
    <row r="3712" spans="1:2">
      <c r="A3712" t="s">
        <v>343</v>
      </c>
      <c r="B3712">
        <v>7</v>
      </c>
    </row>
    <row r="3713" spans="1:2">
      <c r="A3713" t="s">
        <v>2165</v>
      </c>
      <c r="B3713">
        <v>2</v>
      </c>
    </row>
    <row r="3714" spans="1:2">
      <c r="A3714" t="s">
        <v>1124</v>
      </c>
      <c r="B3714">
        <v>7</v>
      </c>
    </row>
    <row r="3715" spans="1:2">
      <c r="A3715" t="s">
        <v>791</v>
      </c>
      <c r="B3715">
        <v>3</v>
      </c>
    </row>
    <row r="3716" spans="1:2">
      <c r="A3716" t="s">
        <v>1488</v>
      </c>
      <c r="B3716">
        <v>2</v>
      </c>
    </row>
    <row r="3717" spans="1:2">
      <c r="A3717" t="s">
        <v>150</v>
      </c>
      <c r="B3717">
        <v>11</v>
      </c>
    </row>
    <row r="3718" spans="1:2">
      <c r="A3718" t="s">
        <v>431</v>
      </c>
      <c r="B3718">
        <v>6</v>
      </c>
    </row>
    <row r="3719" spans="1:2">
      <c r="A3719" t="s">
        <v>1623</v>
      </c>
      <c r="B3719">
        <v>2</v>
      </c>
    </row>
    <row r="3720" spans="1:2">
      <c r="A3720" t="s">
        <v>728</v>
      </c>
      <c r="B3720">
        <v>3</v>
      </c>
    </row>
    <row r="3721" spans="1:2">
      <c r="A3721" t="s">
        <v>2199</v>
      </c>
      <c r="B3721">
        <v>1</v>
      </c>
    </row>
    <row r="3722" spans="1:2">
      <c r="A3722" t="s">
        <v>571</v>
      </c>
      <c r="B3722">
        <v>30</v>
      </c>
    </row>
    <row r="3723" spans="1:2">
      <c r="A3723" t="s">
        <v>1210</v>
      </c>
      <c r="B3723">
        <v>1</v>
      </c>
    </row>
    <row r="3724" spans="1:2">
      <c r="A3724" t="s">
        <v>1624</v>
      </c>
      <c r="B3724">
        <v>2</v>
      </c>
    </row>
    <row r="3725" spans="1:2">
      <c r="A3725" t="s">
        <v>438</v>
      </c>
      <c r="B3725">
        <v>9</v>
      </c>
    </row>
    <row r="3726" spans="1:2">
      <c r="A3726" t="s">
        <v>263</v>
      </c>
      <c r="B3726">
        <v>4</v>
      </c>
    </row>
    <row r="3727" spans="1:2">
      <c r="A3727" t="s">
        <v>2211</v>
      </c>
      <c r="B3727">
        <v>2</v>
      </c>
    </row>
    <row r="3728" spans="1:2">
      <c r="A3728" t="s">
        <v>2212</v>
      </c>
      <c r="B3728">
        <v>1</v>
      </c>
    </row>
    <row r="3729" spans="1:2">
      <c r="A3729" t="s">
        <v>2230</v>
      </c>
      <c r="B3729">
        <v>2</v>
      </c>
    </row>
    <row r="3730" spans="1:2">
      <c r="A3730" t="s">
        <v>2232</v>
      </c>
      <c r="B3730">
        <v>3</v>
      </c>
    </row>
    <row r="3731" spans="1:2">
      <c r="A3731" t="s">
        <v>187</v>
      </c>
      <c r="B3731">
        <v>8</v>
      </c>
    </row>
    <row r="3732" spans="1:2">
      <c r="A3732" t="s">
        <v>2256</v>
      </c>
      <c r="B3732">
        <v>1</v>
      </c>
    </row>
    <row r="3733" spans="1:2">
      <c r="A3733" t="s">
        <v>2267</v>
      </c>
      <c r="B3733">
        <v>3</v>
      </c>
    </row>
    <row r="3734" spans="1:2">
      <c r="A3734" t="s">
        <v>1461</v>
      </c>
      <c r="B3734">
        <v>5</v>
      </c>
    </row>
    <row r="3735" spans="1:2">
      <c r="A3735" t="s">
        <v>2270</v>
      </c>
      <c r="B3735">
        <v>1</v>
      </c>
    </row>
    <row r="3736" spans="1:2">
      <c r="A3736" t="s">
        <v>2274</v>
      </c>
      <c r="B3736">
        <v>1</v>
      </c>
    </row>
    <row r="3737" spans="1:2">
      <c r="A3737" t="s">
        <v>289</v>
      </c>
      <c r="B3737">
        <v>1</v>
      </c>
    </row>
    <row r="3738" spans="1:2">
      <c r="A3738" t="s">
        <v>2278</v>
      </c>
      <c r="B3738">
        <v>2</v>
      </c>
    </row>
    <row r="3739" spans="1:2">
      <c r="A3739" t="s">
        <v>912</v>
      </c>
      <c r="B3739">
        <v>2</v>
      </c>
    </row>
    <row r="3740" spans="1:2">
      <c r="A3740" t="s">
        <v>2310</v>
      </c>
      <c r="B3740">
        <v>2</v>
      </c>
    </row>
    <row r="3741" spans="1:2">
      <c r="A3741" t="s">
        <v>2316</v>
      </c>
      <c r="B3741">
        <v>9</v>
      </c>
    </row>
    <row r="3742" spans="1:2">
      <c r="A3742" t="s">
        <v>2321</v>
      </c>
      <c r="B3742">
        <v>1</v>
      </c>
    </row>
    <row r="3743" spans="1:2">
      <c r="A3743" t="s">
        <v>2324</v>
      </c>
      <c r="B3743">
        <v>3</v>
      </c>
    </row>
    <row r="3744" spans="1:2">
      <c r="A3744" t="s">
        <v>2338</v>
      </c>
      <c r="B3744">
        <v>1</v>
      </c>
    </row>
    <row r="3745" spans="1:2">
      <c r="A3745" t="s">
        <v>795</v>
      </c>
      <c r="B3745">
        <v>4</v>
      </c>
    </row>
    <row r="3746" spans="1:2">
      <c r="A3746" s="2" t="s">
        <v>9</v>
      </c>
      <c r="B3746" s="2">
        <v>1600</v>
      </c>
    </row>
    <row r="3748" spans="1:2">
      <c r="A3748" s="2" t="s">
        <v>96</v>
      </c>
    </row>
    <row r="3749" spans="1:2">
      <c r="A3749" s="2" t="s">
        <v>0</v>
      </c>
      <c r="B3749" s="2" t="s">
        <v>1</v>
      </c>
    </row>
    <row r="3750" spans="1:2">
      <c r="A3750" t="s">
        <v>130</v>
      </c>
      <c r="B3750">
        <v>187</v>
      </c>
    </row>
    <row r="3751" spans="1:2">
      <c r="A3751" t="s">
        <v>1820</v>
      </c>
      <c r="B3751">
        <v>4</v>
      </c>
    </row>
    <row r="3752" spans="1:2">
      <c r="A3752" t="s">
        <v>193</v>
      </c>
      <c r="B3752">
        <v>19</v>
      </c>
    </row>
    <row r="3753" spans="1:2">
      <c r="A3753" t="s">
        <v>127</v>
      </c>
      <c r="B3753">
        <v>129</v>
      </c>
    </row>
    <row r="3754" spans="1:2">
      <c r="A3754" t="s">
        <v>747</v>
      </c>
      <c r="B3754">
        <v>6</v>
      </c>
    </row>
    <row r="3755" spans="1:2">
      <c r="A3755" t="s">
        <v>1825</v>
      </c>
      <c r="B3755">
        <v>1</v>
      </c>
    </row>
    <row r="3756" spans="1:2">
      <c r="A3756" t="s">
        <v>704</v>
      </c>
      <c r="B3756">
        <v>33</v>
      </c>
    </row>
    <row r="3757" spans="1:2">
      <c r="A3757" t="s">
        <v>162</v>
      </c>
      <c r="B3757">
        <v>82</v>
      </c>
    </row>
    <row r="3758" spans="1:2">
      <c r="A3758" t="s">
        <v>824</v>
      </c>
      <c r="B3758">
        <v>13</v>
      </c>
    </row>
    <row r="3759" spans="1:2">
      <c r="A3759" t="s">
        <v>1831</v>
      </c>
      <c r="B3759">
        <v>2</v>
      </c>
    </row>
    <row r="3760" spans="1:2">
      <c r="A3760" t="s">
        <v>1834</v>
      </c>
      <c r="B3760">
        <v>2</v>
      </c>
    </row>
    <row r="3761" spans="1:2">
      <c r="A3761" t="s">
        <v>135</v>
      </c>
      <c r="B3761">
        <v>65</v>
      </c>
    </row>
    <row r="3762" spans="1:2">
      <c r="A3762" t="s">
        <v>1738</v>
      </c>
      <c r="B3762">
        <v>11</v>
      </c>
    </row>
    <row r="3763" spans="1:2">
      <c r="A3763" t="s">
        <v>456</v>
      </c>
      <c r="B3763">
        <v>2</v>
      </c>
    </row>
    <row r="3764" spans="1:2">
      <c r="A3764" t="s">
        <v>1843</v>
      </c>
      <c r="B3764">
        <v>2</v>
      </c>
    </row>
    <row r="3765" spans="1:2">
      <c r="A3765" t="s">
        <v>562</v>
      </c>
      <c r="B3765">
        <v>12</v>
      </c>
    </row>
    <row r="3766" spans="1:2">
      <c r="A3766" t="s">
        <v>1847</v>
      </c>
      <c r="B3766">
        <v>26</v>
      </c>
    </row>
    <row r="3767" spans="1:2">
      <c r="A3767" t="s">
        <v>207</v>
      </c>
      <c r="B3767">
        <v>51</v>
      </c>
    </row>
    <row r="3768" spans="1:2">
      <c r="A3768" t="s">
        <v>1854</v>
      </c>
      <c r="B3768">
        <v>1</v>
      </c>
    </row>
    <row r="3769" spans="1:2">
      <c r="A3769" t="s">
        <v>1863</v>
      </c>
      <c r="B3769">
        <v>1</v>
      </c>
    </row>
    <row r="3770" spans="1:2">
      <c r="A3770" t="s">
        <v>146</v>
      </c>
      <c r="B3770">
        <v>38</v>
      </c>
    </row>
    <row r="3771" spans="1:2">
      <c r="A3771" t="s">
        <v>1870</v>
      </c>
      <c r="B3771">
        <v>1</v>
      </c>
    </row>
    <row r="3772" spans="1:2">
      <c r="A3772" t="s">
        <v>847</v>
      </c>
      <c r="B3772">
        <v>12</v>
      </c>
    </row>
    <row r="3773" spans="1:2">
      <c r="A3773" t="s">
        <v>802</v>
      </c>
      <c r="B3773">
        <v>9</v>
      </c>
    </row>
    <row r="3774" spans="1:2">
      <c r="A3774" t="s">
        <v>943</v>
      </c>
      <c r="B3774">
        <v>5</v>
      </c>
    </row>
    <row r="3775" spans="1:2">
      <c r="A3775" t="s">
        <v>1894</v>
      </c>
      <c r="B3775">
        <v>16</v>
      </c>
    </row>
    <row r="3776" spans="1:2">
      <c r="A3776" t="s">
        <v>1515</v>
      </c>
      <c r="B3776">
        <v>6</v>
      </c>
    </row>
    <row r="3777" spans="1:2">
      <c r="A3777" t="s">
        <v>1913</v>
      </c>
      <c r="B3777">
        <v>1</v>
      </c>
    </row>
    <row r="3778" spans="1:2">
      <c r="A3778" t="s">
        <v>1914</v>
      </c>
      <c r="B3778">
        <v>1</v>
      </c>
    </row>
    <row r="3779" spans="1:2">
      <c r="A3779" t="s">
        <v>851</v>
      </c>
      <c r="B3779">
        <v>5</v>
      </c>
    </row>
    <row r="3780" spans="1:2">
      <c r="A3780" t="s">
        <v>1919</v>
      </c>
      <c r="B3780">
        <v>3</v>
      </c>
    </row>
    <row r="3781" spans="1:2">
      <c r="A3781" t="s">
        <v>1928</v>
      </c>
      <c r="B3781">
        <v>2</v>
      </c>
    </row>
    <row r="3782" spans="1:2">
      <c r="A3782" t="s">
        <v>81</v>
      </c>
      <c r="B3782">
        <v>21</v>
      </c>
    </row>
    <row r="3783" spans="1:2">
      <c r="A3783" t="s">
        <v>1934</v>
      </c>
      <c r="B3783">
        <v>2</v>
      </c>
    </row>
    <row r="3784" spans="1:2">
      <c r="A3784" t="s">
        <v>1937</v>
      </c>
      <c r="B3784">
        <v>2</v>
      </c>
    </row>
    <row r="3785" spans="1:2">
      <c r="A3785" t="s">
        <v>368</v>
      </c>
      <c r="B3785">
        <v>17</v>
      </c>
    </row>
    <row r="3786" spans="1:2">
      <c r="A3786" t="s">
        <v>1440</v>
      </c>
      <c r="B3786">
        <v>5</v>
      </c>
    </row>
    <row r="3787" spans="1:2">
      <c r="A3787" t="s">
        <v>1588</v>
      </c>
      <c r="B3787">
        <v>9</v>
      </c>
    </row>
    <row r="3788" spans="1:2">
      <c r="A3788" t="s">
        <v>769</v>
      </c>
      <c r="B3788">
        <v>11</v>
      </c>
    </row>
    <row r="3789" spans="1:2">
      <c r="A3789" t="s">
        <v>366</v>
      </c>
      <c r="B3789">
        <v>10</v>
      </c>
    </row>
    <row r="3790" spans="1:2">
      <c r="A3790" t="s">
        <v>443</v>
      </c>
      <c r="B3790">
        <v>4</v>
      </c>
    </row>
    <row r="3791" spans="1:2">
      <c r="A3791" t="s">
        <v>1120</v>
      </c>
      <c r="B3791">
        <v>7</v>
      </c>
    </row>
    <row r="3792" spans="1:2">
      <c r="A3792" t="s">
        <v>80</v>
      </c>
      <c r="B3792">
        <v>8</v>
      </c>
    </row>
    <row r="3793" spans="1:2">
      <c r="A3793" t="s">
        <v>1989</v>
      </c>
      <c r="B3793">
        <v>1</v>
      </c>
    </row>
    <row r="3794" spans="1:2">
      <c r="A3794" t="s">
        <v>1990</v>
      </c>
      <c r="B3794">
        <v>1</v>
      </c>
    </row>
    <row r="3795" spans="1:2">
      <c r="A3795" t="s">
        <v>367</v>
      </c>
      <c r="B3795">
        <v>14</v>
      </c>
    </row>
    <row r="3796" spans="1:2">
      <c r="A3796" t="s">
        <v>363</v>
      </c>
      <c r="B3796">
        <v>7</v>
      </c>
    </row>
    <row r="3797" spans="1:2">
      <c r="A3797" t="s">
        <v>888</v>
      </c>
      <c r="B3797">
        <v>7</v>
      </c>
    </row>
    <row r="3798" spans="1:2">
      <c r="A3798" t="s">
        <v>1565</v>
      </c>
      <c r="B3798">
        <v>12</v>
      </c>
    </row>
    <row r="3799" spans="1:2">
      <c r="A3799" t="s">
        <v>2000</v>
      </c>
      <c r="B3799">
        <v>3</v>
      </c>
    </row>
    <row r="3800" spans="1:2">
      <c r="A3800" t="s">
        <v>1383</v>
      </c>
      <c r="B3800">
        <v>4</v>
      </c>
    </row>
    <row r="3801" spans="1:2">
      <c r="A3801" t="s">
        <v>850</v>
      </c>
      <c r="B3801">
        <v>2</v>
      </c>
    </row>
    <row r="3802" spans="1:2">
      <c r="A3802" t="s">
        <v>2027</v>
      </c>
      <c r="B3802">
        <v>2</v>
      </c>
    </row>
    <row r="3803" spans="1:2">
      <c r="A3803" t="s">
        <v>1130</v>
      </c>
      <c r="B3803">
        <v>6</v>
      </c>
    </row>
    <row r="3804" spans="1:2">
      <c r="A3804" t="s">
        <v>2054</v>
      </c>
      <c r="B3804">
        <v>2</v>
      </c>
    </row>
    <row r="3805" spans="1:2">
      <c r="A3805" t="s">
        <v>2055</v>
      </c>
      <c r="B3805">
        <v>5</v>
      </c>
    </row>
    <row r="3806" spans="1:2">
      <c r="A3806" t="s">
        <v>1078</v>
      </c>
      <c r="B3806">
        <v>1</v>
      </c>
    </row>
    <row r="3807" spans="1:2">
      <c r="A3807" t="s">
        <v>444</v>
      </c>
      <c r="B3807">
        <v>9</v>
      </c>
    </row>
    <row r="3808" spans="1:2">
      <c r="A3808" t="s">
        <v>2082</v>
      </c>
      <c r="B3808">
        <v>15</v>
      </c>
    </row>
    <row r="3809" spans="1:2">
      <c r="A3809" t="s">
        <v>316</v>
      </c>
      <c r="B3809">
        <v>5</v>
      </c>
    </row>
    <row r="3810" spans="1:2">
      <c r="A3810" t="s">
        <v>1086</v>
      </c>
      <c r="B3810">
        <v>4</v>
      </c>
    </row>
    <row r="3811" spans="1:2">
      <c r="A3811" t="s">
        <v>1638</v>
      </c>
      <c r="B3811">
        <v>3</v>
      </c>
    </row>
    <row r="3812" spans="1:2">
      <c r="A3812" t="s">
        <v>174</v>
      </c>
      <c r="B3812">
        <v>1</v>
      </c>
    </row>
    <row r="3813" spans="1:2">
      <c r="A3813" t="s">
        <v>1164</v>
      </c>
      <c r="B3813">
        <v>22</v>
      </c>
    </row>
    <row r="3814" spans="1:2">
      <c r="A3814" t="s">
        <v>1386</v>
      </c>
      <c r="B3814">
        <v>2</v>
      </c>
    </row>
    <row r="3815" spans="1:2">
      <c r="A3815" t="s">
        <v>1252</v>
      </c>
      <c r="B3815">
        <v>9</v>
      </c>
    </row>
    <row r="3816" spans="1:2">
      <c r="A3816" t="s">
        <v>1415</v>
      </c>
      <c r="B3816">
        <v>7</v>
      </c>
    </row>
    <row r="3817" spans="1:2">
      <c r="A3817" t="s">
        <v>2123</v>
      </c>
      <c r="B3817">
        <v>11</v>
      </c>
    </row>
    <row r="3818" spans="1:2">
      <c r="A3818" t="s">
        <v>884</v>
      </c>
      <c r="B3818">
        <v>6</v>
      </c>
    </row>
    <row r="3819" spans="1:2">
      <c r="A3819" t="s">
        <v>2124</v>
      </c>
      <c r="B3819">
        <v>1</v>
      </c>
    </row>
    <row r="3820" spans="1:2">
      <c r="A3820" t="s">
        <v>311</v>
      </c>
      <c r="B3820">
        <v>6</v>
      </c>
    </row>
    <row r="3821" spans="1:2">
      <c r="A3821" t="s">
        <v>923</v>
      </c>
      <c r="B3821">
        <v>5</v>
      </c>
    </row>
    <row r="3822" spans="1:2">
      <c r="A3822" t="s">
        <v>1381</v>
      </c>
      <c r="B3822">
        <v>2</v>
      </c>
    </row>
    <row r="3823" spans="1:2">
      <c r="A3823" t="s">
        <v>337</v>
      </c>
      <c r="B3823">
        <v>1</v>
      </c>
    </row>
    <row r="3824" spans="1:2">
      <c r="A3824" t="s">
        <v>2138</v>
      </c>
      <c r="B3824">
        <v>3</v>
      </c>
    </row>
    <row r="3825" spans="1:2">
      <c r="A3825" t="s">
        <v>2141</v>
      </c>
      <c r="B3825">
        <v>11</v>
      </c>
    </row>
    <row r="3826" spans="1:2">
      <c r="A3826" t="s">
        <v>746</v>
      </c>
      <c r="B3826">
        <v>2</v>
      </c>
    </row>
    <row r="3827" spans="1:2">
      <c r="A3827" t="s">
        <v>2156</v>
      </c>
      <c r="B3827">
        <v>11</v>
      </c>
    </row>
    <row r="3828" spans="1:2">
      <c r="A3828" t="s">
        <v>2169</v>
      </c>
      <c r="B3828">
        <v>1</v>
      </c>
    </row>
    <row r="3829" spans="1:2">
      <c r="A3829" t="s">
        <v>807</v>
      </c>
      <c r="B3829">
        <v>7</v>
      </c>
    </row>
    <row r="3830" spans="1:2">
      <c r="A3830" t="s">
        <v>1276</v>
      </c>
      <c r="B3830">
        <v>3</v>
      </c>
    </row>
    <row r="3831" spans="1:2">
      <c r="A3831" t="s">
        <v>159</v>
      </c>
      <c r="B3831">
        <v>2</v>
      </c>
    </row>
    <row r="3832" spans="1:2">
      <c r="A3832" t="s">
        <v>707</v>
      </c>
      <c r="B3832">
        <v>3</v>
      </c>
    </row>
    <row r="3833" spans="1:2">
      <c r="A3833" t="s">
        <v>67</v>
      </c>
      <c r="B3833">
        <v>4</v>
      </c>
    </row>
    <row r="3834" spans="1:2">
      <c r="A3834" t="s">
        <v>2184</v>
      </c>
      <c r="B3834">
        <v>2</v>
      </c>
    </row>
    <row r="3835" spans="1:2">
      <c r="A3835" t="s">
        <v>1032</v>
      </c>
      <c r="B3835">
        <v>14</v>
      </c>
    </row>
    <row r="3836" spans="1:2">
      <c r="A3836" t="s">
        <v>921</v>
      </c>
      <c r="B3836">
        <v>4</v>
      </c>
    </row>
    <row r="3837" spans="1:2">
      <c r="A3837" t="s">
        <v>2193</v>
      </c>
      <c r="B3837">
        <v>2</v>
      </c>
    </row>
    <row r="3838" spans="1:2">
      <c r="A3838" t="s">
        <v>968</v>
      </c>
      <c r="B3838">
        <v>1</v>
      </c>
    </row>
    <row r="3839" spans="1:2">
      <c r="A3839" t="s">
        <v>2209</v>
      </c>
      <c r="B3839">
        <v>1</v>
      </c>
    </row>
    <row r="3840" spans="1:2">
      <c r="A3840" t="s">
        <v>2210</v>
      </c>
      <c r="B3840">
        <v>1</v>
      </c>
    </row>
    <row r="3841" spans="1:2">
      <c r="A3841" t="s">
        <v>2216</v>
      </c>
      <c r="B3841">
        <v>1</v>
      </c>
    </row>
    <row r="3842" spans="1:2">
      <c r="A3842" t="s">
        <v>2219</v>
      </c>
      <c r="B3842">
        <v>1</v>
      </c>
    </row>
    <row r="3843" spans="1:2">
      <c r="A3843" t="s">
        <v>2233</v>
      </c>
      <c r="B3843">
        <v>1</v>
      </c>
    </row>
    <row r="3844" spans="1:2">
      <c r="A3844" t="s">
        <v>825</v>
      </c>
      <c r="B3844">
        <v>4</v>
      </c>
    </row>
    <row r="3845" spans="1:2">
      <c r="A3845" t="s">
        <v>621</v>
      </c>
      <c r="B3845">
        <v>10</v>
      </c>
    </row>
    <row r="3846" spans="1:2">
      <c r="A3846" t="s">
        <v>2242</v>
      </c>
      <c r="B3846">
        <v>3</v>
      </c>
    </row>
    <row r="3847" spans="1:2">
      <c r="A3847" t="s">
        <v>2250</v>
      </c>
      <c r="B3847">
        <v>1</v>
      </c>
    </row>
    <row r="3848" spans="1:2">
      <c r="A3848" t="s">
        <v>792</v>
      </c>
      <c r="B3848">
        <v>2</v>
      </c>
    </row>
    <row r="3849" spans="1:2">
      <c r="A3849" t="s">
        <v>1498</v>
      </c>
      <c r="B3849">
        <v>4</v>
      </c>
    </row>
    <row r="3850" spans="1:2">
      <c r="A3850" t="s">
        <v>1544</v>
      </c>
      <c r="B3850">
        <v>6</v>
      </c>
    </row>
    <row r="3851" spans="1:2">
      <c r="A3851" t="s">
        <v>1465</v>
      </c>
      <c r="B3851">
        <v>6</v>
      </c>
    </row>
    <row r="3852" spans="1:2">
      <c r="A3852" t="s">
        <v>2275</v>
      </c>
      <c r="B3852">
        <v>1</v>
      </c>
    </row>
    <row r="3853" spans="1:2">
      <c r="A3853" t="s">
        <v>2276</v>
      </c>
      <c r="B3853">
        <v>1</v>
      </c>
    </row>
    <row r="3854" spans="1:2">
      <c r="A3854" t="s">
        <v>2277</v>
      </c>
      <c r="B3854">
        <v>1</v>
      </c>
    </row>
    <row r="3855" spans="1:2">
      <c r="A3855" t="s">
        <v>883</v>
      </c>
      <c r="B3855">
        <v>1</v>
      </c>
    </row>
    <row r="3856" spans="1:2">
      <c r="A3856" t="s">
        <v>2281</v>
      </c>
      <c r="B3856">
        <v>1</v>
      </c>
    </row>
    <row r="3857" spans="1:2">
      <c r="A3857" t="s">
        <v>1280</v>
      </c>
      <c r="B3857">
        <v>2</v>
      </c>
    </row>
    <row r="3858" spans="1:2">
      <c r="A3858" t="s">
        <v>2300</v>
      </c>
      <c r="B3858">
        <v>5</v>
      </c>
    </row>
    <row r="3859" spans="1:2">
      <c r="A3859" t="s">
        <v>1767</v>
      </c>
      <c r="B3859">
        <v>7</v>
      </c>
    </row>
    <row r="3860" spans="1:2">
      <c r="A3860" t="s">
        <v>1121</v>
      </c>
      <c r="B3860">
        <v>13</v>
      </c>
    </row>
    <row r="3861" spans="1:2">
      <c r="A3861" t="s">
        <v>2330</v>
      </c>
      <c r="B3861">
        <v>1</v>
      </c>
    </row>
    <row r="3862" spans="1:2">
      <c r="A3862" t="s">
        <v>2344</v>
      </c>
      <c r="B3862">
        <v>3</v>
      </c>
    </row>
    <row r="3863" spans="1:2">
      <c r="A3863" t="s">
        <v>2345</v>
      </c>
      <c r="B3863">
        <v>3</v>
      </c>
    </row>
    <row r="3864" spans="1:2">
      <c r="A3864" t="s">
        <v>2347</v>
      </c>
      <c r="B3864">
        <v>5</v>
      </c>
    </row>
    <row r="3865" spans="1:2">
      <c r="A3865" t="s">
        <v>1087</v>
      </c>
      <c r="B3865">
        <v>2</v>
      </c>
    </row>
    <row r="3866" spans="1:2">
      <c r="A3866" s="2" t="s">
        <v>9</v>
      </c>
      <c r="B3866" s="2">
        <v>1177</v>
      </c>
    </row>
    <row r="3868" spans="1:2">
      <c r="A3868" s="2" t="s">
        <v>1067</v>
      </c>
    </row>
    <row r="3869" spans="1:2">
      <c r="A3869" s="2" t="s">
        <v>0</v>
      </c>
      <c r="B3869" s="2" t="s">
        <v>1</v>
      </c>
    </row>
    <row r="3870" spans="1:2">
      <c r="A3870" t="s">
        <v>279</v>
      </c>
      <c r="B3870">
        <v>77</v>
      </c>
    </row>
    <row r="3871" spans="1:2">
      <c r="A3871" t="s">
        <v>1817</v>
      </c>
      <c r="B3871">
        <v>38</v>
      </c>
    </row>
    <row r="3872" spans="1:2">
      <c r="A3872" t="s">
        <v>558</v>
      </c>
      <c r="B3872">
        <v>18</v>
      </c>
    </row>
    <row r="3873" spans="1:2">
      <c r="A3873" t="s">
        <v>581</v>
      </c>
      <c r="B3873">
        <v>62</v>
      </c>
    </row>
    <row r="3874" spans="1:2">
      <c r="A3874" t="s">
        <v>486</v>
      </c>
      <c r="B3874">
        <v>57</v>
      </c>
    </row>
    <row r="3875" spans="1:2">
      <c r="A3875" t="s">
        <v>656</v>
      </c>
      <c r="B3875">
        <v>36</v>
      </c>
    </row>
    <row r="3876" spans="1:2">
      <c r="A3876" t="s">
        <v>627</v>
      </c>
      <c r="B3876">
        <v>53</v>
      </c>
    </row>
    <row r="3877" spans="1:2">
      <c r="A3877" t="s">
        <v>1315</v>
      </c>
      <c r="B3877">
        <v>33</v>
      </c>
    </row>
    <row r="3878" spans="1:2">
      <c r="A3878" t="s">
        <v>869</v>
      </c>
      <c r="B3878">
        <v>11</v>
      </c>
    </row>
    <row r="3879" spans="1:2">
      <c r="A3879" t="s">
        <v>1192</v>
      </c>
      <c r="B3879">
        <v>20</v>
      </c>
    </row>
    <row r="3880" spans="1:2">
      <c r="A3880" t="s">
        <v>234</v>
      </c>
      <c r="B3880">
        <v>7</v>
      </c>
    </row>
    <row r="3881" spans="1:2">
      <c r="A3881" t="s">
        <v>930</v>
      </c>
      <c r="B3881">
        <v>12</v>
      </c>
    </row>
    <row r="3882" spans="1:2">
      <c r="A3882" t="s">
        <v>1848</v>
      </c>
      <c r="B3882">
        <v>5</v>
      </c>
    </row>
    <row r="3883" spans="1:2">
      <c r="A3883" t="s">
        <v>280</v>
      </c>
      <c r="B3883">
        <v>18</v>
      </c>
    </row>
    <row r="3884" spans="1:2">
      <c r="A3884" t="s">
        <v>285</v>
      </c>
      <c r="B3884">
        <v>22</v>
      </c>
    </row>
    <row r="3885" spans="1:2">
      <c r="A3885" t="s">
        <v>1889</v>
      </c>
      <c r="B3885">
        <v>1</v>
      </c>
    </row>
    <row r="3886" spans="1:2">
      <c r="A3886" t="s">
        <v>481</v>
      </c>
      <c r="B3886">
        <v>11</v>
      </c>
    </row>
    <row r="3887" spans="1:2">
      <c r="A3887" t="s">
        <v>973</v>
      </c>
      <c r="B3887">
        <v>6</v>
      </c>
    </row>
    <row r="3888" spans="1:2">
      <c r="A3888" t="s">
        <v>873</v>
      </c>
      <c r="B3888">
        <v>9</v>
      </c>
    </row>
    <row r="3889" spans="1:2">
      <c r="A3889" t="s">
        <v>393</v>
      </c>
      <c r="B3889">
        <v>39</v>
      </c>
    </row>
    <row r="3890" spans="1:2">
      <c r="A3890" t="s">
        <v>1268</v>
      </c>
      <c r="B3890">
        <v>4</v>
      </c>
    </row>
    <row r="3891" spans="1:2">
      <c r="A3891" t="s">
        <v>580</v>
      </c>
      <c r="B3891">
        <v>19</v>
      </c>
    </row>
    <row r="3892" spans="1:2">
      <c r="A3892" t="s">
        <v>255</v>
      </c>
      <c r="B3892">
        <v>8</v>
      </c>
    </row>
    <row r="3893" spans="1:2">
      <c r="A3893" t="s">
        <v>1969</v>
      </c>
      <c r="B3893">
        <v>9</v>
      </c>
    </row>
    <row r="3894" spans="1:2">
      <c r="A3894" t="s">
        <v>232</v>
      </c>
      <c r="B3894">
        <v>22</v>
      </c>
    </row>
    <row r="3895" spans="1:2">
      <c r="A3895" t="s">
        <v>478</v>
      </c>
      <c r="B3895">
        <v>8</v>
      </c>
    </row>
    <row r="3896" spans="1:2">
      <c r="A3896" t="s">
        <v>683</v>
      </c>
      <c r="B3896">
        <v>3</v>
      </c>
    </row>
    <row r="3897" spans="1:2">
      <c r="A3897" t="s">
        <v>227</v>
      </c>
      <c r="B3897">
        <v>23</v>
      </c>
    </row>
    <row r="3898" spans="1:2">
      <c r="A3898" t="s">
        <v>871</v>
      </c>
      <c r="B3898">
        <v>12</v>
      </c>
    </row>
    <row r="3899" spans="1:2">
      <c r="A3899" t="s">
        <v>2015</v>
      </c>
      <c r="B3899">
        <v>1</v>
      </c>
    </row>
    <row r="3900" spans="1:2">
      <c r="A3900" t="s">
        <v>2075</v>
      </c>
      <c r="B3900">
        <v>8</v>
      </c>
    </row>
    <row r="3901" spans="1:2">
      <c r="A3901" t="s">
        <v>314</v>
      </c>
      <c r="B3901">
        <v>2</v>
      </c>
    </row>
    <row r="3902" spans="1:2">
      <c r="A3902" t="s">
        <v>1313</v>
      </c>
      <c r="B3902">
        <v>1</v>
      </c>
    </row>
    <row r="3903" spans="1:2">
      <c r="A3903" t="s">
        <v>2145</v>
      </c>
      <c r="B3903">
        <v>5</v>
      </c>
    </row>
    <row r="3904" spans="1:2">
      <c r="A3904" t="s">
        <v>1469</v>
      </c>
      <c r="B3904">
        <v>1</v>
      </c>
    </row>
    <row r="3905" spans="1:2">
      <c r="A3905" t="s">
        <v>2177</v>
      </c>
      <c r="B3905">
        <v>2</v>
      </c>
    </row>
    <row r="3906" spans="1:2">
      <c r="A3906" t="s">
        <v>732</v>
      </c>
      <c r="B3906">
        <v>1</v>
      </c>
    </row>
    <row r="3907" spans="1:2">
      <c r="A3907" t="s">
        <v>552</v>
      </c>
      <c r="B3907">
        <v>1</v>
      </c>
    </row>
    <row r="3908" spans="1:2">
      <c r="A3908" t="s">
        <v>556</v>
      </c>
      <c r="B3908">
        <v>1</v>
      </c>
    </row>
    <row r="3909" spans="1:2">
      <c r="A3909" t="s">
        <v>257</v>
      </c>
      <c r="B3909">
        <v>10</v>
      </c>
    </row>
    <row r="3910" spans="1:2">
      <c r="A3910" t="s">
        <v>2301</v>
      </c>
      <c r="B3910">
        <v>2</v>
      </c>
    </row>
    <row r="3911" spans="1:2">
      <c r="A3911" t="s">
        <v>1314</v>
      </c>
      <c r="B3911">
        <v>1</v>
      </c>
    </row>
    <row r="3912" spans="1:2">
      <c r="A3912" t="s">
        <v>726</v>
      </c>
      <c r="B3912">
        <v>2</v>
      </c>
    </row>
    <row r="3913" spans="1:2">
      <c r="A3913" s="2" t="s">
        <v>9</v>
      </c>
      <c r="B3913" s="2">
        <v>681</v>
      </c>
    </row>
    <row r="3915" spans="1:2">
      <c r="A3915" s="2" t="s">
        <v>529</v>
      </c>
    </row>
    <row r="3916" spans="1:2">
      <c r="A3916" s="2" t="s">
        <v>0</v>
      </c>
      <c r="B3916" s="2" t="s">
        <v>1</v>
      </c>
    </row>
    <row r="3917" spans="1:2">
      <c r="A3917" t="s">
        <v>779</v>
      </c>
      <c r="B3917">
        <v>6</v>
      </c>
    </row>
    <row r="3918" spans="1:2">
      <c r="A3918" t="s">
        <v>422</v>
      </c>
      <c r="B3918">
        <v>57</v>
      </c>
    </row>
    <row r="3919" spans="1:2">
      <c r="A3919" t="s">
        <v>196</v>
      </c>
      <c r="B3919">
        <v>10</v>
      </c>
    </row>
    <row r="3920" spans="1:2">
      <c r="A3920" t="s">
        <v>490</v>
      </c>
      <c r="B3920">
        <v>8</v>
      </c>
    </row>
    <row r="3921" spans="1:2">
      <c r="A3921" t="s">
        <v>804</v>
      </c>
      <c r="B3921">
        <v>24</v>
      </c>
    </row>
    <row r="3922" spans="1:2">
      <c r="A3922" t="s">
        <v>1460</v>
      </c>
      <c r="B3922">
        <v>2</v>
      </c>
    </row>
    <row r="3923" spans="1:2">
      <c r="A3923" t="s">
        <v>215</v>
      </c>
      <c r="B3923">
        <v>27</v>
      </c>
    </row>
    <row r="3924" spans="1:2">
      <c r="A3924" t="s">
        <v>1878</v>
      </c>
      <c r="B3924">
        <v>6</v>
      </c>
    </row>
    <row r="3925" spans="1:2">
      <c r="A3925" t="s">
        <v>1887</v>
      </c>
      <c r="B3925">
        <v>10</v>
      </c>
    </row>
    <row r="3926" spans="1:2">
      <c r="A3926" t="s">
        <v>1888</v>
      </c>
      <c r="B3926">
        <v>3</v>
      </c>
    </row>
    <row r="3927" spans="1:2">
      <c r="A3927" t="s">
        <v>1552</v>
      </c>
      <c r="B3927">
        <v>4</v>
      </c>
    </row>
    <row r="3928" spans="1:2">
      <c r="A3928" t="s">
        <v>798</v>
      </c>
      <c r="B3928">
        <v>5</v>
      </c>
    </row>
    <row r="3929" spans="1:2">
      <c r="A3929" t="s">
        <v>1307</v>
      </c>
      <c r="B3929">
        <v>2</v>
      </c>
    </row>
    <row r="3930" spans="1:2">
      <c r="A3930" t="s">
        <v>1485</v>
      </c>
      <c r="B3930">
        <v>4</v>
      </c>
    </row>
    <row r="3931" spans="1:2">
      <c r="A3931" t="s">
        <v>1493</v>
      </c>
      <c r="B3931">
        <v>7</v>
      </c>
    </row>
    <row r="3932" spans="1:2">
      <c r="A3932" t="s">
        <v>914</v>
      </c>
      <c r="B3932">
        <v>5</v>
      </c>
    </row>
    <row r="3933" spans="1:2">
      <c r="A3933" t="s">
        <v>471</v>
      </c>
      <c r="B3933">
        <v>2</v>
      </c>
    </row>
    <row r="3934" spans="1:2">
      <c r="A3934" t="s">
        <v>1612</v>
      </c>
      <c r="B3934">
        <v>1</v>
      </c>
    </row>
    <row r="3935" spans="1:2">
      <c r="A3935" t="s">
        <v>313</v>
      </c>
      <c r="B3935">
        <v>9</v>
      </c>
    </row>
    <row r="3936" spans="1:2">
      <c r="A3936" t="s">
        <v>1999</v>
      </c>
      <c r="B3936">
        <v>1</v>
      </c>
    </row>
    <row r="3937" spans="1:2">
      <c r="A3937" t="s">
        <v>2008</v>
      </c>
      <c r="B3937">
        <v>7</v>
      </c>
    </row>
    <row r="3938" spans="1:2">
      <c r="A3938" t="s">
        <v>2057</v>
      </c>
      <c r="B3938">
        <v>11</v>
      </c>
    </row>
    <row r="3939" spans="1:2">
      <c r="A3939" t="s">
        <v>2059</v>
      </c>
      <c r="B3939">
        <v>4</v>
      </c>
    </row>
    <row r="3940" spans="1:2">
      <c r="A3940" t="s">
        <v>1716</v>
      </c>
      <c r="B3940">
        <v>6</v>
      </c>
    </row>
    <row r="3941" spans="1:2">
      <c r="A3941" t="s">
        <v>180</v>
      </c>
      <c r="B3941">
        <v>18</v>
      </c>
    </row>
    <row r="3942" spans="1:2">
      <c r="A3942" t="s">
        <v>1606</v>
      </c>
      <c r="B3942">
        <v>3</v>
      </c>
    </row>
    <row r="3943" spans="1:2">
      <c r="A3943" t="s">
        <v>2097</v>
      </c>
      <c r="B3943">
        <v>5</v>
      </c>
    </row>
    <row r="3944" spans="1:2">
      <c r="A3944" t="s">
        <v>2106</v>
      </c>
      <c r="B3944">
        <v>1</v>
      </c>
    </row>
    <row r="3945" spans="1:2">
      <c r="A3945" t="s">
        <v>1495</v>
      </c>
      <c r="B3945">
        <v>5</v>
      </c>
    </row>
    <row r="3946" spans="1:2">
      <c r="A3946" t="s">
        <v>1256</v>
      </c>
      <c r="B3946">
        <v>12</v>
      </c>
    </row>
    <row r="3947" spans="1:2">
      <c r="A3947" t="s">
        <v>1614</v>
      </c>
      <c r="B3947">
        <v>2</v>
      </c>
    </row>
    <row r="3948" spans="1:2">
      <c r="A3948" t="s">
        <v>2159</v>
      </c>
      <c r="B3948">
        <v>1</v>
      </c>
    </row>
    <row r="3949" spans="1:2">
      <c r="A3949" t="s">
        <v>1490</v>
      </c>
      <c r="B3949">
        <v>2</v>
      </c>
    </row>
    <row r="3950" spans="1:2">
      <c r="A3950" t="s">
        <v>491</v>
      </c>
      <c r="B3950">
        <v>2</v>
      </c>
    </row>
    <row r="3951" spans="1:2">
      <c r="A3951" t="s">
        <v>886</v>
      </c>
      <c r="B3951">
        <v>3</v>
      </c>
    </row>
    <row r="3952" spans="1:2">
      <c r="A3952" t="s">
        <v>780</v>
      </c>
      <c r="B3952">
        <v>7</v>
      </c>
    </row>
    <row r="3953" spans="1:2">
      <c r="A3953" t="s">
        <v>2195</v>
      </c>
      <c r="B3953">
        <v>2</v>
      </c>
    </row>
    <row r="3954" spans="1:2">
      <c r="A3954" t="s">
        <v>2204</v>
      </c>
      <c r="B3954">
        <v>2</v>
      </c>
    </row>
    <row r="3955" spans="1:2">
      <c r="A3955" t="s">
        <v>2220</v>
      </c>
      <c r="B3955">
        <v>1</v>
      </c>
    </row>
    <row r="3956" spans="1:2">
      <c r="A3956" t="s">
        <v>2273</v>
      </c>
      <c r="B3956">
        <v>1</v>
      </c>
    </row>
    <row r="3957" spans="1:2">
      <c r="A3957" t="s">
        <v>1327</v>
      </c>
      <c r="B3957">
        <v>1</v>
      </c>
    </row>
    <row r="3958" spans="1:2">
      <c r="A3958" t="s">
        <v>137</v>
      </c>
      <c r="B3958">
        <v>4</v>
      </c>
    </row>
    <row r="3959" spans="1:2">
      <c r="A3959" t="s">
        <v>2315</v>
      </c>
      <c r="B3959">
        <v>6</v>
      </c>
    </row>
    <row r="3960" spans="1:2">
      <c r="A3960" t="s">
        <v>2331</v>
      </c>
      <c r="B3960">
        <v>4</v>
      </c>
    </row>
    <row r="3961" spans="1:2">
      <c r="A3961" t="s">
        <v>1567</v>
      </c>
      <c r="B3961">
        <v>9</v>
      </c>
    </row>
    <row r="3962" spans="1:2">
      <c r="A3962" t="s">
        <v>1141</v>
      </c>
      <c r="B3962">
        <v>3</v>
      </c>
    </row>
    <row r="3963" spans="1:2">
      <c r="A3963" t="s">
        <v>2426</v>
      </c>
      <c r="B3963">
        <v>1</v>
      </c>
    </row>
    <row r="3964" spans="1:2">
      <c r="A3964" t="s">
        <v>1604</v>
      </c>
      <c r="B3964">
        <v>2</v>
      </c>
    </row>
    <row r="3965" spans="1:2">
      <c r="A3965" t="s">
        <v>2513</v>
      </c>
      <c r="B3965">
        <v>1</v>
      </c>
    </row>
    <row r="3966" spans="1:2">
      <c r="A3966" t="s">
        <v>1202</v>
      </c>
      <c r="B3966">
        <v>2</v>
      </c>
    </row>
    <row r="3967" spans="1:2">
      <c r="A3967" t="s">
        <v>926</v>
      </c>
      <c r="B3967">
        <v>9</v>
      </c>
    </row>
    <row r="3968" spans="1:2">
      <c r="A3968" t="s">
        <v>2565</v>
      </c>
      <c r="B3968">
        <v>2</v>
      </c>
    </row>
    <row r="3969" spans="1:2">
      <c r="A3969" t="s">
        <v>1190</v>
      </c>
      <c r="B3969">
        <v>7</v>
      </c>
    </row>
    <row r="3970" spans="1:2">
      <c r="A3970" t="s">
        <v>1486</v>
      </c>
      <c r="B3970">
        <v>1</v>
      </c>
    </row>
    <row r="3971" spans="1:2">
      <c r="A3971" t="s">
        <v>1605</v>
      </c>
      <c r="B3971">
        <v>1</v>
      </c>
    </row>
    <row r="3972" spans="1:2">
      <c r="A3972" t="s">
        <v>1553</v>
      </c>
      <c r="B3972">
        <v>2</v>
      </c>
    </row>
    <row r="3973" spans="1:2">
      <c r="A3973" t="s">
        <v>2731</v>
      </c>
      <c r="B3973">
        <v>1</v>
      </c>
    </row>
    <row r="3974" spans="1:2">
      <c r="A3974" t="s">
        <v>2732</v>
      </c>
      <c r="B3974">
        <v>1</v>
      </c>
    </row>
    <row r="3975" spans="1:2">
      <c r="A3975" t="s">
        <v>2751</v>
      </c>
      <c r="B3975">
        <v>1</v>
      </c>
    </row>
    <row r="3976" spans="1:2">
      <c r="A3976" t="s">
        <v>2759</v>
      </c>
      <c r="B3976">
        <v>1</v>
      </c>
    </row>
    <row r="3977" spans="1:2">
      <c r="A3977" t="s">
        <v>2791</v>
      </c>
      <c r="B3977">
        <v>1</v>
      </c>
    </row>
    <row r="3978" spans="1:2">
      <c r="A3978" t="s">
        <v>2860</v>
      </c>
      <c r="B3978">
        <v>1</v>
      </c>
    </row>
    <row r="3979" spans="1:2">
      <c r="A3979" t="s">
        <v>1209</v>
      </c>
      <c r="B3979">
        <v>1</v>
      </c>
    </row>
    <row r="3980" spans="1:2">
      <c r="A3980" t="s">
        <v>1717</v>
      </c>
      <c r="B3980">
        <v>3</v>
      </c>
    </row>
    <row r="3981" spans="1:2">
      <c r="A3981" t="s">
        <v>114</v>
      </c>
      <c r="B3981">
        <v>1</v>
      </c>
    </row>
    <row r="3982" spans="1:2">
      <c r="A3982" t="s">
        <v>2880</v>
      </c>
      <c r="B3982">
        <v>1</v>
      </c>
    </row>
    <row r="3983" spans="1:2">
      <c r="A3983" t="s">
        <v>2890</v>
      </c>
      <c r="B3983">
        <v>1</v>
      </c>
    </row>
    <row r="3984" spans="1:2">
      <c r="A3984" t="s">
        <v>2891</v>
      </c>
      <c r="B3984">
        <v>1</v>
      </c>
    </row>
    <row r="3985" spans="1:2">
      <c r="A3985" t="s">
        <v>2892</v>
      </c>
      <c r="B3985">
        <v>1</v>
      </c>
    </row>
    <row r="3986" spans="1:2">
      <c r="A3986" t="s">
        <v>2897</v>
      </c>
      <c r="B3986">
        <v>1</v>
      </c>
    </row>
    <row r="3987" spans="1:2">
      <c r="A3987" s="2" t="s">
        <v>9</v>
      </c>
      <c r="B3987" s="2">
        <v>359</v>
      </c>
    </row>
    <row r="3989" spans="1:2">
      <c r="A3989" s="2" t="s">
        <v>108</v>
      </c>
    </row>
    <row r="3990" spans="1:2">
      <c r="A3990" s="2" t="s">
        <v>0</v>
      </c>
      <c r="B3990" s="2" t="s">
        <v>1</v>
      </c>
    </row>
    <row r="3991" spans="1:2">
      <c r="A3991" t="s">
        <v>1822</v>
      </c>
      <c r="B3991">
        <v>11</v>
      </c>
    </row>
    <row r="3992" spans="1:2">
      <c r="A3992" t="s">
        <v>154</v>
      </c>
      <c r="B3992">
        <v>132</v>
      </c>
    </row>
    <row r="3993" spans="1:2">
      <c r="A3993" t="s">
        <v>1299</v>
      </c>
      <c r="B3993">
        <v>8</v>
      </c>
    </row>
    <row r="3994" spans="1:2">
      <c r="A3994" t="s">
        <v>1898</v>
      </c>
      <c r="B3994">
        <v>1</v>
      </c>
    </row>
    <row r="3995" spans="1:2">
      <c r="A3995" t="s">
        <v>963</v>
      </c>
      <c r="B3995">
        <v>8</v>
      </c>
    </row>
    <row r="3996" spans="1:2">
      <c r="A3996" t="s">
        <v>435</v>
      </c>
      <c r="B3996">
        <v>10</v>
      </c>
    </row>
    <row r="3997" spans="1:2">
      <c r="A3997" s="2" t="s">
        <v>9</v>
      </c>
      <c r="B3997" s="2">
        <v>170</v>
      </c>
    </row>
    <row r="3999" spans="1:2">
      <c r="A3999" s="2" t="s">
        <v>2932</v>
      </c>
    </row>
    <row r="4000" spans="1:2">
      <c r="A4000" s="2" t="s">
        <v>0</v>
      </c>
      <c r="B4000" s="2" t="s">
        <v>1</v>
      </c>
    </row>
    <row r="4001" spans="1:2">
      <c r="A4001" t="s">
        <v>699</v>
      </c>
      <c r="B4001">
        <v>54</v>
      </c>
    </row>
    <row r="4002" spans="1:2">
      <c r="A4002" t="s">
        <v>1842</v>
      </c>
      <c r="B4002">
        <v>2</v>
      </c>
    </row>
    <row r="4003" spans="1:2">
      <c r="A4003" s="2" t="s">
        <v>9</v>
      </c>
      <c r="B4003" s="2">
        <v>56</v>
      </c>
    </row>
    <row r="4005" spans="1:2">
      <c r="A4005" s="2" t="s">
        <v>546</v>
      </c>
    </row>
    <row r="4006" spans="1:2">
      <c r="A4006" s="2" t="s">
        <v>0</v>
      </c>
      <c r="B4006" s="2" t="s">
        <v>1</v>
      </c>
    </row>
    <row r="4007" spans="1:2">
      <c r="A4007" t="s">
        <v>662</v>
      </c>
      <c r="B4007">
        <v>25</v>
      </c>
    </row>
    <row r="4008" spans="1:2">
      <c r="A4008" t="s">
        <v>210</v>
      </c>
      <c r="B4008">
        <v>23</v>
      </c>
    </row>
    <row r="4009" spans="1:2">
      <c r="A4009" t="s">
        <v>1900</v>
      </c>
      <c r="B4009">
        <v>2</v>
      </c>
    </row>
    <row r="4010" spans="1:2">
      <c r="A4010" t="s">
        <v>1734</v>
      </c>
      <c r="B4010">
        <v>2</v>
      </c>
    </row>
    <row r="4011" spans="1:2">
      <c r="A4011" t="s">
        <v>932</v>
      </c>
      <c r="B4011">
        <v>4</v>
      </c>
    </row>
    <row r="4012" spans="1:2">
      <c r="A4012" t="s">
        <v>2437</v>
      </c>
      <c r="B4012">
        <v>2</v>
      </c>
    </row>
    <row r="4013" spans="1:2">
      <c r="A4013" t="s">
        <v>409</v>
      </c>
      <c r="B4013">
        <v>2</v>
      </c>
    </row>
    <row r="4014" spans="1:2">
      <c r="A4014" t="s">
        <v>2499</v>
      </c>
      <c r="B4014">
        <v>2</v>
      </c>
    </row>
    <row r="4015" spans="1:2">
      <c r="A4015" t="s">
        <v>2523</v>
      </c>
      <c r="B4015">
        <v>2</v>
      </c>
    </row>
    <row r="4016" spans="1:2">
      <c r="A4016" t="s">
        <v>2531</v>
      </c>
      <c r="B4016">
        <v>2</v>
      </c>
    </row>
    <row r="4017" spans="1:2">
      <c r="A4017" t="s">
        <v>2683</v>
      </c>
      <c r="B4017">
        <v>1</v>
      </c>
    </row>
    <row r="4018" spans="1:2">
      <c r="A4018" s="2" t="s">
        <v>9</v>
      </c>
      <c r="B4018" s="2">
        <v>67</v>
      </c>
    </row>
    <row r="4020" spans="1:2">
      <c r="A4020" s="2" t="s">
        <v>49</v>
      </c>
    </row>
    <row r="4021" spans="1:2">
      <c r="A4021" s="2" t="s">
        <v>0</v>
      </c>
      <c r="B4021" s="2" t="s">
        <v>1</v>
      </c>
    </row>
    <row r="4022" spans="1:2">
      <c r="A4022" t="s">
        <v>148</v>
      </c>
      <c r="B4022">
        <v>96</v>
      </c>
    </row>
    <row r="4023" spans="1:2">
      <c r="A4023" t="s">
        <v>1375</v>
      </c>
      <c r="B4023">
        <v>1</v>
      </c>
    </row>
    <row r="4024" spans="1:2">
      <c r="A4024" t="s">
        <v>569</v>
      </c>
      <c r="B4024">
        <v>54</v>
      </c>
    </row>
    <row r="4025" spans="1:2">
      <c r="A4025" t="s">
        <v>1839</v>
      </c>
      <c r="B4025">
        <v>3</v>
      </c>
    </row>
    <row r="4026" spans="1:2">
      <c r="A4026" t="s">
        <v>1505</v>
      </c>
      <c r="B4026">
        <v>7</v>
      </c>
    </row>
    <row r="4027" spans="1:2">
      <c r="A4027" t="s">
        <v>1083</v>
      </c>
      <c r="B4027">
        <v>10</v>
      </c>
    </row>
    <row r="4028" spans="1:2">
      <c r="A4028" t="s">
        <v>1897</v>
      </c>
      <c r="B4028">
        <v>1</v>
      </c>
    </row>
    <row r="4029" spans="1:2">
      <c r="A4029" t="s">
        <v>1899</v>
      </c>
      <c r="B4029">
        <v>2</v>
      </c>
    </row>
    <row r="4030" spans="1:2">
      <c r="A4030" t="s">
        <v>1902</v>
      </c>
      <c r="B4030">
        <v>9</v>
      </c>
    </row>
    <row r="4031" spans="1:2">
      <c r="A4031" t="s">
        <v>893</v>
      </c>
      <c r="B4031">
        <v>15</v>
      </c>
    </row>
    <row r="4032" spans="1:2">
      <c r="A4032" t="s">
        <v>957</v>
      </c>
      <c r="B4032">
        <v>1</v>
      </c>
    </row>
    <row r="4033" spans="1:2">
      <c r="A4033" t="s">
        <v>404</v>
      </c>
      <c r="B4033">
        <v>1</v>
      </c>
    </row>
    <row r="4034" spans="1:2">
      <c r="A4034" t="s">
        <v>1987</v>
      </c>
      <c r="B4034">
        <v>1</v>
      </c>
    </row>
    <row r="4035" spans="1:2">
      <c r="A4035" t="s">
        <v>1991</v>
      </c>
      <c r="B4035">
        <v>2</v>
      </c>
    </row>
    <row r="4036" spans="1:2">
      <c r="A4036" t="s">
        <v>1494</v>
      </c>
      <c r="B4036">
        <v>6</v>
      </c>
    </row>
    <row r="4037" spans="1:2">
      <c r="A4037" t="s">
        <v>668</v>
      </c>
      <c r="B4037">
        <v>1</v>
      </c>
    </row>
    <row r="4038" spans="1:2">
      <c r="A4038" t="s">
        <v>2088</v>
      </c>
      <c r="B4038">
        <v>1</v>
      </c>
    </row>
    <row r="4039" spans="1:2">
      <c r="A4039" t="s">
        <v>2108</v>
      </c>
      <c r="B4039">
        <v>6</v>
      </c>
    </row>
    <row r="4040" spans="1:2">
      <c r="A4040" t="s">
        <v>754</v>
      </c>
      <c r="B4040">
        <v>4</v>
      </c>
    </row>
    <row r="4041" spans="1:2">
      <c r="A4041" t="s">
        <v>617</v>
      </c>
      <c r="B4041">
        <v>4</v>
      </c>
    </row>
    <row r="4042" spans="1:2">
      <c r="A4042" t="s">
        <v>633</v>
      </c>
      <c r="B4042">
        <v>4</v>
      </c>
    </row>
    <row r="4043" spans="1:2">
      <c r="A4043" t="s">
        <v>2157</v>
      </c>
      <c r="B4043">
        <v>1</v>
      </c>
    </row>
    <row r="4044" spans="1:2">
      <c r="A4044" t="s">
        <v>2160</v>
      </c>
      <c r="B4044">
        <v>1</v>
      </c>
    </row>
    <row r="4045" spans="1:2">
      <c r="A4045" t="s">
        <v>1784</v>
      </c>
      <c r="B4045">
        <v>1</v>
      </c>
    </row>
    <row r="4046" spans="1:2">
      <c r="A4046" t="s">
        <v>1471</v>
      </c>
      <c r="B4046">
        <v>6</v>
      </c>
    </row>
    <row r="4047" spans="1:2">
      <c r="A4047" t="s">
        <v>759</v>
      </c>
      <c r="B4047">
        <v>12</v>
      </c>
    </row>
    <row r="4048" spans="1:2">
      <c r="A4048" t="s">
        <v>2202</v>
      </c>
      <c r="B4048">
        <v>1</v>
      </c>
    </row>
    <row r="4049" spans="1:2">
      <c r="A4049" t="s">
        <v>29</v>
      </c>
      <c r="B4049">
        <v>6</v>
      </c>
    </row>
    <row r="4050" spans="1:2">
      <c r="A4050" t="s">
        <v>1111</v>
      </c>
      <c r="B4050">
        <v>1</v>
      </c>
    </row>
    <row r="4051" spans="1:2">
      <c r="A4051" t="s">
        <v>1031</v>
      </c>
      <c r="B4051">
        <v>4</v>
      </c>
    </row>
    <row r="4052" spans="1:2">
      <c r="A4052" t="s">
        <v>1510</v>
      </c>
      <c r="B4052">
        <v>2</v>
      </c>
    </row>
    <row r="4053" spans="1:2">
      <c r="A4053" t="s">
        <v>1458</v>
      </c>
      <c r="B4053">
        <v>5</v>
      </c>
    </row>
    <row r="4054" spans="1:2">
      <c r="A4054" t="s">
        <v>2248</v>
      </c>
      <c r="B4054">
        <v>3</v>
      </c>
    </row>
    <row r="4055" spans="1:2">
      <c r="A4055" t="s">
        <v>1349</v>
      </c>
      <c r="B4055">
        <v>4</v>
      </c>
    </row>
    <row r="4056" spans="1:2">
      <c r="A4056" t="s">
        <v>1348</v>
      </c>
      <c r="B4056">
        <v>3</v>
      </c>
    </row>
    <row r="4057" spans="1:2">
      <c r="A4057" t="s">
        <v>1094</v>
      </c>
      <c r="B4057">
        <v>11</v>
      </c>
    </row>
    <row r="4058" spans="1:2">
      <c r="A4058" t="s">
        <v>202</v>
      </c>
      <c r="B4058">
        <v>8</v>
      </c>
    </row>
    <row r="4059" spans="1:2">
      <c r="A4059" t="s">
        <v>2325</v>
      </c>
      <c r="B4059">
        <v>1</v>
      </c>
    </row>
    <row r="4060" spans="1:2">
      <c r="A4060" t="s">
        <v>333</v>
      </c>
      <c r="B4060">
        <v>6</v>
      </c>
    </row>
    <row r="4061" spans="1:2">
      <c r="A4061" t="s">
        <v>1487</v>
      </c>
      <c r="B4061">
        <v>2</v>
      </c>
    </row>
    <row r="4062" spans="1:2">
      <c r="A4062" t="s">
        <v>1364</v>
      </c>
      <c r="B4062">
        <v>5</v>
      </c>
    </row>
    <row r="4063" spans="1:2">
      <c r="A4063" t="s">
        <v>632</v>
      </c>
      <c r="B4063">
        <v>3</v>
      </c>
    </row>
    <row r="4064" spans="1:2">
      <c r="A4064" t="s">
        <v>1101</v>
      </c>
      <c r="B4064">
        <v>3</v>
      </c>
    </row>
    <row r="4065" spans="1:2">
      <c r="A4065" t="s">
        <v>2413</v>
      </c>
      <c r="B4065">
        <v>1</v>
      </c>
    </row>
    <row r="4066" spans="1:2">
      <c r="A4066" t="s">
        <v>1413</v>
      </c>
      <c r="B4066">
        <v>4</v>
      </c>
    </row>
    <row r="4067" spans="1:2">
      <c r="A4067" t="s">
        <v>2435</v>
      </c>
      <c r="B4067">
        <v>1</v>
      </c>
    </row>
    <row r="4068" spans="1:2">
      <c r="A4068" t="s">
        <v>2459</v>
      </c>
      <c r="B4068">
        <v>1</v>
      </c>
    </row>
    <row r="4069" spans="1:2">
      <c r="A4069" t="s">
        <v>2460</v>
      </c>
      <c r="B4069">
        <v>1</v>
      </c>
    </row>
    <row r="4070" spans="1:2">
      <c r="A4070" t="s">
        <v>2488</v>
      </c>
      <c r="B4070">
        <v>1</v>
      </c>
    </row>
    <row r="4071" spans="1:2">
      <c r="A4071" t="s">
        <v>2493</v>
      </c>
      <c r="B4071">
        <v>1</v>
      </c>
    </row>
    <row r="4072" spans="1:2">
      <c r="A4072" t="s">
        <v>1282</v>
      </c>
      <c r="B4072">
        <v>2</v>
      </c>
    </row>
    <row r="4073" spans="1:2">
      <c r="A4073" t="s">
        <v>292</v>
      </c>
      <c r="B4073">
        <v>1</v>
      </c>
    </row>
    <row r="4074" spans="1:2">
      <c r="A4074" t="s">
        <v>1358</v>
      </c>
      <c r="B4074">
        <v>3</v>
      </c>
    </row>
    <row r="4075" spans="1:2">
      <c r="A4075" t="s">
        <v>1378</v>
      </c>
      <c r="B4075">
        <v>6</v>
      </c>
    </row>
    <row r="4076" spans="1:2">
      <c r="A4076" t="s">
        <v>2537</v>
      </c>
      <c r="B4076">
        <v>1</v>
      </c>
    </row>
    <row r="4077" spans="1:2">
      <c r="A4077" t="s">
        <v>1175</v>
      </c>
      <c r="B4077">
        <v>1</v>
      </c>
    </row>
    <row r="4078" spans="1:2">
      <c r="A4078" t="s">
        <v>2555</v>
      </c>
      <c r="B4078">
        <v>1</v>
      </c>
    </row>
    <row r="4079" spans="1:2">
      <c r="A4079" t="s">
        <v>636</v>
      </c>
      <c r="B4079">
        <v>2</v>
      </c>
    </row>
    <row r="4080" spans="1:2">
      <c r="A4080" t="s">
        <v>2622</v>
      </c>
      <c r="B4080">
        <v>2</v>
      </c>
    </row>
    <row r="4081" spans="1:2">
      <c r="A4081" t="s">
        <v>2629</v>
      </c>
      <c r="B4081">
        <v>1</v>
      </c>
    </row>
    <row r="4082" spans="1:2">
      <c r="A4082" t="s">
        <v>332</v>
      </c>
      <c r="B4082">
        <v>1</v>
      </c>
    </row>
    <row r="4083" spans="1:2">
      <c r="A4083" t="s">
        <v>875</v>
      </c>
      <c r="B4083">
        <v>2</v>
      </c>
    </row>
    <row r="4084" spans="1:2">
      <c r="A4084" t="s">
        <v>1750</v>
      </c>
      <c r="B4084">
        <v>1</v>
      </c>
    </row>
    <row r="4085" spans="1:2">
      <c r="A4085" t="s">
        <v>947</v>
      </c>
      <c r="B4085">
        <v>3</v>
      </c>
    </row>
    <row r="4086" spans="1:2">
      <c r="A4086" t="s">
        <v>2725</v>
      </c>
      <c r="B4086">
        <v>1</v>
      </c>
    </row>
    <row r="4087" spans="1:2">
      <c r="A4087" t="s">
        <v>2743</v>
      </c>
      <c r="B4087">
        <v>1</v>
      </c>
    </row>
    <row r="4088" spans="1:2">
      <c r="A4088" t="s">
        <v>2799</v>
      </c>
      <c r="B4088">
        <v>1</v>
      </c>
    </row>
    <row r="4089" spans="1:2">
      <c r="A4089" t="s">
        <v>2852</v>
      </c>
      <c r="B4089">
        <v>1</v>
      </c>
    </row>
    <row r="4090" spans="1:2">
      <c r="A4090" t="s">
        <v>2912</v>
      </c>
      <c r="B4090">
        <v>1</v>
      </c>
    </row>
    <row r="4091" spans="1:2">
      <c r="A4091" s="2" t="s">
        <v>9</v>
      </c>
      <c r="B4091" s="2">
        <v>360</v>
      </c>
    </row>
    <row r="4093" spans="1:2">
      <c r="A4093" s="2" t="s">
        <v>2933</v>
      </c>
    </row>
    <row r="4094" spans="1:2">
      <c r="A4094" s="2" t="s">
        <v>0</v>
      </c>
      <c r="B4094" s="2" t="s">
        <v>1</v>
      </c>
    </row>
    <row r="4095" spans="1:2">
      <c r="A4095" t="s">
        <v>808</v>
      </c>
      <c r="B4095">
        <v>13</v>
      </c>
    </row>
    <row r="4096" spans="1:2">
      <c r="A4096" t="s">
        <v>748</v>
      </c>
      <c r="B4096">
        <v>15</v>
      </c>
    </row>
    <row r="4097" spans="1:2">
      <c r="A4097" t="s">
        <v>710</v>
      </c>
      <c r="B4097">
        <v>11</v>
      </c>
    </row>
    <row r="4098" spans="1:2">
      <c r="A4098" t="s">
        <v>1470</v>
      </c>
      <c r="B4098">
        <v>27</v>
      </c>
    </row>
    <row r="4099" spans="1:2">
      <c r="A4099" t="s">
        <v>1851</v>
      </c>
      <c r="B4099">
        <v>1</v>
      </c>
    </row>
    <row r="4100" spans="1:2">
      <c r="A4100" t="s">
        <v>199</v>
      </c>
      <c r="B4100">
        <v>2</v>
      </c>
    </row>
    <row r="4101" spans="1:2">
      <c r="A4101" t="s">
        <v>1861</v>
      </c>
      <c r="B4101">
        <v>1</v>
      </c>
    </row>
    <row r="4102" spans="1:2">
      <c r="A4102" t="s">
        <v>139</v>
      </c>
      <c r="B4102">
        <v>47</v>
      </c>
    </row>
    <row r="4103" spans="1:2">
      <c r="A4103" t="s">
        <v>688</v>
      </c>
      <c r="B4103">
        <v>3</v>
      </c>
    </row>
    <row r="4104" spans="1:2">
      <c r="A4104" t="s">
        <v>1885</v>
      </c>
      <c r="B4104">
        <v>7</v>
      </c>
    </row>
    <row r="4105" spans="1:2">
      <c r="A4105" t="s">
        <v>136</v>
      </c>
      <c r="B4105">
        <v>23</v>
      </c>
    </row>
    <row r="4106" spans="1:2">
      <c r="A4106" t="s">
        <v>918</v>
      </c>
      <c r="B4106">
        <v>3</v>
      </c>
    </row>
    <row r="4107" spans="1:2">
      <c r="A4107" t="s">
        <v>1910</v>
      </c>
      <c r="B4107">
        <v>3</v>
      </c>
    </row>
    <row r="4108" spans="1:2">
      <c r="A4108" t="s">
        <v>793</v>
      </c>
      <c r="B4108">
        <v>3</v>
      </c>
    </row>
    <row r="4109" spans="1:2">
      <c r="A4109" t="s">
        <v>470</v>
      </c>
      <c r="B4109">
        <v>3</v>
      </c>
    </row>
    <row r="4110" spans="1:2">
      <c r="A4110" t="s">
        <v>770</v>
      </c>
      <c r="B4110">
        <v>7</v>
      </c>
    </row>
    <row r="4111" spans="1:2">
      <c r="A4111" t="s">
        <v>1958</v>
      </c>
      <c r="B4111">
        <v>1</v>
      </c>
    </row>
    <row r="4112" spans="1:2">
      <c r="A4112" t="s">
        <v>1976</v>
      </c>
      <c r="B4112">
        <v>1</v>
      </c>
    </row>
    <row r="4113" spans="1:2">
      <c r="A4113" t="s">
        <v>1272</v>
      </c>
      <c r="B4113">
        <v>3</v>
      </c>
    </row>
    <row r="4114" spans="1:2">
      <c r="A4114" t="s">
        <v>2042</v>
      </c>
      <c r="B4114">
        <v>2</v>
      </c>
    </row>
    <row r="4115" spans="1:2">
      <c r="A4115" t="s">
        <v>275</v>
      </c>
      <c r="B4115">
        <v>3</v>
      </c>
    </row>
    <row r="4116" spans="1:2">
      <c r="A4116" t="s">
        <v>2072</v>
      </c>
      <c r="B4116">
        <v>3</v>
      </c>
    </row>
    <row r="4117" spans="1:2">
      <c r="A4117" t="s">
        <v>1105</v>
      </c>
      <c r="B4117">
        <v>19</v>
      </c>
    </row>
    <row r="4118" spans="1:2">
      <c r="A4118" t="s">
        <v>2121</v>
      </c>
      <c r="B4118">
        <v>1</v>
      </c>
    </row>
    <row r="4119" spans="1:2">
      <c r="A4119" t="s">
        <v>734</v>
      </c>
      <c r="B4119">
        <v>2</v>
      </c>
    </row>
    <row r="4120" spans="1:2">
      <c r="A4120" t="s">
        <v>1513</v>
      </c>
      <c r="B4120">
        <v>2</v>
      </c>
    </row>
    <row r="4121" spans="1:2">
      <c r="A4121" t="s">
        <v>2154</v>
      </c>
      <c r="B4121">
        <v>1</v>
      </c>
    </row>
    <row r="4122" spans="1:2">
      <c r="A4122" t="s">
        <v>837</v>
      </c>
      <c r="B4122">
        <v>5</v>
      </c>
    </row>
    <row r="4123" spans="1:2">
      <c r="A4123" t="s">
        <v>989</v>
      </c>
      <c r="B4123">
        <v>6</v>
      </c>
    </row>
    <row r="4124" spans="1:2">
      <c r="A4124" t="s">
        <v>341</v>
      </c>
      <c r="B4124">
        <v>1</v>
      </c>
    </row>
    <row r="4125" spans="1:2">
      <c r="A4125" t="s">
        <v>909</v>
      </c>
      <c r="B4125">
        <v>10</v>
      </c>
    </row>
    <row r="4126" spans="1:2">
      <c r="A4126" t="s">
        <v>574</v>
      </c>
      <c r="B4126">
        <v>7</v>
      </c>
    </row>
    <row r="4127" spans="1:2">
      <c r="A4127" t="s">
        <v>2201</v>
      </c>
      <c r="B4127">
        <v>1</v>
      </c>
    </row>
    <row r="4128" spans="1:2">
      <c r="A4128" t="s">
        <v>2223</v>
      </c>
      <c r="B4128">
        <v>2</v>
      </c>
    </row>
    <row r="4129" spans="1:2">
      <c r="A4129" t="s">
        <v>2280</v>
      </c>
      <c r="B4129">
        <v>1</v>
      </c>
    </row>
    <row r="4130" spans="1:2">
      <c r="A4130" t="s">
        <v>2304</v>
      </c>
      <c r="B4130">
        <v>4</v>
      </c>
    </row>
    <row r="4131" spans="1:2">
      <c r="A4131" t="s">
        <v>2314</v>
      </c>
      <c r="B4131">
        <v>1</v>
      </c>
    </row>
    <row r="4132" spans="1:2">
      <c r="A4132" t="s">
        <v>2318</v>
      </c>
      <c r="B4132">
        <v>4</v>
      </c>
    </row>
    <row r="4133" spans="1:2">
      <c r="A4133" t="s">
        <v>684</v>
      </c>
      <c r="B4133">
        <v>2</v>
      </c>
    </row>
    <row r="4134" spans="1:2">
      <c r="A4134" t="s">
        <v>147</v>
      </c>
      <c r="B4134">
        <v>13</v>
      </c>
    </row>
    <row r="4135" spans="1:2">
      <c r="A4135" t="s">
        <v>2339</v>
      </c>
      <c r="B4135">
        <v>1</v>
      </c>
    </row>
    <row r="4136" spans="1:2">
      <c r="A4136" t="s">
        <v>2421</v>
      </c>
      <c r="B4136">
        <v>1</v>
      </c>
    </row>
    <row r="4137" spans="1:2">
      <c r="A4137" t="s">
        <v>2455</v>
      </c>
      <c r="B4137">
        <v>10</v>
      </c>
    </row>
    <row r="4138" spans="1:2">
      <c r="A4138" t="s">
        <v>2456</v>
      </c>
      <c r="B4138">
        <v>2</v>
      </c>
    </row>
    <row r="4139" spans="1:2">
      <c r="A4139" t="s">
        <v>2492</v>
      </c>
      <c r="B4139">
        <v>1</v>
      </c>
    </row>
    <row r="4140" spans="1:2">
      <c r="A4140" t="s">
        <v>2508</v>
      </c>
      <c r="B4140">
        <v>1</v>
      </c>
    </row>
    <row r="4141" spans="1:2">
      <c r="A4141" t="s">
        <v>2535</v>
      </c>
      <c r="B4141">
        <v>2</v>
      </c>
    </row>
    <row r="4142" spans="1:2">
      <c r="A4142" t="s">
        <v>1026</v>
      </c>
      <c r="B4142">
        <v>2</v>
      </c>
    </row>
    <row r="4143" spans="1:2">
      <c r="A4143" t="s">
        <v>2617</v>
      </c>
      <c r="B4143">
        <v>8</v>
      </c>
    </row>
    <row r="4144" spans="1:2">
      <c r="A4144" t="s">
        <v>848</v>
      </c>
      <c r="B4144">
        <v>6</v>
      </c>
    </row>
    <row r="4145" spans="1:2">
      <c r="A4145" t="s">
        <v>2724</v>
      </c>
      <c r="B4145">
        <v>1</v>
      </c>
    </row>
    <row r="4146" spans="1:2">
      <c r="A4146" s="2" t="s">
        <v>9</v>
      </c>
      <c r="B4146" s="2">
        <v>299</v>
      </c>
    </row>
    <row r="4148" spans="1:2">
      <c r="A4148" s="2" t="s">
        <v>2934</v>
      </c>
    </row>
    <row r="4149" spans="1:2">
      <c r="A4149" s="2" t="s">
        <v>0</v>
      </c>
      <c r="B4149" s="2" t="s">
        <v>1</v>
      </c>
    </row>
    <row r="4150" spans="1:2">
      <c r="A4150" t="s">
        <v>1875</v>
      </c>
      <c r="B4150">
        <v>4</v>
      </c>
    </row>
    <row r="4151" spans="1:2">
      <c r="A4151" t="s">
        <v>269</v>
      </c>
      <c r="B4151">
        <v>12</v>
      </c>
    </row>
    <row r="4152" spans="1:2">
      <c r="A4152" t="s">
        <v>678</v>
      </c>
      <c r="B4152">
        <v>25</v>
      </c>
    </row>
    <row r="4153" spans="1:2">
      <c r="A4153" t="s">
        <v>1930</v>
      </c>
      <c r="B4153">
        <v>1</v>
      </c>
    </row>
    <row r="4154" spans="1:2">
      <c r="A4154" t="s">
        <v>360</v>
      </c>
      <c r="B4154">
        <v>22</v>
      </c>
    </row>
    <row r="4155" spans="1:2">
      <c r="A4155" t="s">
        <v>493</v>
      </c>
      <c r="B4155">
        <v>21</v>
      </c>
    </row>
    <row r="4156" spans="1:2">
      <c r="A4156" t="s">
        <v>729</v>
      </c>
      <c r="B4156">
        <v>3</v>
      </c>
    </row>
    <row r="4157" spans="1:2">
      <c r="A4157" t="s">
        <v>251</v>
      </c>
      <c r="B4157">
        <v>65</v>
      </c>
    </row>
    <row r="4158" spans="1:2">
      <c r="A4158" t="s">
        <v>315</v>
      </c>
      <c r="B4158">
        <v>4</v>
      </c>
    </row>
    <row r="4159" spans="1:2">
      <c r="A4159" t="s">
        <v>1171</v>
      </c>
      <c r="B4159">
        <v>1</v>
      </c>
    </row>
    <row r="4160" spans="1:2">
      <c r="A4160" t="s">
        <v>352</v>
      </c>
      <c r="B4160">
        <v>14</v>
      </c>
    </row>
    <row r="4161" spans="1:2">
      <c r="A4161" t="s">
        <v>495</v>
      </c>
      <c r="B4161">
        <v>10</v>
      </c>
    </row>
    <row r="4162" spans="1:2">
      <c r="A4162" t="s">
        <v>2058</v>
      </c>
      <c r="B4162">
        <v>3</v>
      </c>
    </row>
    <row r="4163" spans="1:2">
      <c r="A4163" t="s">
        <v>423</v>
      </c>
      <c r="B4163">
        <v>55</v>
      </c>
    </row>
    <row r="4164" spans="1:2">
      <c r="A4164" t="s">
        <v>2084</v>
      </c>
      <c r="B4164">
        <v>3</v>
      </c>
    </row>
    <row r="4165" spans="1:2">
      <c r="A4165" t="s">
        <v>775</v>
      </c>
      <c r="B4165">
        <v>3</v>
      </c>
    </row>
    <row r="4166" spans="1:2">
      <c r="A4166" t="s">
        <v>2090</v>
      </c>
      <c r="B4166">
        <v>3</v>
      </c>
    </row>
    <row r="4167" spans="1:2">
      <c r="A4167" t="s">
        <v>1360</v>
      </c>
      <c r="B4167">
        <v>7</v>
      </c>
    </row>
    <row r="4168" spans="1:2">
      <c r="A4168" t="s">
        <v>358</v>
      </c>
      <c r="B4168">
        <v>27</v>
      </c>
    </row>
    <row r="4169" spans="1:2">
      <c r="A4169" t="s">
        <v>2110</v>
      </c>
      <c r="B4169">
        <v>1</v>
      </c>
    </row>
    <row r="4170" spans="1:2">
      <c r="A4170" t="s">
        <v>2113</v>
      </c>
      <c r="B4170">
        <v>2</v>
      </c>
    </row>
    <row r="4171" spans="1:2">
      <c r="A4171" t="s">
        <v>450</v>
      </c>
      <c r="B4171">
        <v>22</v>
      </c>
    </row>
    <row r="4172" spans="1:2">
      <c r="A4172" t="s">
        <v>2139</v>
      </c>
      <c r="B4172">
        <v>3</v>
      </c>
    </row>
    <row r="4173" spans="1:2">
      <c r="A4173" t="s">
        <v>501</v>
      </c>
      <c r="B4173">
        <v>38</v>
      </c>
    </row>
    <row r="4174" spans="1:2">
      <c r="A4174" t="s">
        <v>487</v>
      </c>
      <c r="B4174">
        <v>8</v>
      </c>
    </row>
    <row r="4175" spans="1:2">
      <c r="A4175" t="s">
        <v>2214</v>
      </c>
      <c r="B4175">
        <v>1</v>
      </c>
    </row>
    <row r="4176" spans="1:2">
      <c r="A4176" t="s">
        <v>2221</v>
      </c>
      <c r="B4176">
        <v>2</v>
      </c>
    </row>
    <row r="4177" spans="1:2">
      <c r="A4177" t="s">
        <v>2229</v>
      </c>
      <c r="B4177">
        <v>4</v>
      </c>
    </row>
    <row r="4178" spans="1:2">
      <c r="A4178" t="s">
        <v>2231</v>
      </c>
      <c r="B4178">
        <v>3</v>
      </c>
    </row>
    <row r="4179" spans="1:2">
      <c r="A4179" t="s">
        <v>380</v>
      </c>
      <c r="B4179">
        <v>3</v>
      </c>
    </row>
    <row r="4180" spans="1:2">
      <c r="A4180" t="s">
        <v>2247</v>
      </c>
      <c r="B4180">
        <v>3</v>
      </c>
    </row>
    <row r="4181" spans="1:2">
      <c r="A4181" t="s">
        <v>1208</v>
      </c>
      <c r="B4181">
        <v>3</v>
      </c>
    </row>
    <row r="4182" spans="1:2">
      <c r="A4182" s="2" t="s">
        <v>9</v>
      </c>
      <c r="B4182" s="2">
        <v>376</v>
      </c>
    </row>
    <row r="4184" spans="1:2">
      <c r="A4184" s="2" t="s">
        <v>11</v>
      </c>
    </row>
    <row r="4185" spans="1:2">
      <c r="A4185" s="2" t="s">
        <v>0</v>
      </c>
      <c r="B4185" s="2" t="s">
        <v>1</v>
      </c>
    </row>
    <row r="4186" spans="1:2">
      <c r="A4186" t="s">
        <v>225</v>
      </c>
      <c r="B4186">
        <v>5</v>
      </c>
    </row>
    <row r="4187" spans="1:2">
      <c r="A4187" t="s">
        <v>1877</v>
      </c>
      <c r="B4187">
        <v>3</v>
      </c>
    </row>
    <row r="4188" spans="1:2">
      <c r="A4188" t="s">
        <v>1882</v>
      </c>
      <c r="B4188">
        <v>4</v>
      </c>
    </row>
    <row r="4189" spans="1:2">
      <c r="A4189" t="s">
        <v>1886</v>
      </c>
      <c r="B4189">
        <v>5</v>
      </c>
    </row>
    <row r="4190" spans="1:2">
      <c r="A4190" t="s">
        <v>426</v>
      </c>
      <c r="B4190">
        <v>17</v>
      </c>
    </row>
    <row r="4191" spans="1:2">
      <c r="A4191" t="s">
        <v>1355</v>
      </c>
      <c r="B4191">
        <v>2</v>
      </c>
    </row>
    <row r="4192" spans="1:2">
      <c r="A4192" t="s">
        <v>1110</v>
      </c>
      <c r="B4192">
        <v>8</v>
      </c>
    </row>
    <row r="4193" spans="1:2">
      <c r="A4193" t="s">
        <v>2002</v>
      </c>
      <c r="B4193">
        <v>2</v>
      </c>
    </row>
    <row r="4194" spans="1:2">
      <c r="A4194" t="s">
        <v>2016</v>
      </c>
      <c r="B4194">
        <v>3</v>
      </c>
    </row>
    <row r="4195" spans="1:2">
      <c r="A4195" t="s">
        <v>649</v>
      </c>
      <c r="B4195">
        <v>4</v>
      </c>
    </row>
    <row r="4196" spans="1:2">
      <c r="A4196" t="s">
        <v>2018</v>
      </c>
      <c r="B4196">
        <v>1</v>
      </c>
    </row>
    <row r="4197" spans="1:2">
      <c r="A4197" t="s">
        <v>2019</v>
      </c>
      <c r="B4197">
        <v>2</v>
      </c>
    </row>
    <row r="4198" spans="1:2">
      <c r="A4198" t="s">
        <v>722</v>
      </c>
      <c r="B4198">
        <v>3</v>
      </c>
    </row>
    <row r="4199" spans="1:2">
      <c r="A4199" t="s">
        <v>1765</v>
      </c>
      <c r="B4199">
        <v>10</v>
      </c>
    </row>
    <row r="4200" spans="1:2">
      <c r="A4200" t="s">
        <v>2073</v>
      </c>
      <c r="B4200">
        <v>1</v>
      </c>
    </row>
    <row r="4201" spans="1:2">
      <c r="A4201" t="s">
        <v>351</v>
      </c>
      <c r="B4201">
        <v>2</v>
      </c>
    </row>
    <row r="4202" spans="1:2">
      <c r="A4202" t="s">
        <v>2087</v>
      </c>
      <c r="B4202">
        <v>2</v>
      </c>
    </row>
    <row r="4203" spans="1:2">
      <c r="A4203" t="s">
        <v>2094</v>
      </c>
      <c r="B4203">
        <v>6</v>
      </c>
    </row>
    <row r="4204" spans="1:2">
      <c r="A4204" t="s">
        <v>1010</v>
      </c>
      <c r="B4204">
        <v>6</v>
      </c>
    </row>
    <row r="4205" spans="1:2">
      <c r="A4205" t="s">
        <v>587</v>
      </c>
      <c r="B4205">
        <v>6</v>
      </c>
    </row>
    <row r="4206" spans="1:2">
      <c r="A4206" t="s">
        <v>2125</v>
      </c>
      <c r="B4206">
        <v>2</v>
      </c>
    </row>
    <row r="4207" spans="1:2">
      <c r="A4207" t="s">
        <v>2126</v>
      </c>
      <c r="B4207">
        <v>2</v>
      </c>
    </row>
    <row r="4208" spans="1:2">
      <c r="A4208" t="s">
        <v>2130</v>
      </c>
      <c r="B4208">
        <v>1</v>
      </c>
    </row>
    <row r="4209" spans="1:2">
      <c r="A4209" t="s">
        <v>2144</v>
      </c>
      <c r="B4209">
        <v>1</v>
      </c>
    </row>
    <row r="4210" spans="1:2">
      <c r="A4210" t="s">
        <v>2192</v>
      </c>
      <c r="B4210">
        <v>2</v>
      </c>
    </row>
    <row r="4211" spans="1:2">
      <c r="A4211" t="s">
        <v>602</v>
      </c>
      <c r="B4211">
        <v>6</v>
      </c>
    </row>
    <row r="4212" spans="1:2">
      <c r="A4212" t="s">
        <v>2197</v>
      </c>
      <c r="B4212">
        <v>1</v>
      </c>
    </row>
    <row r="4213" spans="1:2">
      <c r="A4213" t="s">
        <v>762</v>
      </c>
      <c r="B4213">
        <v>19</v>
      </c>
    </row>
    <row r="4214" spans="1:2">
      <c r="A4214" t="s">
        <v>1389</v>
      </c>
      <c r="B4214">
        <v>3</v>
      </c>
    </row>
    <row r="4215" spans="1:2">
      <c r="A4215" t="s">
        <v>1197</v>
      </c>
      <c r="B4215">
        <v>2</v>
      </c>
    </row>
    <row r="4216" spans="1:2">
      <c r="A4216" t="s">
        <v>1183</v>
      </c>
      <c r="B4216">
        <v>2</v>
      </c>
    </row>
    <row r="4217" spans="1:2">
      <c r="A4217" t="s">
        <v>794</v>
      </c>
      <c r="B4217">
        <v>3</v>
      </c>
    </row>
    <row r="4218" spans="1:2">
      <c r="A4218" t="s">
        <v>2257</v>
      </c>
      <c r="B4218">
        <v>3</v>
      </c>
    </row>
    <row r="4219" spans="1:2">
      <c r="A4219" t="s">
        <v>399</v>
      </c>
      <c r="B4219">
        <v>8</v>
      </c>
    </row>
    <row r="4220" spans="1:2">
      <c r="A4220" t="s">
        <v>1705</v>
      </c>
      <c r="B4220">
        <v>1</v>
      </c>
    </row>
    <row r="4221" spans="1:2">
      <c r="A4221" t="s">
        <v>1022</v>
      </c>
      <c r="B4221">
        <v>1</v>
      </c>
    </row>
    <row r="4222" spans="1:2">
      <c r="A4222" t="s">
        <v>2302</v>
      </c>
      <c r="B4222">
        <v>4</v>
      </c>
    </row>
    <row r="4223" spans="1:2">
      <c r="A4223" t="s">
        <v>1316</v>
      </c>
      <c r="B4223">
        <v>9</v>
      </c>
    </row>
    <row r="4224" spans="1:2">
      <c r="A4224" t="s">
        <v>2317</v>
      </c>
      <c r="B4224">
        <v>1</v>
      </c>
    </row>
    <row r="4225" spans="1:2">
      <c r="A4225" t="s">
        <v>2319</v>
      </c>
      <c r="B4225">
        <v>1</v>
      </c>
    </row>
    <row r="4226" spans="1:2">
      <c r="A4226" t="s">
        <v>2327</v>
      </c>
      <c r="B4226">
        <v>1</v>
      </c>
    </row>
    <row r="4227" spans="1:2">
      <c r="A4227" t="s">
        <v>276</v>
      </c>
      <c r="B4227">
        <v>1</v>
      </c>
    </row>
    <row r="4228" spans="1:2">
      <c r="A4228" t="s">
        <v>243</v>
      </c>
      <c r="B4228">
        <v>4</v>
      </c>
    </row>
    <row r="4229" spans="1:2">
      <c r="A4229" t="s">
        <v>2419</v>
      </c>
      <c r="B4229">
        <v>1</v>
      </c>
    </row>
    <row r="4230" spans="1:2">
      <c r="A4230" t="s">
        <v>2430</v>
      </c>
      <c r="B4230">
        <v>1</v>
      </c>
    </row>
    <row r="4231" spans="1:2">
      <c r="A4231" t="s">
        <v>2436</v>
      </c>
      <c r="B4231">
        <v>2</v>
      </c>
    </row>
    <row r="4232" spans="1:2">
      <c r="A4232" t="s">
        <v>2454</v>
      </c>
      <c r="B4232">
        <v>1</v>
      </c>
    </row>
    <row r="4233" spans="1:2">
      <c r="A4233" t="s">
        <v>985</v>
      </c>
      <c r="B4233">
        <v>1</v>
      </c>
    </row>
    <row r="4234" spans="1:2">
      <c r="A4234" t="s">
        <v>1684</v>
      </c>
      <c r="B4234">
        <v>1</v>
      </c>
    </row>
    <row r="4235" spans="1:2">
      <c r="A4235" t="s">
        <v>2509</v>
      </c>
      <c r="B4235">
        <v>1</v>
      </c>
    </row>
    <row r="4236" spans="1:2">
      <c r="A4236" t="s">
        <v>1665</v>
      </c>
      <c r="B4236">
        <v>2</v>
      </c>
    </row>
    <row r="4237" spans="1:2">
      <c r="A4237" t="s">
        <v>2510</v>
      </c>
      <c r="B4237">
        <v>5</v>
      </c>
    </row>
    <row r="4238" spans="1:2">
      <c r="A4238" t="s">
        <v>1686</v>
      </c>
      <c r="B4238">
        <v>2</v>
      </c>
    </row>
    <row r="4239" spans="1:2">
      <c r="A4239" t="s">
        <v>2538</v>
      </c>
      <c r="B4239">
        <v>1</v>
      </c>
    </row>
    <row r="4240" spans="1:2">
      <c r="A4240" t="s">
        <v>2564</v>
      </c>
      <c r="B4240">
        <v>1</v>
      </c>
    </row>
    <row r="4241" spans="1:2">
      <c r="A4241" t="s">
        <v>2584</v>
      </c>
      <c r="B4241">
        <v>2</v>
      </c>
    </row>
    <row r="4242" spans="1:2">
      <c r="A4242" t="s">
        <v>2608</v>
      </c>
      <c r="B4242">
        <v>2</v>
      </c>
    </row>
    <row r="4243" spans="1:2">
      <c r="A4243" t="s">
        <v>2615</v>
      </c>
      <c r="B4243">
        <v>1</v>
      </c>
    </row>
    <row r="4244" spans="1:2">
      <c r="A4244" t="s">
        <v>2624</v>
      </c>
      <c r="B4244">
        <v>1</v>
      </c>
    </row>
    <row r="4245" spans="1:2">
      <c r="A4245" t="s">
        <v>2650</v>
      </c>
      <c r="B4245">
        <v>1</v>
      </c>
    </row>
    <row r="4246" spans="1:2">
      <c r="A4246" t="s">
        <v>634</v>
      </c>
      <c r="B4246">
        <v>3</v>
      </c>
    </row>
    <row r="4247" spans="1:2">
      <c r="A4247" t="s">
        <v>497</v>
      </c>
      <c r="B4247">
        <v>22</v>
      </c>
    </row>
    <row r="4248" spans="1:2">
      <c r="A4248" t="s">
        <v>1658</v>
      </c>
      <c r="B4248">
        <v>12</v>
      </c>
    </row>
    <row r="4249" spans="1:2">
      <c r="A4249" t="s">
        <v>2715</v>
      </c>
      <c r="B4249">
        <v>2</v>
      </c>
    </row>
    <row r="4250" spans="1:2">
      <c r="A4250" t="s">
        <v>2740</v>
      </c>
      <c r="B4250">
        <v>1</v>
      </c>
    </row>
    <row r="4251" spans="1:2">
      <c r="A4251" t="s">
        <v>2742</v>
      </c>
      <c r="B4251">
        <v>1</v>
      </c>
    </row>
    <row r="4252" spans="1:2">
      <c r="A4252" t="s">
        <v>514</v>
      </c>
      <c r="B4252">
        <v>9</v>
      </c>
    </row>
    <row r="4253" spans="1:2">
      <c r="A4253" t="s">
        <v>1664</v>
      </c>
      <c r="B4253">
        <v>4</v>
      </c>
    </row>
    <row r="4254" spans="1:2">
      <c r="A4254" t="s">
        <v>2793</v>
      </c>
      <c r="B4254">
        <v>1</v>
      </c>
    </row>
    <row r="4255" spans="1:2">
      <c r="A4255" t="s">
        <v>1012</v>
      </c>
      <c r="B4255">
        <v>5</v>
      </c>
    </row>
    <row r="4256" spans="1:2">
      <c r="A4256" t="s">
        <v>2797</v>
      </c>
      <c r="B4256">
        <v>1</v>
      </c>
    </row>
    <row r="4257" spans="1:2">
      <c r="A4257" t="s">
        <v>1011</v>
      </c>
      <c r="B4257">
        <v>13</v>
      </c>
    </row>
    <row r="4258" spans="1:2">
      <c r="A4258" t="s">
        <v>2800</v>
      </c>
      <c r="B4258">
        <v>2</v>
      </c>
    </row>
    <row r="4259" spans="1:2">
      <c r="A4259" t="s">
        <v>1662</v>
      </c>
      <c r="B4259">
        <v>9</v>
      </c>
    </row>
    <row r="4260" spans="1:2">
      <c r="A4260" t="s">
        <v>1013</v>
      </c>
      <c r="B4260">
        <v>9</v>
      </c>
    </row>
    <row r="4261" spans="1:2">
      <c r="A4261" t="s">
        <v>2805</v>
      </c>
      <c r="B4261">
        <v>1</v>
      </c>
    </row>
    <row r="4262" spans="1:2">
      <c r="A4262" t="s">
        <v>686</v>
      </c>
      <c r="B4262">
        <v>5</v>
      </c>
    </row>
    <row r="4263" spans="1:2">
      <c r="A4263" t="s">
        <v>2808</v>
      </c>
      <c r="B4263">
        <v>2</v>
      </c>
    </row>
    <row r="4264" spans="1:2">
      <c r="A4264" t="s">
        <v>1661</v>
      </c>
      <c r="B4264">
        <v>8</v>
      </c>
    </row>
    <row r="4265" spans="1:2">
      <c r="A4265" t="s">
        <v>2809</v>
      </c>
      <c r="B4265">
        <v>2</v>
      </c>
    </row>
    <row r="4266" spans="1:2">
      <c r="A4266" t="s">
        <v>1134</v>
      </c>
      <c r="B4266">
        <v>1</v>
      </c>
    </row>
    <row r="4267" spans="1:2">
      <c r="A4267" t="s">
        <v>2811</v>
      </c>
      <c r="B4267">
        <v>2</v>
      </c>
    </row>
    <row r="4268" spans="1:2">
      <c r="A4268" t="s">
        <v>2812</v>
      </c>
      <c r="B4268">
        <v>2</v>
      </c>
    </row>
    <row r="4269" spans="1:2">
      <c r="A4269" t="s">
        <v>2815</v>
      </c>
      <c r="B4269">
        <v>1</v>
      </c>
    </row>
    <row r="4270" spans="1:2">
      <c r="A4270" t="s">
        <v>1657</v>
      </c>
      <c r="B4270">
        <v>2</v>
      </c>
    </row>
    <row r="4271" spans="1:2">
      <c r="A4271" t="s">
        <v>984</v>
      </c>
      <c r="B4271">
        <v>2</v>
      </c>
    </row>
    <row r="4272" spans="1:2">
      <c r="A4272" t="s">
        <v>2819</v>
      </c>
      <c r="B4272">
        <v>1</v>
      </c>
    </row>
    <row r="4273" spans="1:2">
      <c r="A4273" t="s">
        <v>2820</v>
      </c>
      <c r="B4273">
        <v>1</v>
      </c>
    </row>
    <row r="4274" spans="1:2">
      <c r="A4274" t="s">
        <v>1677</v>
      </c>
      <c r="B4274">
        <v>1</v>
      </c>
    </row>
    <row r="4275" spans="1:2">
      <c r="A4275" t="s">
        <v>2824</v>
      </c>
      <c r="B4275">
        <v>5</v>
      </c>
    </row>
    <row r="4276" spans="1:2">
      <c r="A4276" t="s">
        <v>2825</v>
      </c>
      <c r="B4276">
        <v>1</v>
      </c>
    </row>
    <row r="4277" spans="1:2">
      <c r="A4277" t="s">
        <v>2826</v>
      </c>
      <c r="B4277">
        <v>1</v>
      </c>
    </row>
    <row r="4278" spans="1:2">
      <c r="A4278" t="s">
        <v>1656</v>
      </c>
      <c r="B4278">
        <v>1</v>
      </c>
    </row>
    <row r="4279" spans="1:2">
      <c r="A4279" t="s">
        <v>2830</v>
      </c>
      <c r="B4279">
        <v>1</v>
      </c>
    </row>
    <row r="4280" spans="1:2">
      <c r="A4280" t="s">
        <v>1108</v>
      </c>
      <c r="B4280">
        <v>1</v>
      </c>
    </row>
    <row r="4281" spans="1:2">
      <c r="A4281" t="s">
        <v>2842</v>
      </c>
      <c r="B4281">
        <v>1</v>
      </c>
    </row>
    <row r="4282" spans="1:2">
      <c r="A4282" t="s">
        <v>2843</v>
      </c>
      <c r="B4282">
        <v>1</v>
      </c>
    </row>
    <row r="4283" spans="1:2">
      <c r="A4283" t="s">
        <v>2844</v>
      </c>
      <c r="B4283">
        <v>1</v>
      </c>
    </row>
    <row r="4284" spans="1:2">
      <c r="A4284" t="s">
        <v>2867</v>
      </c>
      <c r="B4284">
        <v>1</v>
      </c>
    </row>
    <row r="4285" spans="1:2">
      <c r="A4285" t="s">
        <v>2873</v>
      </c>
      <c r="B4285">
        <v>1</v>
      </c>
    </row>
    <row r="4286" spans="1:2">
      <c r="A4286" t="s">
        <v>2876</v>
      </c>
      <c r="B4286">
        <v>1</v>
      </c>
    </row>
    <row r="4287" spans="1:2">
      <c r="A4287" t="s">
        <v>2923</v>
      </c>
      <c r="B4287">
        <v>1</v>
      </c>
    </row>
    <row r="4288" spans="1:2">
      <c r="A4288" s="2" t="s">
        <v>9</v>
      </c>
      <c r="B4288" s="2">
        <v>338</v>
      </c>
    </row>
    <row r="4290" spans="1:2">
      <c r="A4290" s="2" t="s">
        <v>543</v>
      </c>
    </row>
    <row r="4291" spans="1:2">
      <c r="A4291" s="2" t="s">
        <v>0</v>
      </c>
      <c r="B4291" s="2" t="s">
        <v>1</v>
      </c>
    </row>
    <row r="4292" spans="1:2">
      <c r="A4292" t="s">
        <v>291</v>
      </c>
      <c r="B4292">
        <v>16</v>
      </c>
    </row>
    <row r="4293" spans="1:2">
      <c r="A4293" s="2" t="s">
        <v>9</v>
      </c>
      <c r="B4293" s="2">
        <v>16</v>
      </c>
    </row>
    <row r="4295" spans="1:2">
      <c r="A4295" s="2" t="s">
        <v>2935</v>
      </c>
    </row>
    <row r="4296" spans="1:2">
      <c r="A4296" s="2" t="s">
        <v>0</v>
      </c>
      <c r="B4296" s="2" t="s">
        <v>1</v>
      </c>
    </row>
    <row r="4297" spans="1:2">
      <c r="A4297" t="s">
        <v>1045</v>
      </c>
      <c r="B4297">
        <v>20</v>
      </c>
    </row>
    <row r="4298" spans="1:2">
      <c r="A4298" t="s">
        <v>2115</v>
      </c>
      <c r="B4298">
        <v>1</v>
      </c>
    </row>
    <row r="4299" spans="1:2">
      <c r="A4299" t="s">
        <v>2487</v>
      </c>
      <c r="B4299">
        <v>1</v>
      </c>
    </row>
    <row r="4300" spans="1:2">
      <c r="A4300" t="s">
        <v>1635</v>
      </c>
      <c r="B4300">
        <v>2</v>
      </c>
    </row>
    <row r="4301" spans="1:2">
      <c r="A4301" t="s">
        <v>2649</v>
      </c>
      <c r="B4301">
        <v>1</v>
      </c>
    </row>
    <row r="4302" spans="1:2">
      <c r="A4302" t="s">
        <v>2736</v>
      </c>
      <c r="B4302">
        <v>1</v>
      </c>
    </row>
    <row r="4303" spans="1:2">
      <c r="A4303" t="s">
        <v>1629</v>
      </c>
      <c r="B4303">
        <v>3</v>
      </c>
    </row>
    <row r="4304" spans="1:2">
      <c r="A4304" t="s">
        <v>1043</v>
      </c>
      <c r="B4304">
        <v>1</v>
      </c>
    </row>
    <row r="4305" spans="1:2">
      <c r="A4305" t="s">
        <v>2806</v>
      </c>
      <c r="B4305">
        <v>1</v>
      </c>
    </row>
    <row r="4306" spans="1:2">
      <c r="A4306" t="s">
        <v>2807</v>
      </c>
      <c r="B4306">
        <v>1</v>
      </c>
    </row>
    <row r="4307" spans="1:2">
      <c r="A4307" t="s">
        <v>2810</v>
      </c>
      <c r="B4307">
        <v>1</v>
      </c>
    </row>
    <row r="4308" spans="1:2">
      <c r="A4308" t="s">
        <v>2823</v>
      </c>
      <c r="B4308">
        <v>1</v>
      </c>
    </row>
    <row r="4309" spans="1:2">
      <c r="A4309" t="s">
        <v>1680</v>
      </c>
      <c r="B4309">
        <v>1</v>
      </c>
    </row>
    <row r="4310" spans="1:2">
      <c r="A4310" s="2" t="s">
        <v>9</v>
      </c>
      <c r="B4310" s="2">
        <v>35</v>
      </c>
    </row>
    <row r="4312" spans="1:2">
      <c r="A4312" s="2" t="s">
        <v>2936</v>
      </c>
    </row>
    <row r="4313" spans="1:2">
      <c r="A4313" s="2" t="s">
        <v>0</v>
      </c>
      <c r="B4313" s="2" t="s">
        <v>1</v>
      </c>
    </row>
    <row r="4314" spans="1:2">
      <c r="A4314" t="s">
        <v>1129</v>
      </c>
      <c r="B4314">
        <v>3</v>
      </c>
    </row>
    <row r="4315" spans="1:2">
      <c r="A4315" t="s">
        <v>66</v>
      </c>
      <c r="B4315">
        <v>18</v>
      </c>
    </row>
    <row r="4316" spans="1:2">
      <c r="A4316" t="s">
        <v>2026</v>
      </c>
      <c r="B4316">
        <v>1</v>
      </c>
    </row>
    <row r="4317" spans="1:2">
      <c r="A4317" t="s">
        <v>2037</v>
      </c>
      <c r="B4317">
        <v>2</v>
      </c>
    </row>
    <row r="4318" spans="1:2">
      <c r="A4318" t="s">
        <v>473</v>
      </c>
      <c r="B4318">
        <v>11</v>
      </c>
    </row>
    <row r="4319" spans="1:2">
      <c r="A4319" t="s">
        <v>2102</v>
      </c>
      <c r="B4319">
        <v>4</v>
      </c>
    </row>
    <row r="4320" spans="1:2">
      <c r="A4320" t="s">
        <v>971</v>
      </c>
      <c r="B4320">
        <v>3</v>
      </c>
    </row>
    <row r="4321" spans="1:2">
      <c r="A4321" t="s">
        <v>1212</v>
      </c>
      <c r="B4321">
        <v>1</v>
      </c>
    </row>
    <row r="4322" spans="1:2">
      <c r="A4322" t="s">
        <v>917</v>
      </c>
      <c r="B4322">
        <v>1</v>
      </c>
    </row>
    <row r="4323" spans="1:2">
      <c r="A4323" t="s">
        <v>1249</v>
      </c>
      <c r="B4323">
        <v>5</v>
      </c>
    </row>
    <row r="4324" spans="1:2">
      <c r="A4324" t="s">
        <v>919</v>
      </c>
      <c r="B4324">
        <v>1</v>
      </c>
    </row>
    <row r="4325" spans="1:2">
      <c r="A4325" t="s">
        <v>2235</v>
      </c>
      <c r="B4325">
        <v>1</v>
      </c>
    </row>
    <row r="4326" spans="1:2">
      <c r="A4326" t="s">
        <v>2237</v>
      </c>
      <c r="B4326">
        <v>4</v>
      </c>
    </row>
    <row r="4327" spans="1:2">
      <c r="A4327" t="s">
        <v>2287</v>
      </c>
      <c r="B4327">
        <v>1</v>
      </c>
    </row>
    <row r="4328" spans="1:2">
      <c r="A4328" t="s">
        <v>427</v>
      </c>
      <c r="B4328">
        <v>5</v>
      </c>
    </row>
    <row r="4329" spans="1:2">
      <c r="A4329" t="s">
        <v>2305</v>
      </c>
      <c r="B4329">
        <v>4</v>
      </c>
    </row>
    <row r="4330" spans="1:2">
      <c r="A4330" t="s">
        <v>2311</v>
      </c>
      <c r="B4330">
        <v>1</v>
      </c>
    </row>
    <row r="4331" spans="1:2">
      <c r="A4331" t="s">
        <v>2356</v>
      </c>
      <c r="B4331">
        <v>1</v>
      </c>
    </row>
    <row r="4332" spans="1:2">
      <c r="A4332" s="2" t="s">
        <v>9</v>
      </c>
      <c r="B4332" s="2">
        <v>67</v>
      </c>
    </row>
    <row r="4334" spans="1:2">
      <c r="A4334" s="2" t="s">
        <v>2937</v>
      </c>
    </row>
    <row r="4335" spans="1:2">
      <c r="A4335" s="2" t="s">
        <v>0</v>
      </c>
      <c r="B4335" s="2" t="s">
        <v>1</v>
      </c>
    </row>
    <row r="4336" spans="1:2">
      <c r="A4336" t="s">
        <v>1980</v>
      </c>
      <c r="B4336">
        <v>2</v>
      </c>
    </row>
    <row r="4337" spans="1:2">
      <c r="A4337" t="s">
        <v>757</v>
      </c>
      <c r="B4337">
        <v>4</v>
      </c>
    </row>
    <row r="4338" spans="1:2">
      <c r="A4338" t="s">
        <v>878</v>
      </c>
      <c r="B4338">
        <v>1</v>
      </c>
    </row>
    <row r="4339" spans="1:2">
      <c r="A4339" t="s">
        <v>2114</v>
      </c>
      <c r="B4339">
        <v>2</v>
      </c>
    </row>
    <row r="4340" spans="1:2">
      <c r="A4340" t="s">
        <v>2166</v>
      </c>
      <c r="B4340">
        <v>1</v>
      </c>
    </row>
    <row r="4341" spans="1:2">
      <c r="A4341" t="s">
        <v>2168</v>
      </c>
      <c r="B4341">
        <v>2</v>
      </c>
    </row>
    <row r="4342" spans="1:2">
      <c r="A4342" t="s">
        <v>1310</v>
      </c>
      <c r="B4342">
        <v>1</v>
      </c>
    </row>
    <row r="4343" spans="1:2">
      <c r="A4343" s="2" t="s">
        <v>9</v>
      </c>
      <c r="B4343" s="2">
        <v>13</v>
      </c>
    </row>
    <row r="4345" spans="1:2">
      <c r="A4345" s="2" t="s">
        <v>53</v>
      </c>
    </row>
    <row r="4346" spans="1:2">
      <c r="A4346" s="2" t="s">
        <v>0</v>
      </c>
      <c r="B4346" s="2" t="s">
        <v>1</v>
      </c>
    </row>
    <row r="4347" spans="1:2">
      <c r="A4347" t="s">
        <v>1994</v>
      </c>
      <c r="B4347">
        <v>8</v>
      </c>
    </row>
    <row r="4348" spans="1:2">
      <c r="A4348" t="s">
        <v>1099</v>
      </c>
      <c r="B4348">
        <v>5</v>
      </c>
    </row>
    <row r="4349" spans="1:2">
      <c r="A4349" t="s">
        <v>1092</v>
      </c>
      <c r="B4349">
        <v>6</v>
      </c>
    </row>
    <row r="4350" spans="1:2">
      <c r="A4350" t="s">
        <v>2046</v>
      </c>
      <c r="B4350">
        <v>1</v>
      </c>
    </row>
    <row r="4351" spans="1:2">
      <c r="A4351" t="s">
        <v>2052</v>
      </c>
      <c r="B4351">
        <v>1</v>
      </c>
    </row>
    <row r="4352" spans="1:2">
      <c r="A4352" t="s">
        <v>2074</v>
      </c>
      <c r="B4352">
        <v>1</v>
      </c>
    </row>
    <row r="4353" spans="1:2">
      <c r="A4353" t="s">
        <v>36</v>
      </c>
      <c r="B4353">
        <v>19</v>
      </c>
    </row>
    <row r="4354" spans="1:2">
      <c r="A4354" t="s">
        <v>2152</v>
      </c>
      <c r="B4354">
        <v>2</v>
      </c>
    </row>
    <row r="4355" spans="1:2">
      <c r="A4355" t="s">
        <v>1429</v>
      </c>
      <c r="B4355">
        <v>2</v>
      </c>
    </row>
    <row r="4356" spans="1:2">
      <c r="A4356" t="s">
        <v>2254</v>
      </c>
      <c r="B4356">
        <v>1</v>
      </c>
    </row>
    <row r="4357" spans="1:2">
      <c r="A4357" t="s">
        <v>867</v>
      </c>
      <c r="B4357">
        <v>1</v>
      </c>
    </row>
    <row r="4358" spans="1:2">
      <c r="A4358" t="s">
        <v>2366</v>
      </c>
      <c r="B4358">
        <v>6</v>
      </c>
    </row>
    <row r="4359" spans="1:2">
      <c r="A4359" t="s">
        <v>2367</v>
      </c>
      <c r="B4359">
        <v>2</v>
      </c>
    </row>
    <row r="4360" spans="1:2">
      <c r="A4360" t="s">
        <v>2443</v>
      </c>
      <c r="B4360">
        <v>1</v>
      </c>
    </row>
    <row r="4361" spans="1:2">
      <c r="A4361" t="s">
        <v>1235</v>
      </c>
      <c r="B4361">
        <v>3</v>
      </c>
    </row>
    <row r="4362" spans="1:2">
      <c r="A4362" t="s">
        <v>2477</v>
      </c>
      <c r="B4362">
        <v>3</v>
      </c>
    </row>
    <row r="4363" spans="1:2">
      <c r="A4363" t="s">
        <v>1245</v>
      </c>
      <c r="B4363">
        <v>1</v>
      </c>
    </row>
    <row r="4364" spans="1:2">
      <c r="A4364" t="s">
        <v>221</v>
      </c>
      <c r="B4364">
        <v>1</v>
      </c>
    </row>
    <row r="4365" spans="1:2">
      <c r="A4365" t="s">
        <v>2582</v>
      </c>
      <c r="B4365">
        <v>2</v>
      </c>
    </row>
    <row r="4366" spans="1:2">
      <c r="A4366" t="s">
        <v>2607</v>
      </c>
      <c r="B4366">
        <v>2</v>
      </c>
    </row>
    <row r="4367" spans="1:2">
      <c r="A4367" t="s">
        <v>1009</v>
      </c>
      <c r="B4367">
        <v>1</v>
      </c>
    </row>
    <row r="4368" spans="1:2">
      <c r="A4368" t="s">
        <v>652</v>
      </c>
      <c r="B4368">
        <v>1</v>
      </c>
    </row>
    <row r="4369" spans="1:2">
      <c r="A4369" t="s">
        <v>2670</v>
      </c>
      <c r="B4369">
        <v>1</v>
      </c>
    </row>
    <row r="4370" spans="1:2">
      <c r="A4370" t="s">
        <v>2734</v>
      </c>
      <c r="B4370">
        <v>1</v>
      </c>
    </row>
    <row r="4371" spans="1:2">
      <c r="A4371" t="s">
        <v>2822</v>
      </c>
      <c r="B4371">
        <v>1</v>
      </c>
    </row>
    <row r="4372" spans="1:2">
      <c r="A4372" t="s">
        <v>2861</v>
      </c>
      <c r="B4372">
        <v>1</v>
      </c>
    </row>
    <row r="4373" spans="1:2">
      <c r="A4373" t="s">
        <v>2893</v>
      </c>
      <c r="B4373">
        <v>1</v>
      </c>
    </row>
    <row r="4374" spans="1:2">
      <c r="A4374" t="s">
        <v>2896</v>
      </c>
      <c r="B4374">
        <v>1</v>
      </c>
    </row>
    <row r="4375" spans="1:2">
      <c r="A4375" t="s">
        <v>2906</v>
      </c>
      <c r="B4375">
        <v>1</v>
      </c>
    </row>
    <row r="4376" spans="1:2">
      <c r="A4376" t="s">
        <v>2911</v>
      </c>
      <c r="B4376">
        <v>1</v>
      </c>
    </row>
    <row r="4377" spans="1:2">
      <c r="A4377" t="s">
        <v>2916</v>
      </c>
      <c r="B4377">
        <v>1</v>
      </c>
    </row>
    <row r="4378" spans="1:2">
      <c r="A4378" s="2" t="s">
        <v>9</v>
      </c>
      <c r="B4378" s="2">
        <v>79</v>
      </c>
    </row>
    <row r="4380" spans="1:2">
      <c r="A4380" s="2" t="s">
        <v>2938</v>
      </c>
    </row>
    <row r="4381" spans="1:2">
      <c r="A4381" s="2" t="s">
        <v>0</v>
      </c>
      <c r="B4381" s="2" t="s">
        <v>1</v>
      </c>
    </row>
    <row r="4382" spans="1:2">
      <c r="A4382" t="s">
        <v>2005</v>
      </c>
      <c r="B4382">
        <v>7</v>
      </c>
    </row>
    <row r="4383" spans="1:2">
      <c r="A4383" s="2" t="s">
        <v>9</v>
      </c>
      <c r="B4383" s="2">
        <v>7</v>
      </c>
    </row>
    <row r="4385" spans="1:2">
      <c r="A4385" s="2" t="s">
        <v>2939</v>
      </c>
    </row>
    <row r="4386" spans="1:2">
      <c r="A4386" s="2" t="s">
        <v>0</v>
      </c>
      <c r="B4386" s="2" t="s">
        <v>1</v>
      </c>
    </row>
    <row r="4387" spans="1:2">
      <c r="A4387" t="s">
        <v>2358</v>
      </c>
      <c r="B4387">
        <v>1</v>
      </c>
    </row>
    <row r="4388" spans="1:2">
      <c r="A4388" t="s">
        <v>1050</v>
      </c>
      <c r="B4388">
        <v>3</v>
      </c>
    </row>
    <row r="4389" spans="1:2">
      <c r="A4389" t="s">
        <v>719</v>
      </c>
      <c r="B4389">
        <v>1</v>
      </c>
    </row>
    <row r="4390" spans="1:2">
      <c r="A4390" t="s">
        <v>2388</v>
      </c>
      <c r="B4390">
        <v>1</v>
      </c>
    </row>
    <row r="4391" spans="1:2">
      <c r="A4391" t="s">
        <v>2389</v>
      </c>
      <c r="B4391">
        <v>2</v>
      </c>
    </row>
    <row r="4392" spans="1:2">
      <c r="A4392" t="s">
        <v>2395</v>
      </c>
      <c r="B4392">
        <v>2</v>
      </c>
    </row>
    <row r="4393" spans="1:2">
      <c r="A4393" t="s">
        <v>2396</v>
      </c>
      <c r="B4393">
        <v>2</v>
      </c>
    </row>
    <row r="4394" spans="1:2">
      <c r="A4394" t="s">
        <v>2398</v>
      </c>
      <c r="B4394">
        <v>7</v>
      </c>
    </row>
    <row r="4395" spans="1:2">
      <c r="A4395" t="s">
        <v>1091</v>
      </c>
      <c r="B4395">
        <v>5</v>
      </c>
    </row>
    <row r="4396" spans="1:2">
      <c r="A4396" t="s">
        <v>268</v>
      </c>
      <c r="B4396">
        <v>1</v>
      </c>
    </row>
    <row r="4397" spans="1:2">
      <c r="A4397" t="s">
        <v>2423</v>
      </c>
      <c r="B4397">
        <v>5</v>
      </c>
    </row>
    <row r="4398" spans="1:2">
      <c r="A4398" t="s">
        <v>1017</v>
      </c>
      <c r="B4398">
        <v>4</v>
      </c>
    </row>
    <row r="4399" spans="1:2">
      <c r="A4399" t="s">
        <v>226</v>
      </c>
      <c r="B4399">
        <v>4</v>
      </c>
    </row>
    <row r="4400" spans="1:2">
      <c r="A4400" t="s">
        <v>2458</v>
      </c>
      <c r="B4400">
        <v>1</v>
      </c>
    </row>
    <row r="4401" spans="1:2">
      <c r="A4401" t="s">
        <v>975</v>
      </c>
      <c r="B4401">
        <v>1</v>
      </c>
    </row>
    <row r="4402" spans="1:2">
      <c r="A4402" t="s">
        <v>2462</v>
      </c>
      <c r="B4402">
        <v>1</v>
      </c>
    </row>
    <row r="4403" spans="1:2">
      <c r="A4403" t="s">
        <v>2463</v>
      </c>
      <c r="B4403">
        <v>1</v>
      </c>
    </row>
    <row r="4404" spans="1:2">
      <c r="A4404" t="s">
        <v>1412</v>
      </c>
      <c r="B4404">
        <v>4</v>
      </c>
    </row>
    <row r="4405" spans="1:2">
      <c r="A4405" t="s">
        <v>2467</v>
      </c>
      <c r="B4405">
        <v>2</v>
      </c>
    </row>
    <row r="4406" spans="1:2">
      <c r="A4406" t="s">
        <v>2473</v>
      </c>
      <c r="B4406">
        <v>1</v>
      </c>
    </row>
    <row r="4407" spans="1:2">
      <c r="A4407" t="s">
        <v>2474</v>
      </c>
      <c r="B4407">
        <v>1</v>
      </c>
    </row>
    <row r="4408" spans="1:2">
      <c r="A4408" t="s">
        <v>806</v>
      </c>
      <c r="B4408">
        <v>1</v>
      </c>
    </row>
    <row r="4409" spans="1:2">
      <c r="A4409" t="s">
        <v>1085</v>
      </c>
      <c r="B4409">
        <v>4</v>
      </c>
    </row>
    <row r="4410" spans="1:2">
      <c r="A4410" t="s">
        <v>2482</v>
      </c>
      <c r="B4410">
        <v>3</v>
      </c>
    </row>
    <row r="4411" spans="1:2">
      <c r="A4411" t="s">
        <v>2514</v>
      </c>
      <c r="B4411">
        <v>1</v>
      </c>
    </row>
    <row r="4412" spans="1:2">
      <c r="A4412" t="s">
        <v>2528</v>
      </c>
      <c r="B4412">
        <v>2</v>
      </c>
    </row>
    <row r="4413" spans="1:2">
      <c r="A4413" t="s">
        <v>323</v>
      </c>
      <c r="B4413">
        <v>1</v>
      </c>
    </row>
    <row r="4414" spans="1:2">
      <c r="A4414" t="s">
        <v>2533</v>
      </c>
      <c r="B4414">
        <v>2</v>
      </c>
    </row>
    <row r="4415" spans="1:2">
      <c r="A4415" t="s">
        <v>2534</v>
      </c>
      <c r="B4415">
        <v>3</v>
      </c>
    </row>
    <row r="4416" spans="1:2">
      <c r="A4416" t="s">
        <v>2539</v>
      </c>
      <c r="B4416">
        <v>5</v>
      </c>
    </row>
    <row r="4417" spans="1:2">
      <c r="A4417" t="s">
        <v>2552</v>
      </c>
      <c r="B4417">
        <v>3</v>
      </c>
    </row>
    <row r="4418" spans="1:2">
      <c r="A4418" t="s">
        <v>2574</v>
      </c>
      <c r="B4418">
        <v>1</v>
      </c>
    </row>
    <row r="4419" spans="1:2">
      <c r="A4419" t="s">
        <v>2591</v>
      </c>
      <c r="B4419">
        <v>2</v>
      </c>
    </row>
    <row r="4420" spans="1:2">
      <c r="A4420" t="s">
        <v>1093</v>
      </c>
      <c r="B4420">
        <v>1</v>
      </c>
    </row>
    <row r="4421" spans="1:2">
      <c r="A4421" t="s">
        <v>2598</v>
      </c>
      <c r="B4421">
        <v>1</v>
      </c>
    </row>
    <row r="4422" spans="1:2">
      <c r="A4422" t="s">
        <v>2610</v>
      </c>
      <c r="B4422">
        <v>6</v>
      </c>
    </row>
    <row r="4423" spans="1:2">
      <c r="A4423" t="s">
        <v>2614</v>
      </c>
      <c r="B4423">
        <v>1</v>
      </c>
    </row>
    <row r="4424" spans="1:2">
      <c r="A4424" t="s">
        <v>2616</v>
      </c>
      <c r="B4424">
        <v>1</v>
      </c>
    </row>
    <row r="4425" spans="1:2">
      <c r="A4425" t="s">
        <v>640</v>
      </c>
      <c r="B4425">
        <v>1</v>
      </c>
    </row>
    <row r="4426" spans="1:2">
      <c r="A4426" t="s">
        <v>1263</v>
      </c>
      <c r="B4426">
        <v>1</v>
      </c>
    </row>
    <row r="4427" spans="1:2">
      <c r="A4427" t="s">
        <v>2633</v>
      </c>
      <c r="B4427">
        <v>2</v>
      </c>
    </row>
    <row r="4428" spans="1:2">
      <c r="A4428" t="s">
        <v>2651</v>
      </c>
      <c r="B4428">
        <v>1</v>
      </c>
    </row>
    <row r="4429" spans="1:2">
      <c r="A4429" t="s">
        <v>2653</v>
      </c>
      <c r="B4429">
        <v>1</v>
      </c>
    </row>
    <row r="4430" spans="1:2">
      <c r="A4430" t="s">
        <v>365</v>
      </c>
      <c r="B4430">
        <v>1</v>
      </c>
    </row>
    <row r="4431" spans="1:2">
      <c r="A4431" t="s">
        <v>834</v>
      </c>
      <c r="B4431">
        <v>1</v>
      </c>
    </row>
    <row r="4432" spans="1:2">
      <c r="A4432" t="s">
        <v>2682</v>
      </c>
      <c r="B4432">
        <v>2</v>
      </c>
    </row>
    <row r="4433" spans="1:2">
      <c r="A4433" t="s">
        <v>2686</v>
      </c>
      <c r="B4433">
        <v>1</v>
      </c>
    </row>
    <row r="4434" spans="1:2">
      <c r="A4434" t="s">
        <v>2697</v>
      </c>
      <c r="B4434">
        <v>1</v>
      </c>
    </row>
    <row r="4435" spans="1:2">
      <c r="A4435" t="s">
        <v>2698</v>
      </c>
      <c r="B4435">
        <v>1</v>
      </c>
    </row>
    <row r="4436" spans="1:2">
      <c r="A4436" t="s">
        <v>2706</v>
      </c>
      <c r="B4436">
        <v>1</v>
      </c>
    </row>
    <row r="4437" spans="1:2">
      <c r="A4437" t="s">
        <v>2708</v>
      </c>
      <c r="B4437">
        <v>1</v>
      </c>
    </row>
    <row r="4438" spans="1:2">
      <c r="A4438" t="s">
        <v>2713</v>
      </c>
      <c r="B4438">
        <v>1</v>
      </c>
    </row>
    <row r="4439" spans="1:2">
      <c r="A4439" t="s">
        <v>2737</v>
      </c>
      <c r="B4439">
        <v>1</v>
      </c>
    </row>
    <row r="4440" spans="1:2">
      <c r="A4440" t="s">
        <v>1233</v>
      </c>
      <c r="B4440">
        <v>1</v>
      </c>
    </row>
    <row r="4441" spans="1:2">
      <c r="A4441" t="s">
        <v>2745</v>
      </c>
      <c r="B4441">
        <v>1</v>
      </c>
    </row>
    <row r="4442" spans="1:2">
      <c r="A4442" t="s">
        <v>2746</v>
      </c>
      <c r="B4442">
        <v>1</v>
      </c>
    </row>
    <row r="4443" spans="1:2">
      <c r="A4443" t="s">
        <v>2829</v>
      </c>
      <c r="B4443">
        <v>1</v>
      </c>
    </row>
    <row r="4444" spans="1:2">
      <c r="A4444" t="s">
        <v>2834</v>
      </c>
      <c r="B4444">
        <v>1</v>
      </c>
    </row>
    <row r="4445" spans="1:2">
      <c r="A4445" t="s">
        <v>2853</v>
      </c>
      <c r="B4445">
        <v>1</v>
      </c>
    </row>
    <row r="4446" spans="1:2">
      <c r="A4446" t="s">
        <v>2857</v>
      </c>
      <c r="B4446">
        <v>2</v>
      </c>
    </row>
    <row r="4447" spans="1:2">
      <c r="A4447" t="s">
        <v>993</v>
      </c>
      <c r="B4447">
        <v>1</v>
      </c>
    </row>
    <row r="4448" spans="1:2">
      <c r="A4448" t="s">
        <v>2871</v>
      </c>
      <c r="B4448">
        <v>2</v>
      </c>
    </row>
    <row r="4449" spans="1:2">
      <c r="A4449" t="s">
        <v>2881</v>
      </c>
      <c r="B4449">
        <v>1</v>
      </c>
    </row>
    <row r="4450" spans="1:2">
      <c r="A4450" t="s">
        <v>2924</v>
      </c>
      <c r="B4450">
        <v>1</v>
      </c>
    </row>
    <row r="4451" spans="1:2">
      <c r="A4451" s="2" t="s">
        <v>9</v>
      </c>
      <c r="B4451" s="2">
        <v>118</v>
      </c>
    </row>
    <row r="4453" spans="1:2">
      <c r="A4453" s="2" t="s">
        <v>2940</v>
      </c>
    </row>
    <row r="4454" spans="1:2">
      <c r="A4454" s="2" t="s">
        <v>0</v>
      </c>
      <c r="B4454" s="2" t="s">
        <v>1</v>
      </c>
    </row>
    <row r="4455" spans="1:2">
      <c r="A4455" t="s">
        <v>2360</v>
      </c>
      <c r="B4455">
        <v>10</v>
      </c>
    </row>
    <row r="4456" spans="1:2">
      <c r="A4456" s="2" t="s">
        <v>9</v>
      </c>
      <c r="B4456" s="2">
        <v>10</v>
      </c>
    </row>
    <row r="4458" spans="1:2">
      <c r="A4458" s="2" t="s">
        <v>2941</v>
      </c>
    </row>
    <row r="4459" spans="1:2">
      <c r="A4459" s="2" t="s">
        <v>0</v>
      </c>
      <c r="B4459" s="2" t="s">
        <v>1</v>
      </c>
    </row>
    <row r="4460" spans="1:2">
      <c r="A4460" t="s">
        <v>2361</v>
      </c>
      <c r="B4460">
        <v>9</v>
      </c>
    </row>
    <row r="4461" spans="1:2">
      <c r="A4461" s="2" t="s">
        <v>9</v>
      </c>
      <c r="B4461" s="2">
        <v>9</v>
      </c>
    </row>
    <row r="4463" spans="1:2">
      <c r="A4463" s="2" t="s">
        <v>2942</v>
      </c>
    </row>
    <row r="4464" spans="1:2">
      <c r="A4464" s="2" t="s">
        <v>0</v>
      </c>
      <c r="B4464" s="2" t="s">
        <v>1</v>
      </c>
    </row>
    <row r="4465" spans="1:2">
      <c r="A4465" t="s">
        <v>2364</v>
      </c>
      <c r="B4465">
        <v>1</v>
      </c>
    </row>
    <row r="4466" spans="1:2">
      <c r="A4466" t="s">
        <v>2370</v>
      </c>
      <c r="B4466">
        <v>1</v>
      </c>
    </row>
    <row r="4467" spans="1:2">
      <c r="A4467" t="s">
        <v>906</v>
      </c>
      <c r="B4467">
        <v>3</v>
      </c>
    </row>
    <row r="4468" spans="1:2">
      <c r="A4468" t="s">
        <v>902</v>
      </c>
      <c r="B4468">
        <v>2</v>
      </c>
    </row>
    <row r="4469" spans="1:2">
      <c r="A4469" t="s">
        <v>907</v>
      </c>
      <c r="B4469">
        <v>5</v>
      </c>
    </row>
    <row r="4470" spans="1:2">
      <c r="A4470" t="s">
        <v>2380</v>
      </c>
      <c r="B4470">
        <v>2</v>
      </c>
    </row>
    <row r="4471" spans="1:2">
      <c r="A4471" t="s">
        <v>33</v>
      </c>
      <c r="B4471">
        <v>7</v>
      </c>
    </row>
    <row r="4472" spans="1:2">
      <c r="A4472" t="s">
        <v>2461</v>
      </c>
      <c r="B4472">
        <v>1</v>
      </c>
    </row>
    <row r="4473" spans="1:2">
      <c r="A4473" t="s">
        <v>2469</v>
      </c>
      <c r="B4473">
        <v>1</v>
      </c>
    </row>
    <row r="4474" spans="1:2">
      <c r="A4474" t="s">
        <v>42</v>
      </c>
      <c r="B4474">
        <v>2</v>
      </c>
    </row>
    <row r="4475" spans="1:2">
      <c r="A4475" t="s">
        <v>2536</v>
      </c>
      <c r="B4475">
        <v>1</v>
      </c>
    </row>
    <row r="4476" spans="1:2">
      <c r="A4476" t="s">
        <v>2583</v>
      </c>
      <c r="B4476">
        <v>1</v>
      </c>
    </row>
    <row r="4477" spans="1:2">
      <c r="A4477" t="s">
        <v>2592</v>
      </c>
      <c r="B4477">
        <v>1</v>
      </c>
    </row>
    <row r="4478" spans="1:2">
      <c r="A4478" t="s">
        <v>1002</v>
      </c>
      <c r="B4478">
        <v>2</v>
      </c>
    </row>
    <row r="4479" spans="1:2">
      <c r="A4479" t="s">
        <v>1039</v>
      </c>
      <c r="B4479">
        <v>1</v>
      </c>
    </row>
    <row r="4480" spans="1:2">
      <c r="A4480" t="s">
        <v>2859</v>
      </c>
      <c r="B4480">
        <v>1</v>
      </c>
    </row>
    <row r="4481" spans="1:2">
      <c r="A4481" t="s">
        <v>2866</v>
      </c>
      <c r="B4481">
        <v>1</v>
      </c>
    </row>
    <row r="4482" spans="1:2">
      <c r="A4482" t="s">
        <v>1695</v>
      </c>
      <c r="B4482">
        <v>1</v>
      </c>
    </row>
    <row r="4483" spans="1:2">
      <c r="A4483" t="s">
        <v>411</v>
      </c>
      <c r="B4483">
        <v>1</v>
      </c>
    </row>
    <row r="4484" spans="1:2">
      <c r="A4484" s="2" t="s">
        <v>9</v>
      </c>
      <c r="B4484" s="2">
        <v>35</v>
      </c>
    </row>
    <row r="4486" spans="1:2">
      <c r="A4486" s="2" t="s">
        <v>2943</v>
      </c>
    </row>
    <row r="4487" spans="1:2">
      <c r="A4487" s="2" t="s">
        <v>0</v>
      </c>
      <c r="B4487" s="2" t="s">
        <v>1</v>
      </c>
    </row>
    <row r="4488" spans="1:2">
      <c r="A4488" t="s">
        <v>2371</v>
      </c>
      <c r="B4488">
        <v>1</v>
      </c>
    </row>
    <row r="4489" spans="1:2">
      <c r="A4489" t="s">
        <v>15</v>
      </c>
      <c r="B4489">
        <v>1</v>
      </c>
    </row>
    <row r="4490" spans="1:2">
      <c r="A4490" t="s">
        <v>1414</v>
      </c>
      <c r="B4490">
        <v>4</v>
      </c>
    </row>
    <row r="4491" spans="1:2">
      <c r="A4491" t="s">
        <v>2376</v>
      </c>
      <c r="B4491">
        <v>2</v>
      </c>
    </row>
    <row r="4492" spans="1:2">
      <c r="A4492" t="s">
        <v>1630</v>
      </c>
      <c r="B4492">
        <v>1</v>
      </c>
    </row>
    <row r="4493" spans="1:2">
      <c r="A4493" t="s">
        <v>140</v>
      </c>
      <c r="B4493">
        <v>2</v>
      </c>
    </row>
    <row r="4494" spans="1:2">
      <c r="A4494" t="s">
        <v>1390</v>
      </c>
      <c r="B4494">
        <v>1</v>
      </c>
    </row>
    <row r="4495" spans="1:2">
      <c r="A4495" t="s">
        <v>2391</v>
      </c>
      <c r="B4495">
        <v>1</v>
      </c>
    </row>
    <row r="4496" spans="1:2">
      <c r="A4496" t="s">
        <v>503</v>
      </c>
      <c r="B4496">
        <v>1</v>
      </c>
    </row>
    <row r="4497" spans="1:2">
      <c r="A4497" t="s">
        <v>1328</v>
      </c>
      <c r="B4497">
        <v>3</v>
      </c>
    </row>
    <row r="4498" spans="1:2">
      <c r="A4498" t="s">
        <v>508</v>
      </c>
      <c r="B4498">
        <v>1</v>
      </c>
    </row>
    <row r="4499" spans="1:2">
      <c r="A4499" t="s">
        <v>2418</v>
      </c>
      <c r="B4499">
        <v>12</v>
      </c>
    </row>
    <row r="4500" spans="1:2">
      <c r="A4500" t="s">
        <v>1611</v>
      </c>
      <c r="B4500">
        <v>3</v>
      </c>
    </row>
    <row r="4501" spans="1:2">
      <c r="A4501" t="s">
        <v>2464</v>
      </c>
      <c r="B4501">
        <v>8</v>
      </c>
    </row>
    <row r="4502" spans="1:2">
      <c r="A4502" t="s">
        <v>2475</v>
      </c>
      <c r="B4502">
        <v>1</v>
      </c>
    </row>
    <row r="4503" spans="1:2">
      <c r="A4503" t="s">
        <v>2478</v>
      </c>
      <c r="B4503">
        <v>3</v>
      </c>
    </row>
    <row r="4504" spans="1:2">
      <c r="A4504" t="s">
        <v>2494</v>
      </c>
      <c r="B4504">
        <v>1</v>
      </c>
    </row>
    <row r="4505" spans="1:2">
      <c r="A4505" t="s">
        <v>2505</v>
      </c>
      <c r="B4505">
        <v>1</v>
      </c>
    </row>
    <row r="4506" spans="1:2">
      <c r="A4506" t="s">
        <v>1523</v>
      </c>
      <c r="B4506">
        <v>1</v>
      </c>
    </row>
    <row r="4507" spans="1:2">
      <c r="A4507" t="s">
        <v>970</v>
      </c>
      <c r="B4507">
        <v>5</v>
      </c>
    </row>
    <row r="4508" spans="1:2">
      <c r="A4508" t="s">
        <v>2520</v>
      </c>
      <c r="B4508">
        <v>1</v>
      </c>
    </row>
    <row r="4509" spans="1:2">
      <c r="A4509" t="s">
        <v>1169</v>
      </c>
      <c r="B4509">
        <v>1</v>
      </c>
    </row>
    <row r="4510" spans="1:2">
      <c r="A4510" t="s">
        <v>2575</v>
      </c>
      <c r="B4510">
        <v>1</v>
      </c>
    </row>
    <row r="4511" spans="1:2">
      <c r="A4511" t="s">
        <v>2587</v>
      </c>
      <c r="B4511">
        <v>1</v>
      </c>
    </row>
    <row r="4512" spans="1:2">
      <c r="A4512" t="s">
        <v>506</v>
      </c>
      <c r="B4512">
        <v>14</v>
      </c>
    </row>
    <row r="4513" spans="1:2">
      <c r="A4513" t="s">
        <v>2656</v>
      </c>
      <c r="B4513">
        <v>1</v>
      </c>
    </row>
    <row r="4514" spans="1:2">
      <c r="A4514" t="s">
        <v>2659</v>
      </c>
      <c r="B4514">
        <v>2</v>
      </c>
    </row>
    <row r="4515" spans="1:2">
      <c r="A4515" t="s">
        <v>1557</v>
      </c>
      <c r="B4515">
        <v>1</v>
      </c>
    </row>
    <row r="4516" spans="1:2">
      <c r="A4516" t="s">
        <v>990</v>
      </c>
      <c r="B4516">
        <v>1</v>
      </c>
    </row>
    <row r="4517" spans="1:2">
      <c r="A4517" t="s">
        <v>696</v>
      </c>
      <c r="B4517">
        <v>2</v>
      </c>
    </row>
    <row r="4518" spans="1:2">
      <c r="A4518" t="s">
        <v>1014</v>
      </c>
      <c r="B4518">
        <v>1</v>
      </c>
    </row>
    <row r="4519" spans="1:2">
      <c r="A4519" t="s">
        <v>335</v>
      </c>
      <c r="B4519">
        <v>1</v>
      </c>
    </row>
    <row r="4520" spans="1:2">
      <c r="A4520" t="s">
        <v>1577</v>
      </c>
      <c r="B4520">
        <v>1</v>
      </c>
    </row>
    <row r="4521" spans="1:2">
      <c r="A4521" t="s">
        <v>961</v>
      </c>
      <c r="B4521">
        <v>1</v>
      </c>
    </row>
    <row r="4522" spans="1:2">
      <c r="A4522" t="s">
        <v>2817</v>
      </c>
      <c r="B4522">
        <v>2</v>
      </c>
    </row>
    <row r="4523" spans="1:2">
      <c r="A4523" t="s">
        <v>1329</v>
      </c>
      <c r="B4523">
        <v>1</v>
      </c>
    </row>
    <row r="4524" spans="1:2">
      <c r="A4524" t="s">
        <v>2875</v>
      </c>
      <c r="B4524">
        <v>1</v>
      </c>
    </row>
    <row r="4525" spans="1:2">
      <c r="A4525" t="s">
        <v>2879</v>
      </c>
      <c r="B4525">
        <v>1</v>
      </c>
    </row>
    <row r="4526" spans="1:2">
      <c r="A4526" t="s">
        <v>2885</v>
      </c>
      <c r="B4526">
        <v>1</v>
      </c>
    </row>
    <row r="4527" spans="1:2">
      <c r="A4527" t="s">
        <v>2910</v>
      </c>
      <c r="B4527">
        <v>1</v>
      </c>
    </row>
    <row r="4528" spans="1:2">
      <c r="A4528" t="s">
        <v>2921</v>
      </c>
      <c r="B4528">
        <v>1</v>
      </c>
    </row>
    <row r="4529" spans="1:2">
      <c r="A4529" s="2" t="s">
        <v>9</v>
      </c>
      <c r="B4529" s="2">
        <v>90</v>
      </c>
    </row>
    <row r="4531" spans="1:2">
      <c r="A4531" s="2" t="s">
        <v>2944</v>
      </c>
    </row>
    <row r="4532" spans="1:2">
      <c r="A4532" s="2" t="s">
        <v>0</v>
      </c>
      <c r="B4532" s="2" t="s">
        <v>1</v>
      </c>
    </row>
    <row r="4533" spans="1:2">
      <c r="A4533" t="s">
        <v>845</v>
      </c>
      <c r="B4533">
        <v>3</v>
      </c>
    </row>
    <row r="4534" spans="1:2">
      <c r="A4534" s="2" t="s">
        <v>9</v>
      </c>
      <c r="B4534" s="2">
        <v>3</v>
      </c>
    </row>
    <row r="4536" spans="1:2">
      <c r="A4536" s="2" t="s">
        <v>2945</v>
      </c>
    </row>
    <row r="4537" spans="1:2">
      <c r="A4537" s="2" t="s">
        <v>0</v>
      </c>
      <c r="B4537" s="2" t="s">
        <v>1</v>
      </c>
    </row>
    <row r="4538" spans="1:2">
      <c r="A4538" t="s">
        <v>2379</v>
      </c>
      <c r="B4538">
        <v>2</v>
      </c>
    </row>
    <row r="4539" spans="1:2">
      <c r="A4539" t="s">
        <v>308</v>
      </c>
      <c r="B4539">
        <v>1</v>
      </c>
    </row>
    <row r="4540" spans="1:2">
      <c r="A4540" t="s">
        <v>2444</v>
      </c>
      <c r="B4540">
        <v>1</v>
      </c>
    </row>
    <row r="4541" spans="1:2">
      <c r="A4541" t="s">
        <v>2450</v>
      </c>
      <c r="B4541">
        <v>1</v>
      </c>
    </row>
    <row r="4542" spans="1:2">
      <c r="A4542" t="s">
        <v>252</v>
      </c>
      <c r="B4542">
        <v>1</v>
      </c>
    </row>
    <row r="4543" spans="1:2">
      <c r="A4543" t="s">
        <v>2453</v>
      </c>
      <c r="B4543">
        <v>1</v>
      </c>
    </row>
    <row r="4544" spans="1:2">
      <c r="A4544" t="s">
        <v>724</v>
      </c>
      <c r="B4544">
        <v>6</v>
      </c>
    </row>
    <row r="4545" spans="1:2">
      <c r="A4545" t="s">
        <v>591</v>
      </c>
      <c r="B4545">
        <v>1</v>
      </c>
    </row>
    <row r="4546" spans="1:2">
      <c r="A4546" t="s">
        <v>502</v>
      </c>
      <c r="B4546">
        <v>3</v>
      </c>
    </row>
    <row r="4547" spans="1:2">
      <c r="A4547" t="s">
        <v>682</v>
      </c>
      <c r="B4547">
        <v>1</v>
      </c>
    </row>
    <row r="4548" spans="1:2">
      <c r="A4548" t="s">
        <v>2634</v>
      </c>
      <c r="B4548">
        <v>2</v>
      </c>
    </row>
    <row r="4549" spans="1:2">
      <c r="A4549" t="s">
        <v>2645</v>
      </c>
      <c r="B4549">
        <v>1</v>
      </c>
    </row>
    <row r="4550" spans="1:2">
      <c r="A4550" t="s">
        <v>2702</v>
      </c>
      <c r="B4550">
        <v>2</v>
      </c>
    </row>
    <row r="4551" spans="1:2">
      <c r="A4551" t="s">
        <v>2718</v>
      </c>
      <c r="B4551">
        <v>1</v>
      </c>
    </row>
    <row r="4552" spans="1:2">
      <c r="A4552" t="s">
        <v>2719</v>
      </c>
      <c r="B4552">
        <v>1</v>
      </c>
    </row>
    <row r="4553" spans="1:2">
      <c r="A4553" t="s">
        <v>2727</v>
      </c>
      <c r="B4553">
        <v>1</v>
      </c>
    </row>
    <row r="4554" spans="1:2">
      <c r="A4554" t="s">
        <v>2863</v>
      </c>
      <c r="B4554">
        <v>1</v>
      </c>
    </row>
    <row r="4555" spans="1:2">
      <c r="A4555" t="s">
        <v>2865</v>
      </c>
      <c r="B4555">
        <v>1</v>
      </c>
    </row>
    <row r="4556" spans="1:2">
      <c r="A4556" t="s">
        <v>256</v>
      </c>
      <c r="B4556">
        <v>2</v>
      </c>
    </row>
    <row r="4557" spans="1:2">
      <c r="A4557" t="s">
        <v>2904</v>
      </c>
      <c r="B4557">
        <v>1</v>
      </c>
    </row>
    <row r="4558" spans="1:2">
      <c r="A4558" s="2" t="s">
        <v>9</v>
      </c>
      <c r="B4558" s="2">
        <v>31</v>
      </c>
    </row>
    <row r="4560" spans="1:2">
      <c r="A4560" s="2" t="s">
        <v>2946</v>
      </c>
    </row>
    <row r="4561" spans="1:2">
      <c r="A4561" s="2" t="s">
        <v>0</v>
      </c>
      <c r="B4561" s="2" t="s">
        <v>1</v>
      </c>
    </row>
    <row r="4562" spans="1:2">
      <c r="A4562" t="s">
        <v>2381</v>
      </c>
      <c r="B4562">
        <v>1</v>
      </c>
    </row>
    <row r="4563" spans="1:2">
      <c r="A4563" t="s">
        <v>736</v>
      </c>
      <c r="B4563">
        <v>8</v>
      </c>
    </row>
    <row r="4564" spans="1:2">
      <c r="A4564" t="s">
        <v>1679</v>
      </c>
      <c r="B4564">
        <v>12</v>
      </c>
    </row>
    <row r="4565" spans="1:2">
      <c r="A4565" t="s">
        <v>2441</v>
      </c>
      <c r="B4565">
        <v>1</v>
      </c>
    </row>
    <row r="4566" spans="1:2">
      <c r="A4566" t="s">
        <v>2465</v>
      </c>
      <c r="B4566">
        <v>1</v>
      </c>
    </row>
    <row r="4567" spans="1:2">
      <c r="A4567" t="s">
        <v>145</v>
      </c>
      <c r="B4567">
        <v>3</v>
      </c>
    </row>
    <row r="4568" spans="1:2">
      <c r="A4568" t="s">
        <v>1203</v>
      </c>
      <c r="B4568">
        <v>1</v>
      </c>
    </row>
    <row r="4569" spans="1:2">
      <c r="A4569" t="s">
        <v>2561</v>
      </c>
      <c r="B4569">
        <v>1</v>
      </c>
    </row>
    <row r="4570" spans="1:2">
      <c r="A4570" t="s">
        <v>749</v>
      </c>
      <c r="B4570">
        <v>1</v>
      </c>
    </row>
    <row r="4571" spans="1:2">
      <c r="A4571" t="s">
        <v>2596</v>
      </c>
      <c r="B4571">
        <v>1</v>
      </c>
    </row>
    <row r="4572" spans="1:2">
      <c r="A4572" t="s">
        <v>2602</v>
      </c>
      <c r="B4572">
        <v>1</v>
      </c>
    </row>
    <row r="4573" spans="1:2">
      <c r="A4573" t="s">
        <v>2612</v>
      </c>
      <c r="B4573">
        <v>2</v>
      </c>
    </row>
    <row r="4574" spans="1:2">
      <c r="A4574" t="s">
        <v>2730</v>
      </c>
      <c r="B4574">
        <v>1</v>
      </c>
    </row>
    <row r="4575" spans="1:2">
      <c r="A4575" t="s">
        <v>2915</v>
      </c>
      <c r="B4575">
        <v>1</v>
      </c>
    </row>
    <row r="4576" spans="1:2">
      <c r="A4576" s="2" t="s">
        <v>9</v>
      </c>
      <c r="B4576" s="2">
        <v>35</v>
      </c>
    </row>
    <row r="4578" spans="1:2">
      <c r="A4578" s="2" t="s">
        <v>2947</v>
      </c>
    </row>
    <row r="4579" spans="1:2">
      <c r="A4579" s="2" t="s">
        <v>0</v>
      </c>
      <c r="B4579" s="2" t="s">
        <v>1</v>
      </c>
    </row>
    <row r="4580" spans="1:2">
      <c r="A4580" t="s">
        <v>2399</v>
      </c>
      <c r="B4580">
        <v>1</v>
      </c>
    </row>
    <row r="4581" spans="1:2">
      <c r="A4581" t="s">
        <v>2402</v>
      </c>
      <c r="B4581">
        <v>2</v>
      </c>
    </row>
    <row r="4582" spans="1:2">
      <c r="A4582" t="s">
        <v>600</v>
      </c>
      <c r="B4582">
        <v>1</v>
      </c>
    </row>
    <row r="4583" spans="1:2">
      <c r="A4583" t="s">
        <v>2545</v>
      </c>
      <c r="B4583">
        <v>1</v>
      </c>
    </row>
    <row r="4584" spans="1:2">
      <c r="A4584" t="s">
        <v>877</v>
      </c>
      <c r="B4584">
        <v>1</v>
      </c>
    </row>
    <row r="4585" spans="1:2">
      <c r="A4585" t="s">
        <v>2772</v>
      </c>
      <c r="B4585">
        <v>1</v>
      </c>
    </row>
    <row r="4586" spans="1:2">
      <c r="A4586" t="s">
        <v>2789</v>
      </c>
      <c r="B4586">
        <v>1</v>
      </c>
    </row>
    <row r="4587" spans="1:2">
      <c r="A4587" s="2" t="s">
        <v>9</v>
      </c>
      <c r="B4587" s="2">
        <v>8</v>
      </c>
    </row>
    <row r="4589" spans="1:2">
      <c r="A4589" s="2" t="s">
        <v>2948</v>
      </c>
    </row>
    <row r="4590" spans="1:2">
      <c r="A4590" s="2" t="s">
        <v>0</v>
      </c>
      <c r="B4590" s="2" t="s">
        <v>1</v>
      </c>
    </row>
    <row r="4591" spans="1:2">
      <c r="A4591" t="s">
        <v>924</v>
      </c>
      <c r="B4591">
        <v>3</v>
      </c>
    </row>
    <row r="4592" spans="1:2">
      <c r="A4592" t="s">
        <v>2457</v>
      </c>
      <c r="B4592">
        <v>1</v>
      </c>
    </row>
    <row r="4593" spans="1:2">
      <c r="A4593" t="s">
        <v>577</v>
      </c>
      <c r="B4593">
        <v>2</v>
      </c>
    </row>
    <row r="4594" spans="1:2">
      <c r="A4594" t="s">
        <v>260</v>
      </c>
      <c r="B4594">
        <v>8</v>
      </c>
    </row>
    <row r="4595" spans="1:2">
      <c r="A4595" t="s">
        <v>2501</v>
      </c>
      <c r="B4595">
        <v>1</v>
      </c>
    </row>
    <row r="4596" spans="1:2">
      <c r="A4596" t="s">
        <v>2502</v>
      </c>
      <c r="B4596">
        <v>2</v>
      </c>
    </row>
    <row r="4597" spans="1:2">
      <c r="A4597" t="s">
        <v>1056</v>
      </c>
      <c r="B4597">
        <v>8</v>
      </c>
    </row>
    <row r="4598" spans="1:2">
      <c r="A4598" t="s">
        <v>2548</v>
      </c>
      <c r="B4598">
        <v>2</v>
      </c>
    </row>
    <row r="4599" spans="1:2">
      <c r="A4599" t="s">
        <v>1231</v>
      </c>
      <c r="B4599">
        <v>1</v>
      </c>
    </row>
    <row r="4600" spans="1:2">
      <c r="A4600" t="s">
        <v>1161</v>
      </c>
      <c r="B4600">
        <v>2</v>
      </c>
    </row>
    <row r="4601" spans="1:2">
      <c r="A4601" t="s">
        <v>2611</v>
      </c>
      <c r="B4601">
        <v>5</v>
      </c>
    </row>
    <row r="4602" spans="1:2">
      <c r="A4602" t="s">
        <v>2625</v>
      </c>
      <c r="B4602">
        <v>6</v>
      </c>
    </row>
    <row r="4603" spans="1:2">
      <c r="A4603" t="s">
        <v>1392</v>
      </c>
      <c r="B4603">
        <v>8</v>
      </c>
    </row>
    <row r="4604" spans="1:2">
      <c r="A4604" t="s">
        <v>2626</v>
      </c>
      <c r="B4604">
        <v>1</v>
      </c>
    </row>
    <row r="4605" spans="1:2">
      <c r="A4605" t="s">
        <v>2631</v>
      </c>
      <c r="B4605">
        <v>1</v>
      </c>
    </row>
    <row r="4606" spans="1:2">
      <c r="A4606" t="s">
        <v>1628</v>
      </c>
      <c r="B4606">
        <v>1</v>
      </c>
    </row>
    <row r="4607" spans="1:2">
      <c r="A4607" t="s">
        <v>2635</v>
      </c>
      <c r="B4607">
        <v>1</v>
      </c>
    </row>
    <row r="4608" spans="1:2">
      <c r="A4608" t="s">
        <v>2636</v>
      </c>
      <c r="B4608">
        <v>2</v>
      </c>
    </row>
    <row r="4609" spans="1:2">
      <c r="A4609" t="s">
        <v>2637</v>
      </c>
      <c r="B4609">
        <v>1</v>
      </c>
    </row>
    <row r="4610" spans="1:2">
      <c r="A4610" t="s">
        <v>771</v>
      </c>
      <c r="B4610">
        <v>1</v>
      </c>
    </row>
    <row r="4611" spans="1:2">
      <c r="A4611" t="s">
        <v>2638</v>
      </c>
      <c r="B4611">
        <v>1</v>
      </c>
    </row>
    <row r="4612" spans="1:2">
      <c r="A4612" t="s">
        <v>2639</v>
      </c>
      <c r="B4612">
        <v>1</v>
      </c>
    </row>
    <row r="4613" spans="1:2">
      <c r="A4613" t="s">
        <v>2647</v>
      </c>
      <c r="B4613">
        <v>1</v>
      </c>
    </row>
    <row r="4614" spans="1:2">
      <c r="A4614" t="s">
        <v>2666</v>
      </c>
      <c r="B4614">
        <v>2</v>
      </c>
    </row>
    <row r="4615" spans="1:2">
      <c r="A4615" t="s">
        <v>2671</v>
      </c>
      <c r="B4615">
        <v>3</v>
      </c>
    </row>
    <row r="4616" spans="1:2">
      <c r="A4616" t="s">
        <v>643</v>
      </c>
      <c r="B4616">
        <v>10</v>
      </c>
    </row>
    <row r="4617" spans="1:2">
      <c r="A4617" t="s">
        <v>2677</v>
      </c>
      <c r="B4617">
        <v>1</v>
      </c>
    </row>
    <row r="4618" spans="1:2">
      <c r="A4618" t="s">
        <v>2678</v>
      </c>
      <c r="B4618">
        <v>1</v>
      </c>
    </row>
    <row r="4619" spans="1:2">
      <c r="A4619" t="s">
        <v>2714</v>
      </c>
      <c r="B4619">
        <v>1</v>
      </c>
    </row>
    <row r="4620" spans="1:2">
      <c r="A4620" t="s">
        <v>2726</v>
      </c>
      <c r="B4620">
        <v>1</v>
      </c>
    </row>
    <row r="4621" spans="1:2">
      <c r="A4621" t="s">
        <v>2738</v>
      </c>
      <c r="B4621">
        <v>1</v>
      </c>
    </row>
    <row r="4622" spans="1:2">
      <c r="A4622" t="s">
        <v>2798</v>
      </c>
      <c r="B4622">
        <v>1</v>
      </c>
    </row>
    <row r="4623" spans="1:2">
      <c r="A4623" t="s">
        <v>2801</v>
      </c>
      <c r="B4623">
        <v>1</v>
      </c>
    </row>
    <row r="4624" spans="1:2">
      <c r="A4624" t="s">
        <v>1685</v>
      </c>
      <c r="B4624">
        <v>7</v>
      </c>
    </row>
    <row r="4625" spans="1:2">
      <c r="A4625" t="s">
        <v>2813</v>
      </c>
      <c r="B4625">
        <v>1</v>
      </c>
    </row>
    <row r="4626" spans="1:2">
      <c r="A4626" t="s">
        <v>2835</v>
      </c>
      <c r="B4626">
        <v>1</v>
      </c>
    </row>
    <row r="4627" spans="1:2">
      <c r="A4627" t="s">
        <v>2836</v>
      </c>
      <c r="B4627">
        <v>2</v>
      </c>
    </row>
    <row r="4628" spans="1:2">
      <c r="A4628" t="s">
        <v>2856</v>
      </c>
      <c r="B4628">
        <v>1</v>
      </c>
    </row>
    <row r="4629" spans="1:2">
      <c r="A4629" t="s">
        <v>2874</v>
      </c>
      <c r="B4629">
        <v>1</v>
      </c>
    </row>
    <row r="4630" spans="1:2">
      <c r="A4630" t="s">
        <v>2928</v>
      </c>
      <c r="B4630">
        <v>1</v>
      </c>
    </row>
    <row r="4631" spans="1:2">
      <c r="A4631" t="s">
        <v>1585</v>
      </c>
      <c r="B4631">
        <v>1</v>
      </c>
    </row>
    <row r="4632" spans="1:2">
      <c r="A4632" s="2" t="s">
        <v>9</v>
      </c>
      <c r="B4632" s="2">
        <v>97</v>
      </c>
    </row>
    <row r="4634" spans="1:2">
      <c r="A4634" s="2" t="s">
        <v>2949</v>
      </c>
    </row>
    <row r="4635" spans="1:2">
      <c r="A4635" s="2" t="s">
        <v>0</v>
      </c>
      <c r="B4635" s="2" t="s">
        <v>1</v>
      </c>
    </row>
    <row r="4636" spans="1:2">
      <c r="A4636" t="s">
        <v>2433</v>
      </c>
      <c r="B4636">
        <v>1</v>
      </c>
    </row>
    <row r="4637" spans="1:2">
      <c r="A4637" s="2" t="s">
        <v>9</v>
      </c>
      <c r="B4637" s="2">
        <v>1</v>
      </c>
    </row>
    <row r="4639" spans="1:2">
      <c r="A4639" s="2" t="s">
        <v>2950</v>
      </c>
    </row>
    <row r="4640" spans="1:2">
      <c r="A4640" s="2" t="s">
        <v>0</v>
      </c>
      <c r="B4640" s="2" t="s">
        <v>1</v>
      </c>
    </row>
    <row r="4641" spans="1:2">
      <c r="A4641" t="s">
        <v>1388</v>
      </c>
      <c r="B4641">
        <v>1</v>
      </c>
    </row>
    <row r="4642" spans="1:2">
      <c r="A4642" s="2" t="s">
        <v>9</v>
      </c>
      <c r="B4642" s="2">
        <v>1</v>
      </c>
    </row>
    <row r="4644" spans="1:2">
      <c r="A4644" s="2" t="s">
        <v>2951</v>
      </c>
    </row>
    <row r="4645" spans="1:2">
      <c r="A4645" s="2" t="s">
        <v>0</v>
      </c>
      <c r="B4645" s="2" t="s">
        <v>1</v>
      </c>
    </row>
    <row r="4646" spans="1:2">
      <c r="A4646" t="s">
        <v>2674</v>
      </c>
      <c r="B4646">
        <v>1</v>
      </c>
    </row>
    <row r="4647" spans="1:2">
      <c r="A4647" s="2" t="s">
        <v>9</v>
      </c>
      <c r="B4647" s="2">
        <v>1</v>
      </c>
    </row>
    <row r="4649" spans="1:2">
      <c r="A4649" s="2" t="s">
        <v>544</v>
      </c>
    </row>
    <row r="4650" spans="1:2">
      <c r="A4650" s="2" t="s">
        <v>0</v>
      </c>
      <c r="B4650" s="2" t="s">
        <v>1</v>
      </c>
    </row>
    <row r="4651" spans="1:2">
      <c r="A4651" t="s">
        <v>2716</v>
      </c>
      <c r="B4651">
        <v>1</v>
      </c>
    </row>
    <row r="4652" spans="1:2">
      <c r="A4652" t="s">
        <v>905</v>
      </c>
      <c r="B4652">
        <v>1</v>
      </c>
    </row>
    <row r="4653" spans="1:2">
      <c r="A4653" t="s">
        <v>1740</v>
      </c>
      <c r="B4653">
        <v>1</v>
      </c>
    </row>
    <row r="4654" spans="1:2">
      <c r="A4654" t="s">
        <v>2721</v>
      </c>
      <c r="B4654">
        <v>1</v>
      </c>
    </row>
    <row r="4655" spans="1:2">
      <c r="A4655" t="s">
        <v>1768</v>
      </c>
      <c r="B4655">
        <v>1</v>
      </c>
    </row>
    <row r="4656" spans="1:2">
      <c r="A4656" t="s">
        <v>2792</v>
      </c>
      <c r="B4656">
        <v>1</v>
      </c>
    </row>
    <row r="4657" spans="1:2">
      <c r="A4657" t="s">
        <v>826</v>
      </c>
      <c r="B4657">
        <v>1</v>
      </c>
    </row>
    <row r="4658" spans="1:2">
      <c r="A4658" s="2" t="s">
        <v>9</v>
      </c>
      <c r="B4658" s="2">
        <v>7</v>
      </c>
    </row>
    <row r="4660" spans="1:2">
      <c r="A4660" s="2" t="s">
        <v>2952</v>
      </c>
    </row>
    <row r="4661" spans="1:2">
      <c r="A4661" s="2" t="s">
        <v>0</v>
      </c>
      <c r="B4661" s="2" t="s">
        <v>1</v>
      </c>
    </row>
    <row r="4662" spans="1:2">
      <c r="A4662" t="s">
        <v>2747</v>
      </c>
      <c r="B4662">
        <v>1</v>
      </c>
    </row>
    <row r="4663" spans="1:2">
      <c r="A4663" t="s">
        <v>57</v>
      </c>
      <c r="B4663">
        <v>1</v>
      </c>
    </row>
    <row r="4664" spans="1:2">
      <c r="A4664" t="s">
        <v>89</v>
      </c>
      <c r="B4664">
        <v>1</v>
      </c>
    </row>
    <row r="4665" spans="1:2">
      <c r="A4665" s="2" t="s">
        <v>9</v>
      </c>
      <c r="B4665" s="2">
        <v>3</v>
      </c>
    </row>
    <row r="4667" spans="1:2">
      <c r="A4667" s="2" t="s">
        <v>2953</v>
      </c>
    </row>
    <row r="4668" spans="1:2">
      <c r="A4668" s="2" t="s">
        <v>0</v>
      </c>
      <c r="B4668" s="2" t="s">
        <v>1</v>
      </c>
    </row>
    <row r="4669" spans="1:2">
      <c r="A4669" t="s">
        <v>2770</v>
      </c>
      <c r="B4669">
        <v>1</v>
      </c>
    </row>
    <row r="4670" spans="1:2">
      <c r="A4670" s="2" t="s">
        <v>9</v>
      </c>
      <c r="B4670" s="2">
        <v>1</v>
      </c>
    </row>
    <row r="4672" spans="1:2">
      <c r="A4672" s="2" t="s">
        <v>2954</v>
      </c>
    </row>
    <row r="4673" spans="1:2">
      <c r="A4673" s="2" t="s">
        <v>0</v>
      </c>
      <c r="B4673" s="2" t="s">
        <v>1</v>
      </c>
    </row>
    <row r="4674" spans="1:2">
      <c r="A4674" t="s">
        <v>2774</v>
      </c>
      <c r="B4674">
        <v>1</v>
      </c>
    </row>
    <row r="4675" spans="1:2">
      <c r="A4675" t="s">
        <v>1700</v>
      </c>
      <c r="B4675">
        <v>1</v>
      </c>
    </row>
    <row r="4676" spans="1:2">
      <c r="A4676" s="2" t="s">
        <v>9</v>
      </c>
      <c r="B4676" s="2">
        <v>2</v>
      </c>
    </row>
    <row r="4678" spans="1:2">
      <c r="A4678" s="2" t="s">
        <v>2955</v>
      </c>
    </row>
    <row r="4679" spans="1:2">
      <c r="A4679" s="2" t="s">
        <v>0</v>
      </c>
      <c r="B4679" s="2" t="s">
        <v>1</v>
      </c>
    </row>
    <row r="4680" spans="1:2">
      <c r="A4680" t="s">
        <v>2925</v>
      </c>
      <c r="B4680">
        <v>1</v>
      </c>
    </row>
    <row r="4681" spans="1:2">
      <c r="A4681" s="2" t="s">
        <v>9</v>
      </c>
      <c r="B4681" s="2">
        <v>1</v>
      </c>
    </row>
  </sheetData>
  <pageMargins left="0.75" right="0.75" top="1" bottom="1" header="0.5" footer="0.5"/>
  <pageSetup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I149"/>
  <sheetViews>
    <sheetView topLeftCell="D16" workbookViewId="0">
      <selection activeCell="I23" sqref="I23"/>
    </sheetView>
  </sheetViews>
  <sheetFormatPr defaultRowHeight="14.45"/>
  <cols>
    <col min="1" max="1" width="56.85546875" customWidth="1"/>
    <col min="6" max="6" width="14.28515625" bestFit="1" customWidth="1"/>
    <col min="7" max="7" width="15.85546875" bestFit="1" customWidth="1"/>
  </cols>
  <sheetData>
    <row r="1" spans="1:9" ht="26.45" thickBot="1">
      <c r="A1" s="3" t="s">
        <v>0</v>
      </c>
      <c r="B1" s="3" t="s">
        <v>2</v>
      </c>
      <c r="C1" s="3" t="s">
        <v>1</v>
      </c>
    </row>
    <row r="2" spans="1:9" ht="26.45" thickBot="1">
      <c r="A2" s="3" t="s">
        <v>396</v>
      </c>
      <c r="B2" s="3" t="s">
        <v>34</v>
      </c>
      <c r="C2" s="4">
        <v>1</v>
      </c>
    </row>
    <row r="3" spans="1:9" ht="26.45" thickBot="1">
      <c r="A3" s="3" t="s">
        <v>1710</v>
      </c>
      <c r="B3" s="3" t="s">
        <v>61</v>
      </c>
      <c r="C3" s="4">
        <v>1</v>
      </c>
      <c r="F3" s="7" t="s">
        <v>7</v>
      </c>
      <c r="G3" t="s">
        <v>8</v>
      </c>
      <c r="H3" t="s">
        <v>1070</v>
      </c>
      <c r="I3" t="s">
        <v>1071</v>
      </c>
    </row>
    <row r="4" spans="1:9" ht="26.45" thickBot="1">
      <c r="A4" s="3" t="s">
        <v>172</v>
      </c>
      <c r="B4" s="3" t="s">
        <v>1802</v>
      </c>
      <c r="C4" s="4">
        <v>1</v>
      </c>
      <c r="F4" s="8" t="s">
        <v>2365</v>
      </c>
      <c r="G4">
        <v>1</v>
      </c>
      <c r="H4">
        <v>7</v>
      </c>
      <c r="I4">
        <f>G4/H4</f>
        <v>0.14285714285714285</v>
      </c>
    </row>
    <row r="5" spans="1:9" ht="15" thickBot="1">
      <c r="A5" s="3" t="s">
        <v>154</v>
      </c>
      <c r="B5" s="3" t="s">
        <v>24</v>
      </c>
      <c r="C5" s="4">
        <v>1</v>
      </c>
      <c r="F5" s="8" t="s">
        <v>61</v>
      </c>
      <c r="G5">
        <v>5</v>
      </c>
      <c r="H5">
        <v>7</v>
      </c>
      <c r="I5">
        <f t="shared" ref="I5:I19" si="0">G5/H5</f>
        <v>0.7142857142857143</v>
      </c>
    </row>
    <row r="6" spans="1:9" ht="26.45" thickBot="1">
      <c r="A6" s="3" t="s">
        <v>65</v>
      </c>
      <c r="B6" s="3" t="s">
        <v>1802</v>
      </c>
      <c r="C6" s="4">
        <v>1</v>
      </c>
      <c r="F6" s="8" t="s">
        <v>125</v>
      </c>
      <c r="G6">
        <v>3</v>
      </c>
      <c r="H6">
        <v>7</v>
      </c>
      <c r="I6">
        <f t="shared" si="0"/>
        <v>0.42857142857142855</v>
      </c>
    </row>
    <row r="7" spans="1:9" ht="26.45" thickBot="1">
      <c r="A7" s="3" t="s">
        <v>25</v>
      </c>
      <c r="B7" s="3" t="s">
        <v>26</v>
      </c>
      <c r="C7" s="4">
        <v>1</v>
      </c>
      <c r="F7" s="8" t="s">
        <v>19</v>
      </c>
      <c r="G7">
        <v>2</v>
      </c>
      <c r="H7">
        <v>7</v>
      </c>
      <c r="I7">
        <f t="shared" si="0"/>
        <v>0.2857142857142857</v>
      </c>
    </row>
    <row r="8" spans="1:9" ht="26.45" thickBot="1">
      <c r="A8" s="3" t="s">
        <v>2956</v>
      </c>
      <c r="B8" s="3" t="s">
        <v>34</v>
      </c>
      <c r="C8" s="4">
        <v>1</v>
      </c>
      <c r="F8" s="8" t="s">
        <v>118</v>
      </c>
      <c r="G8">
        <v>2</v>
      </c>
      <c r="H8">
        <v>7</v>
      </c>
      <c r="I8">
        <f t="shared" si="0"/>
        <v>0.2857142857142857</v>
      </c>
    </row>
    <row r="9" spans="1:9" ht="26.45" thickBot="1">
      <c r="A9" s="3" t="s">
        <v>844</v>
      </c>
      <c r="B9" s="3" t="s">
        <v>34</v>
      </c>
      <c r="C9" s="4">
        <v>1</v>
      </c>
      <c r="F9" s="8" t="s">
        <v>1805</v>
      </c>
      <c r="G9">
        <v>2</v>
      </c>
      <c r="H9">
        <v>7</v>
      </c>
      <c r="I9">
        <f t="shared" si="0"/>
        <v>0.2857142857142857</v>
      </c>
    </row>
    <row r="10" spans="1:9" ht="26.45" thickBot="1">
      <c r="A10" s="3" t="s">
        <v>2295</v>
      </c>
      <c r="B10" s="3" t="s">
        <v>61</v>
      </c>
      <c r="C10" s="4">
        <v>1</v>
      </c>
      <c r="F10" s="8" t="s">
        <v>24</v>
      </c>
      <c r="G10">
        <v>1</v>
      </c>
      <c r="H10">
        <v>7</v>
      </c>
      <c r="I10">
        <f t="shared" si="0"/>
        <v>0.14285714285714285</v>
      </c>
    </row>
    <row r="11" spans="1:9" ht="15" thickBot="1">
      <c r="A11" s="3" t="s">
        <v>469</v>
      </c>
      <c r="B11" s="3" t="s">
        <v>2372</v>
      </c>
      <c r="C11" s="4">
        <v>1</v>
      </c>
      <c r="F11" s="8" t="s">
        <v>26</v>
      </c>
      <c r="G11">
        <v>1</v>
      </c>
      <c r="H11">
        <v>7</v>
      </c>
      <c r="I11">
        <f t="shared" si="0"/>
        <v>0.14285714285714285</v>
      </c>
    </row>
    <row r="12" spans="1:9" ht="26.45" thickBot="1">
      <c r="A12" s="3" t="s">
        <v>199</v>
      </c>
      <c r="B12" s="3" t="s">
        <v>1810</v>
      </c>
      <c r="C12" s="4">
        <v>1</v>
      </c>
      <c r="F12" s="8" t="s">
        <v>2372</v>
      </c>
      <c r="G12">
        <v>2</v>
      </c>
      <c r="H12">
        <v>7</v>
      </c>
      <c r="I12">
        <f t="shared" si="0"/>
        <v>0.2857142857142857</v>
      </c>
    </row>
    <row r="13" spans="1:9" ht="26.45" thickBot="1">
      <c r="A13" s="3" t="s">
        <v>1595</v>
      </c>
      <c r="B13" s="3" t="s">
        <v>61</v>
      </c>
      <c r="C13" s="4">
        <v>1</v>
      </c>
      <c r="F13" s="8" t="s">
        <v>1802</v>
      </c>
      <c r="G13">
        <v>5</v>
      </c>
      <c r="H13">
        <v>7</v>
      </c>
      <c r="I13">
        <f t="shared" si="0"/>
        <v>0.7142857142857143</v>
      </c>
    </row>
    <row r="14" spans="1:9" ht="26.45" thickBot="1">
      <c r="A14" s="3" t="s">
        <v>615</v>
      </c>
      <c r="B14" s="3" t="s">
        <v>34</v>
      </c>
      <c r="C14" s="4">
        <v>2</v>
      </c>
      <c r="F14" s="8" t="s">
        <v>1810</v>
      </c>
      <c r="G14">
        <v>1</v>
      </c>
      <c r="H14">
        <v>7</v>
      </c>
      <c r="I14">
        <f t="shared" si="0"/>
        <v>0.14285714285714285</v>
      </c>
    </row>
    <row r="15" spans="1:9" ht="26.45" thickBot="1">
      <c r="A15" s="3" t="s">
        <v>965</v>
      </c>
      <c r="B15" s="3" t="s">
        <v>61</v>
      </c>
      <c r="C15" s="4">
        <v>1</v>
      </c>
      <c r="F15" s="8" t="s">
        <v>32</v>
      </c>
      <c r="G15">
        <v>1</v>
      </c>
      <c r="H15">
        <v>7</v>
      </c>
      <c r="I15">
        <f t="shared" si="0"/>
        <v>0.14285714285714285</v>
      </c>
    </row>
    <row r="16" spans="1:9" ht="26.45" thickBot="1">
      <c r="A16" s="3" t="s">
        <v>181</v>
      </c>
      <c r="B16" s="3" t="s">
        <v>1802</v>
      </c>
      <c r="C16" s="4">
        <v>1</v>
      </c>
      <c r="F16" s="8" t="s">
        <v>4</v>
      </c>
      <c r="G16">
        <v>4</v>
      </c>
      <c r="H16">
        <v>7</v>
      </c>
      <c r="I16">
        <f t="shared" si="0"/>
        <v>0.5714285714285714</v>
      </c>
    </row>
    <row r="17" spans="1:9" ht="26.45" thickBot="1">
      <c r="A17" s="3" t="s">
        <v>71</v>
      </c>
      <c r="B17" s="3" t="s">
        <v>34</v>
      </c>
      <c r="C17" s="4">
        <v>2</v>
      </c>
      <c r="F17" s="8" t="s">
        <v>34</v>
      </c>
      <c r="G17">
        <v>10</v>
      </c>
      <c r="H17">
        <v>7</v>
      </c>
      <c r="I17">
        <f t="shared" si="0"/>
        <v>1.4285714285714286</v>
      </c>
    </row>
    <row r="18" spans="1:9" ht="15" thickBot="1">
      <c r="A18" s="3" t="s">
        <v>146</v>
      </c>
      <c r="B18" s="3" t="s">
        <v>2359</v>
      </c>
      <c r="C18" s="4">
        <v>1</v>
      </c>
      <c r="F18" s="8" t="s">
        <v>2359</v>
      </c>
      <c r="G18">
        <v>5</v>
      </c>
      <c r="H18">
        <v>7</v>
      </c>
      <c r="I18">
        <f t="shared" si="0"/>
        <v>0.7142857142857143</v>
      </c>
    </row>
    <row r="19" spans="1:9" ht="26.45" thickBot="1">
      <c r="A19" s="3" t="s">
        <v>124</v>
      </c>
      <c r="B19" s="3" t="s">
        <v>125</v>
      </c>
      <c r="C19" s="4">
        <v>1</v>
      </c>
      <c r="F19" s="8" t="s">
        <v>138</v>
      </c>
      <c r="G19">
        <v>1</v>
      </c>
      <c r="H19">
        <v>7</v>
      </c>
      <c r="I19">
        <f t="shared" si="0"/>
        <v>0.14285714285714285</v>
      </c>
    </row>
    <row r="20" spans="1:9" ht="15" thickBot="1">
      <c r="A20" s="3" t="s">
        <v>573</v>
      </c>
      <c r="B20" s="3" t="s">
        <v>2372</v>
      </c>
      <c r="C20" s="4">
        <v>1</v>
      </c>
      <c r="F20" s="8" t="s">
        <v>12</v>
      </c>
      <c r="G20">
        <v>46</v>
      </c>
    </row>
    <row r="21" spans="1:9" ht="26.45" thickBot="1">
      <c r="A21" s="3" t="s">
        <v>687</v>
      </c>
      <c r="B21" s="3" t="s">
        <v>34</v>
      </c>
      <c r="C21" s="4">
        <v>1</v>
      </c>
    </row>
    <row r="22" spans="1:9" ht="26.45" thickBot="1">
      <c r="A22" s="3" t="s">
        <v>219</v>
      </c>
      <c r="B22" s="3" t="s">
        <v>19</v>
      </c>
      <c r="C22" s="4">
        <v>1</v>
      </c>
      <c r="F22" s="8" t="s">
        <v>30</v>
      </c>
      <c r="G22">
        <v>6</v>
      </c>
      <c r="H22">
        <v>7</v>
      </c>
      <c r="I22">
        <f>G22/H22</f>
        <v>0.8571428571428571</v>
      </c>
    </row>
    <row r="23" spans="1:9" ht="26.45" thickBot="1">
      <c r="A23" s="3" t="s">
        <v>613</v>
      </c>
      <c r="B23" s="3" t="s">
        <v>34</v>
      </c>
      <c r="C23" s="4">
        <v>1</v>
      </c>
      <c r="F23" s="8" t="s">
        <v>138</v>
      </c>
      <c r="G23">
        <v>2</v>
      </c>
      <c r="H23">
        <v>7</v>
      </c>
      <c r="I23">
        <f>G23/H23</f>
        <v>0.2857142857142857</v>
      </c>
    </row>
    <row r="24" spans="1:9" ht="15" thickBot="1">
      <c r="A24" s="3" t="s">
        <v>286</v>
      </c>
      <c r="B24" s="3" t="s">
        <v>118</v>
      </c>
      <c r="C24" s="4">
        <v>1</v>
      </c>
    </row>
    <row r="25" spans="1:9" ht="26.45" thickBot="1">
      <c r="A25" s="3" t="s">
        <v>201</v>
      </c>
      <c r="B25" s="3" t="s">
        <v>1802</v>
      </c>
      <c r="C25" s="4">
        <v>1</v>
      </c>
    </row>
    <row r="26" spans="1:9" ht="26.45" thickBot="1">
      <c r="A26" s="3" t="s">
        <v>259</v>
      </c>
      <c r="B26" s="3" t="s">
        <v>19</v>
      </c>
      <c r="C26" s="4">
        <v>1</v>
      </c>
    </row>
    <row r="27" spans="1:9" ht="15" thickBot="1">
      <c r="A27" s="3" t="s">
        <v>656</v>
      </c>
      <c r="B27" s="3" t="s">
        <v>1805</v>
      </c>
      <c r="C27" s="4">
        <v>1</v>
      </c>
    </row>
    <row r="28" spans="1:9" ht="26.45" thickBot="1">
      <c r="A28" s="3" t="s">
        <v>1109</v>
      </c>
      <c r="B28" s="3" t="s">
        <v>61</v>
      </c>
      <c r="C28" s="4">
        <v>1</v>
      </c>
    </row>
    <row r="29" spans="1:9" ht="26.45" thickBot="1">
      <c r="A29" s="3" t="s">
        <v>566</v>
      </c>
      <c r="B29" s="3" t="s">
        <v>34</v>
      </c>
      <c r="C29" s="4">
        <v>1</v>
      </c>
    </row>
    <row r="30" spans="1:9" ht="15" thickBot="1">
      <c r="A30" s="3" t="s">
        <v>1315</v>
      </c>
      <c r="B30" s="3" t="s">
        <v>1805</v>
      </c>
      <c r="C30" s="4">
        <v>1</v>
      </c>
    </row>
    <row r="31" spans="1:9" ht="15" thickBot="1">
      <c r="A31" s="3" t="s">
        <v>907</v>
      </c>
      <c r="B31" s="3" t="s">
        <v>2365</v>
      </c>
      <c r="C31" s="4">
        <v>1</v>
      </c>
    </row>
    <row r="32" spans="1:9" ht="26.45" thickBot="1">
      <c r="A32" s="3" t="s">
        <v>1023</v>
      </c>
      <c r="B32" s="3" t="s">
        <v>1802</v>
      </c>
      <c r="C32" s="4">
        <v>1</v>
      </c>
    </row>
    <row r="33" spans="1:3" ht="15" thickBot="1">
      <c r="A33" s="3" t="s">
        <v>36</v>
      </c>
      <c r="B33" s="3" t="s">
        <v>32</v>
      </c>
      <c r="C33" s="4">
        <v>1</v>
      </c>
    </row>
    <row r="34" spans="1:3" ht="15" thickBot="1">
      <c r="A34" s="3" t="s">
        <v>194</v>
      </c>
      <c r="B34" s="3" t="s">
        <v>118</v>
      </c>
      <c r="C34" s="4">
        <v>1</v>
      </c>
    </row>
    <row r="35" spans="1:3" ht="15" thickBot="1">
      <c r="A35" s="3" t="s">
        <v>162</v>
      </c>
      <c r="B35" s="3" t="s">
        <v>2359</v>
      </c>
      <c r="C35" s="4">
        <v>1</v>
      </c>
    </row>
    <row r="36" spans="1:3" ht="15" thickBot="1">
      <c r="A36" s="3" t="s">
        <v>1738</v>
      </c>
      <c r="B36" s="3" t="s">
        <v>2359</v>
      </c>
      <c r="C36" s="4">
        <v>1</v>
      </c>
    </row>
    <row r="37" spans="1:3" ht="15" thickBot="1">
      <c r="A37" s="3" t="s">
        <v>127</v>
      </c>
      <c r="B37" s="3" t="s">
        <v>2359</v>
      </c>
      <c r="C37" s="4">
        <v>1</v>
      </c>
    </row>
    <row r="38" spans="1:3" ht="15" thickBot="1">
      <c r="A38" s="3" t="s">
        <v>337</v>
      </c>
      <c r="B38" s="3" t="s">
        <v>2359</v>
      </c>
      <c r="C38" s="4">
        <v>1</v>
      </c>
    </row>
    <row r="39" spans="1:3" ht="26.45" thickBot="1">
      <c r="A39" s="3" t="s">
        <v>2957</v>
      </c>
      <c r="B39" s="3" t="s">
        <v>4</v>
      </c>
      <c r="C39" s="4">
        <v>1</v>
      </c>
    </row>
    <row r="40" spans="1:3" ht="26.45" thickBot="1">
      <c r="A40" s="3" t="s">
        <v>111</v>
      </c>
      <c r="B40" s="3" t="s">
        <v>4</v>
      </c>
      <c r="C40" s="4">
        <v>3</v>
      </c>
    </row>
    <row r="41" spans="1:3" ht="26.45" thickBot="1">
      <c r="A41" s="3" t="s">
        <v>2958</v>
      </c>
      <c r="B41" s="3" t="s">
        <v>125</v>
      </c>
      <c r="C41" s="4">
        <v>1</v>
      </c>
    </row>
    <row r="42" spans="1:3" ht="26.45" thickBot="1">
      <c r="A42" s="3" t="s">
        <v>1075</v>
      </c>
      <c r="B42" s="3" t="s">
        <v>125</v>
      </c>
      <c r="C42" s="4">
        <v>1</v>
      </c>
    </row>
    <row r="43" spans="1:3" ht="15" thickBot="1">
      <c r="A43" s="3" t="s">
        <v>2959</v>
      </c>
      <c r="B43" s="3" t="s">
        <v>138</v>
      </c>
      <c r="C43" s="4">
        <v>1</v>
      </c>
    </row>
    <row r="45" spans="1:3">
      <c r="A45" s="2" t="s">
        <v>54</v>
      </c>
    </row>
    <row r="46" spans="1:3">
      <c r="A46" s="2" t="s">
        <v>0</v>
      </c>
      <c r="B46" s="2" t="s">
        <v>1</v>
      </c>
    </row>
    <row r="47" spans="1:3">
      <c r="A47" t="s">
        <v>396</v>
      </c>
      <c r="B47">
        <v>1</v>
      </c>
    </row>
    <row r="48" spans="1:3">
      <c r="A48" t="s">
        <v>2956</v>
      </c>
      <c r="B48">
        <v>1</v>
      </c>
    </row>
    <row r="49" spans="1:2">
      <c r="A49" t="s">
        <v>844</v>
      </c>
      <c r="B49">
        <v>1</v>
      </c>
    </row>
    <row r="50" spans="1:2">
      <c r="A50" t="s">
        <v>615</v>
      </c>
      <c r="B50">
        <v>2</v>
      </c>
    </row>
    <row r="51" spans="1:2">
      <c r="A51" t="s">
        <v>71</v>
      </c>
      <c r="B51">
        <v>2</v>
      </c>
    </row>
    <row r="52" spans="1:2">
      <c r="A52" t="s">
        <v>687</v>
      </c>
      <c r="B52">
        <v>1</v>
      </c>
    </row>
    <row r="53" spans="1:2">
      <c r="A53" t="s">
        <v>613</v>
      </c>
      <c r="B53">
        <v>1</v>
      </c>
    </row>
    <row r="54" spans="1:2">
      <c r="A54" t="s">
        <v>566</v>
      </c>
      <c r="B54">
        <v>1</v>
      </c>
    </row>
    <row r="55" spans="1:2">
      <c r="A55" s="2" t="s">
        <v>9</v>
      </c>
      <c r="B55" s="2">
        <v>10</v>
      </c>
    </row>
    <row r="57" spans="1:2">
      <c r="A57" s="2" t="s">
        <v>95</v>
      </c>
    </row>
    <row r="58" spans="1:2">
      <c r="A58" s="2" t="s">
        <v>0</v>
      </c>
      <c r="B58" s="2" t="s">
        <v>1</v>
      </c>
    </row>
    <row r="59" spans="1:2">
      <c r="A59" t="s">
        <v>1710</v>
      </c>
      <c r="B59">
        <v>1</v>
      </c>
    </row>
    <row r="60" spans="1:2">
      <c r="A60" t="s">
        <v>2295</v>
      </c>
      <c r="B60">
        <v>1</v>
      </c>
    </row>
    <row r="61" spans="1:2">
      <c r="A61" t="s">
        <v>1595</v>
      </c>
      <c r="B61">
        <v>1</v>
      </c>
    </row>
    <row r="62" spans="1:2">
      <c r="A62" t="s">
        <v>965</v>
      </c>
      <c r="B62">
        <v>1</v>
      </c>
    </row>
    <row r="63" spans="1:2">
      <c r="A63" t="s">
        <v>1109</v>
      </c>
      <c r="B63">
        <v>1</v>
      </c>
    </row>
    <row r="64" spans="1:2">
      <c r="A64" s="2" t="s">
        <v>9</v>
      </c>
      <c r="B64" s="2">
        <v>5</v>
      </c>
    </row>
    <row r="66" spans="1:2">
      <c r="A66" s="2" t="s">
        <v>2930</v>
      </c>
    </row>
    <row r="67" spans="1:2">
      <c r="A67" s="2" t="s">
        <v>0</v>
      </c>
      <c r="B67" s="2" t="s">
        <v>1</v>
      </c>
    </row>
    <row r="68" spans="1:2">
      <c r="A68" t="s">
        <v>172</v>
      </c>
      <c r="B68">
        <v>1</v>
      </c>
    </row>
    <row r="69" spans="1:2">
      <c r="A69" t="s">
        <v>65</v>
      </c>
      <c r="B69">
        <v>1</v>
      </c>
    </row>
    <row r="70" spans="1:2">
      <c r="A70" t="s">
        <v>181</v>
      </c>
      <c r="B70">
        <v>1</v>
      </c>
    </row>
    <row r="71" spans="1:2">
      <c r="A71" t="s">
        <v>201</v>
      </c>
      <c r="B71">
        <v>1</v>
      </c>
    </row>
    <row r="72" spans="1:2">
      <c r="A72" t="s">
        <v>1023</v>
      </c>
      <c r="B72">
        <v>1</v>
      </c>
    </row>
    <row r="73" spans="1:2">
      <c r="A73" s="2" t="s">
        <v>9</v>
      </c>
      <c r="B73" s="2">
        <v>5</v>
      </c>
    </row>
    <row r="75" spans="1:2">
      <c r="A75" s="2" t="s">
        <v>49</v>
      </c>
    </row>
    <row r="76" spans="1:2">
      <c r="A76" s="2" t="s">
        <v>0</v>
      </c>
      <c r="B76" s="2" t="s">
        <v>1</v>
      </c>
    </row>
    <row r="77" spans="1:2">
      <c r="A77" t="s">
        <v>154</v>
      </c>
      <c r="B77">
        <v>1</v>
      </c>
    </row>
    <row r="78" spans="1:2">
      <c r="A78" s="2" t="s">
        <v>9</v>
      </c>
      <c r="B78" s="2">
        <v>1</v>
      </c>
    </row>
    <row r="80" spans="1:2">
      <c r="A80" s="2" t="s">
        <v>50</v>
      </c>
    </row>
    <row r="81" spans="1:2">
      <c r="A81" s="2" t="s">
        <v>0</v>
      </c>
      <c r="B81" s="2" t="s">
        <v>1</v>
      </c>
    </row>
    <row r="82" spans="1:2">
      <c r="A82" t="s">
        <v>25</v>
      </c>
      <c r="B82">
        <v>1</v>
      </c>
    </row>
    <row r="83" spans="1:2">
      <c r="A83" s="2" t="s">
        <v>9</v>
      </c>
      <c r="B83" s="2">
        <v>1</v>
      </c>
    </row>
    <row r="85" spans="1:2">
      <c r="A85" s="2" t="s">
        <v>2943</v>
      </c>
    </row>
    <row r="86" spans="1:2">
      <c r="A86" s="2" t="s">
        <v>0</v>
      </c>
      <c r="B86" s="2" t="s">
        <v>1</v>
      </c>
    </row>
    <row r="87" spans="1:2">
      <c r="A87" t="s">
        <v>469</v>
      </c>
      <c r="B87">
        <v>1</v>
      </c>
    </row>
    <row r="88" spans="1:2">
      <c r="A88" t="s">
        <v>573</v>
      </c>
      <c r="B88">
        <v>1</v>
      </c>
    </row>
    <row r="89" spans="1:2">
      <c r="A89" s="2" t="s">
        <v>9</v>
      </c>
      <c r="B89" s="2">
        <v>2</v>
      </c>
    </row>
    <row r="91" spans="1:2">
      <c r="A91" s="2" t="s">
        <v>2933</v>
      </c>
    </row>
    <row r="92" spans="1:2">
      <c r="A92" s="2" t="s">
        <v>0</v>
      </c>
      <c r="B92" s="2" t="s">
        <v>1</v>
      </c>
    </row>
    <row r="93" spans="1:2">
      <c r="A93" t="s">
        <v>199</v>
      </c>
      <c r="B93">
        <v>1</v>
      </c>
    </row>
    <row r="94" spans="1:2">
      <c r="A94" s="2" t="s">
        <v>9</v>
      </c>
      <c r="B94" s="2">
        <v>1</v>
      </c>
    </row>
    <row r="96" spans="1:2">
      <c r="A96" s="2" t="s">
        <v>2939</v>
      </c>
    </row>
    <row r="97" spans="1:2">
      <c r="A97" s="2" t="s">
        <v>0</v>
      </c>
      <c r="B97" s="2" t="s">
        <v>1</v>
      </c>
    </row>
    <row r="98" spans="1:2">
      <c r="A98" t="s">
        <v>146</v>
      </c>
      <c r="B98">
        <v>1</v>
      </c>
    </row>
    <row r="99" spans="1:2">
      <c r="A99" t="s">
        <v>162</v>
      </c>
      <c r="B99">
        <v>1</v>
      </c>
    </row>
    <row r="100" spans="1:2">
      <c r="A100" t="s">
        <v>1738</v>
      </c>
      <c r="B100">
        <v>1</v>
      </c>
    </row>
    <row r="101" spans="1:2">
      <c r="A101" t="s">
        <v>127</v>
      </c>
      <c r="B101">
        <v>1</v>
      </c>
    </row>
    <row r="102" spans="1:2">
      <c r="A102" t="s">
        <v>337</v>
      </c>
      <c r="B102">
        <v>1</v>
      </c>
    </row>
    <row r="103" spans="1:2">
      <c r="A103" s="2" t="s">
        <v>9</v>
      </c>
      <c r="B103" s="2">
        <v>5</v>
      </c>
    </row>
    <row r="105" spans="1:2">
      <c r="A105" s="2" t="s">
        <v>532</v>
      </c>
    </row>
    <row r="106" spans="1:2">
      <c r="A106" s="2" t="s">
        <v>0</v>
      </c>
      <c r="B106" s="2" t="s">
        <v>1</v>
      </c>
    </row>
    <row r="107" spans="1:2">
      <c r="A107" t="s">
        <v>124</v>
      </c>
      <c r="B107">
        <v>1</v>
      </c>
    </row>
    <row r="108" spans="1:2">
      <c r="A108" t="s">
        <v>2958</v>
      </c>
      <c r="B108">
        <v>1</v>
      </c>
    </row>
    <row r="109" spans="1:2">
      <c r="A109" t="s">
        <v>1075</v>
      </c>
      <c r="B109">
        <v>1</v>
      </c>
    </row>
    <row r="110" spans="1:2">
      <c r="A110" s="2" t="s">
        <v>9</v>
      </c>
      <c r="B110" s="2">
        <v>3</v>
      </c>
    </row>
    <row r="112" spans="1:2">
      <c r="A112" s="2" t="s">
        <v>48</v>
      </c>
    </row>
    <row r="113" spans="1:2">
      <c r="A113" s="2" t="s">
        <v>0</v>
      </c>
      <c r="B113" s="2" t="s">
        <v>1</v>
      </c>
    </row>
    <row r="114" spans="1:2">
      <c r="A114" t="s">
        <v>219</v>
      </c>
      <c r="B114">
        <v>1</v>
      </c>
    </row>
    <row r="115" spans="1:2">
      <c r="A115" t="s">
        <v>259</v>
      </c>
      <c r="B115">
        <v>1</v>
      </c>
    </row>
    <row r="116" spans="1:2">
      <c r="A116" s="2" t="s">
        <v>9</v>
      </c>
      <c r="B116" s="2">
        <v>2</v>
      </c>
    </row>
    <row r="118" spans="1:2">
      <c r="A118" s="2" t="s">
        <v>530</v>
      </c>
    </row>
    <row r="119" spans="1:2">
      <c r="A119" s="2" t="s">
        <v>0</v>
      </c>
      <c r="B119" s="2" t="s">
        <v>1</v>
      </c>
    </row>
    <row r="120" spans="1:2">
      <c r="A120" t="s">
        <v>286</v>
      </c>
      <c r="B120">
        <v>1</v>
      </c>
    </row>
    <row r="121" spans="1:2">
      <c r="A121" t="s">
        <v>194</v>
      </c>
      <c r="B121">
        <v>1</v>
      </c>
    </row>
    <row r="122" spans="1:2">
      <c r="A122" s="2" t="s">
        <v>9</v>
      </c>
      <c r="B122" s="2">
        <v>2</v>
      </c>
    </row>
    <row r="124" spans="1:2">
      <c r="A124" s="2" t="s">
        <v>2945</v>
      </c>
    </row>
    <row r="125" spans="1:2">
      <c r="A125" s="2" t="s">
        <v>0</v>
      </c>
      <c r="B125" s="2" t="s">
        <v>1</v>
      </c>
    </row>
    <row r="126" spans="1:2">
      <c r="A126" t="s">
        <v>656</v>
      </c>
      <c r="B126">
        <v>1</v>
      </c>
    </row>
    <row r="127" spans="1:2">
      <c r="A127" t="s">
        <v>1315</v>
      </c>
      <c r="B127">
        <v>1</v>
      </c>
    </row>
    <row r="128" spans="1:2">
      <c r="A128" s="2" t="s">
        <v>9</v>
      </c>
      <c r="B128" s="2">
        <v>2</v>
      </c>
    </row>
    <row r="130" spans="1:2">
      <c r="A130" s="2" t="s">
        <v>2942</v>
      </c>
    </row>
    <row r="131" spans="1:2">
      <c r="A131" s="2" t="s">
        <v>0</v>
      </c>
      <c r="B131" s="2" t="s">
        <v>1</v>
      </c>
    </row>
    <row r="132" spans="1:2">
      <c r="A132" t="s">
        <v>907</v>
      </c>
      <c r="B132">
        <v>1</v>
      </c>
    </row>
    <row r="133" spans="1:2">
      <c r="A133" s="2" t="s">
        <v>9</v>
      </c>
      <c r="B133" s="2">
        <v>1</v>
      </c>
    </row>
    <row r="135" spans="1:2">
      <c r="A135" s="2" t="s">
        <v>53</v>
      </c>
    </row>
    <row r="136" spans="1:2">
      <c r="A136" s="2" t="s">
        <v>0</v>
      </c>
      <c r="B136" s="2" t="s">
        <v>1</v>
      </c>
    </row>
    <row r="137" spans="1:2">
      <c r="A137" t="s">
        <v>36</v>
      </c>
      <c r="B137">
        <v>1</v>
      </c>
    </row>
    <row r="138" spans="1:2">
      <c r="A138" s="2" t="s">
        <v>9</v>
      </c>
      <c r="B138" s="2">
        <v>1</v>
      </c>
    </row>
    <row r="140" spans="1:2">
      <c r="A140" s="2" t="s">
        <v>11</v>
      </c>
    </row>
    <row r="141" spans="1:2">
      <c r="A141" s="2" t="s">
        <v>0</v>
      </c>
      <c r="B141" s="2" t="s">
        <v>1</v>
      </c>
    </row>
    <row r="142" spans="1:2">
      <c r="A142" t="s">
        <v>2957</v>
      </c>
      <c r="B142">
        <v>1</v>
      </c>
    </row>
    <row r="143" spans="1:2">
      <c r="A143" t="s">
        <v>111</v>
      </c>
      <c r="B143">
        <v>3</v>
      </c>
    </row>
    <row r="144" spans="1:2">
      <c r="A144" s="2" t="s">
        <v>9</v>
      </c>
      <c r="B144" s="2">
        <v>4</v>
      </c>
    </row>
    <row r="146" spans="1:2">
      <c r="A146" s="2" t="s">
        <v>537</v>
      </c>
    </row>
    <row r="147" spans="1:2">
      <c r="A147" s="2" t="s">
        <v>0</v>
      </c>
      <c r="B147" s="2" t="s">
        <v>1</v>
      </c>
    </row>
    <row r="148" spans="1:2">
      <c r="A148" t="s">
        <v>2959</v>
      </c>
      <c r="B148">
        <v>1</v>
      </c>
    </row>
    <row r="149" spans="1:2">
      <c r="A149" s="2" t="s">
        <v>9</v>
      </c>
      <c r="B149" s="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I1515"/>
  <sheetViews>
    <sheetView topLeftCell="E1" workbookViewId="0">
      <selection activeCell="I10" sqref="I10"/>
    </sheetView>
  </sheetViews>
  <sheetFormatPr defaultRowHeight="14.45"/>
  <cols>
    <col min="1" max="1" width="71" customWidth="1"/>
    <col min="2" max="2" width="17.5703125" customWidth="1"/>
    <col min="6" max="6" width="23.85546875" bestFit="1" customWidth="1"/>
    <col min="7" max="7" width="15.85546875" bestFit="1" customWidth="1"/>
  </cols>
  <sheetData>
    <row r="1" spans="1:9" ht="26.45" thickBot="1">
      <c r="A1" s="3" t="s">
        <v>0</v>
      </c>
      <c r="B1" s="3" t="s">
        <v>2</v>
      </c>
      <c r="C1" s="3" t="s">
        <v>1</v>
      </c>
    </row>
    <row r="2" spans="1:9" ht="15" thickBot="1">
      <c r="A2" s="3" t="s">
        <v>1207</v>
      </c>
      <c r="B2" s="3" t="s">
        <v>34</v>
      </c>
      <c r="C2" s="4">
        <v>1</v>
      </c>
    </row>
    <row r="3" spans="1:9" ht="15" thickBot="1">
      <c r="A3" s="3" t="s">
        <v>2960</v>
      </c>
      <c r="B3" s="3" t="s">
        <v>125</v>
      </c>
      <c r="C3" s="4">
        <v>1</v>
      </c>
    </row>
    <row r="4" spans="1:9" ht="15" thickBot="1">
      <c r="A4" s="3" t="s">
        <v>965</v>
      </c>
      <c r="B4" s="3" t="s">
        <v>61</v>
      </c>
      <c r="C4" s="4">
        <v>10</v>
      </c>
    </row>
    <row r="5" spans="1:9" ht="15" thickBot="1">
      <c r="A5" s="3" t="s">
        <v>505</v>
      </c>
      <c r="B5" s="3" t="s">
        <v>61</v>
      </c>
      <c r="C5" s="4">
        <v>6</v>
      </c>
      <c r="F5" s="7" t="s">
        <v>7</v>
      </c>
      <c r="G5" t="s">
        <v>8</v>
      </c>
      <c r="H5" t="s">
        <v>1070</v>
      </c>
      <c r="I5" t="s">
        <v>1071</v>
      </c>
    </row>
    <row r="6" spans="1:9" ht="15" thickBot="1">
      <c r="A6" s="3" t="s">
        <v>253</v>
      </c>
      <c r="B6" s="3" t="s">
        <v>32</v>
      </c>
      <c r="C6" s="4">
        <v>13</v>
      </c>
      <c r="F6" s="8" t="s">
        <v>61</v>
      </c>
      <c r="G6">
        <v>278</v>
      </c>
      <c r="H6">
        <v>646</v>
      </c>
      <c r="I6">
        <f>G6/H6</f>
        <v>0.43034055727554177</v>
      </c>
    </row>
    <row r="7" spans="1:9" ht="15" thickBot="1">
      <c r="A7" s="3" t="s">
        <v>566</v>
      </c>
      <c r="B7" s="3" t="s">
        <v>34</v>
      </c>
      <c r="C7" s="4">
        <v>23</v>
      </c>
      <c r="F7" s="8" t="s">
        <v>1803</v>
      </c>
      <c r="G7">
        <v>1</v>
      </c>
      <c r="H7">
        <v>646</v>
      </c>
      <c r="I7">
        <f t="shared" ref="I7:I34" si="0">G7/H7</f>
        <v>1.5479876160990713E-3</v>
      </c>
    </row>
    <row r="8" spans="1:9" ht="15" thickBot="1">
      <c r="A8" s="3" t="s">
        <v>1362</v>
      </c>
      <c r="B8" s="3" t="s">
        <v>1802</v>
      </c>
      <c r="C8" s="4">
        <v>2</v>
      </c>
      <c r="F8" s="8" t="s">
        <v>22</v>
      </c>
      <c r="G8">
        <v>20</v>
      </c>
      <c r="H8">
        <v>646</v>
      </c>
      <c r="I8">
        <f t="shared" si="0"/>
        <v>3.0959752321981424E-2</v>
      </c>
    </row>
    <row r="9" spans="1:9" ht="15" thickBot="1">
      <c r="A9" s="3" t="s">
        <v>1391</v>
      </c>
      <c r="B9" s="3" t="s">
        <v>1802</v>
      </c>
      <c r="C9" s="4">
        <v>2</v>
      </c>
      <c r="F9" s="8" t="s">
        <v>125</v>
      </c>
      <c r="G9">
        <v>243</v>
      </c>
      <c r="H9">
        <v>646</v>
      </c>
      <c r="I9">
        <f t="shared" si="0"/>
        <v>0.37616099071207432</v>
      </c>
    </row>
    <row r="10" spans="1:9" ht="15" thickBot="1">
      <c r="A10" s="3" t="s">
        <v>555</v>
      </c>
      <c r="B10" s="3" t="s">
        <v>24</v>
      </c>
      <c r="C10" s="4">
        <v>15</v>
      </c>
      <c r="F10" s="8" t="s">
        <v>1805</v>
      </c>
      <c r="G10">
        <v>66</v>
      </c>
      <c r="H10">
        <v>646</v>
      </c>
      <c r="I10">
        <f t="shared" si="0"/>
        <v>0.1021671826625387</v>
      </c>
    </row>
    <row r="11" spans="1:9" ht="15" thickBot="1">
      <c r="A11" s="3" t="s">
        <v>177</v>
      </c>
      <c r="B11" s="3" t="s">
        <v>2372</v>
      </c>
      <c r="C11" s="4">
        <v>28</v>
      </c>
      <c r="F11" s="8" t="s">
        <v>1802</v>
      </c>
      <c r="G11">
        <v>391</v>
      </c>
      <c r="H11">
        <v>646</v>
      </c>
      <c r="I11">
        <f t="shared" si="0"/>
        <v>0.60526315789473684</v>
      </c>
    </row>
    <row r="12" spans="1:9" ht="15" thickBot="1">
      <c r="A12" s="3" t="s">
        <v>408</v>
      </c>
      <c r="B12" s="3" t="s">
        <v>61</v>
      </c>
      <c r="C12" s="4">
        <v>14</v>
      </c>
      <c r="F12" s="8" t="s">
        <v>1810</v>
      </c>
      <c r="G12">
        <v>56</v>
      </c>
      <c r="H12">
        <v>646</v>
      </c>
      <c r="I12">
        <f t="shared" si="0"/>
        <v>8.6687306501547989E-2</v>
      </c>
    </row>
    <row r="13" spans="1:9" ht="15" thickBot="1">
      <c r="A13" s="3" t="s">
        <v>1747</v>
      </c>
      <c r="B13" s="3" t="s">
        <v>1802</v>
      </c>
      <c r="C13" s="4">
        <v>2</v>
      </c>
      <c r="F13" s="8" t="s">
        <v>32</v>
      </c>
      <c r="G13">
        <v>75</v>
      </c>
      <c r="H13">
        <v>646</v>
      </c>
      <c r="I13">
        <f t="shared" si="0"/>
        <v>0.11609907120743033</v>
      </c>
    </row>
    <row r="14" spans="1:9" ht="15" thickBot="1">
      <c r="A14" s="3" t="s">
        <v>609</v>
      </c>
      <c r="B14" s="3" t="s">
        <v>19</v>
      </c>
      <c r="C14" s="4">
        <v>13</v>
      </c>
      <c r="F14" s="8" t="s">
        <v>34</v>
      </c>
      <c r="G14">
        <v>252</v>
      </c>
      <c r="H14">
        <v>646</v>
      </c>
      <c r="I14">
        <f t="shared" si="0"/>
        <v>0.39009287925696595</v>
      </c>
    </row>
    <row r="15" spans="1:9" ht="15" thickBot="1">
      <c r="A15" s="3" t="s">
        <v>385</v>
      </c>
      <c r="B15" s="3" t="s">
        <v>34</v>
      </c>
      <c r="C15" s="4">
        <v>18</v>
      </c>
      <c r="F15" s="8" t="s">
        <v>138</v>
      </c>
      <c r="G15">
        <v>36</v>
      </c>
      <c r="H15">
        <v>646</v>
      </c>
      <c r="I15">
        <f t="shared" si="0"/>
        <v>5.5727554179566562E-2</v>
      </c>
    </row>
    <row r="16" spans="1:9" ht="15" thickBot="1">
      <c r="A16" s="3" t="s">
        <v>2961</v>
      </c>
      <c r="B16" s="3" t="s">
        <v>2359</v>
      </c>
      <c r="C16" s="4">
        <v>1</v>
      </c>
      <c r="F16" s="8" t="s">
        <v>12</v>
      </c>
      <c r="G16">
        <v>1418</v>
      </c>
      <c r="H16">
        <v>646</v>
      </c>
      <c r="I16">
        <f t="shared" si="0"/>
        <v>2.195046439628483</v>
      </c>
    </row>
    <row r="17" spans="1:9" ht="15" thickBot="1">
      <c r="A17" s="3" t="s">
        <v>2709</v>
      </c>
      <c r="B17" s="3" t="s">
        <v>1802</v>
      </c>
      <c r="C17" s="4">
        <v>3</v>
      </c>
      <c r="H17">
        <v>646</v>
      </c>
      <c r="I17">
        <f t="shared" si="0"/>
        <v>0</v>
      </c>
    </row>
    <row r="18" spans="1:9" ht="15" thickBot="1">
      <c r="A18" s="3" t="s">
        <v>191</v>
      </c>
      <c r="B18" s="3" t="s">
        <v>125</v>
      </c>
      <c r="C18" s="4">
        <v>4</v>
      </c>
      <c r="H18">
        <v>646</v>
      </c>
      <c r="I18">
        <f t="shared" si="0"/>
        <v>0</v>
      </c>
    </row>
    <row r="19" spans="1:9" ht="15" thickBot="1">
      <c r="A19" s="3" t="s">
        <v>192</v>
      </c>
      <c r="B19" s="3" t="s">
        <v>1802</v>
      </c>
      <c r="C19" s="4">
        <v>9</v>
      </c>
      <c r="H19">
        <v>646</v>
      </c>
      <c r="I19">
        <f t="shared" si="0"/>
        <v>0</v>
      </c>
    </row>
    <row r="20" spans="1:9" ht="15" thickBot="1">
      <c r="A20" s="3" t="s">
        <v>157</v>
      </c>
      <c r="B20" s="3" t="s">
        <v>26</v>
      </c>
      <c r="C20" s="4">
        <v>10</v>
      </c>
      <c r="H20">
        <v>646</v>
      </c>
      <c r="I20">
        <f t="shared" si="0"/>
        <v>0</v>
      </c>
    </row>
    <row r="21" spans="1:9" ht="15" thickBot="1">
      <c r="A21" s="3" t="s">
        <v>200</v>
      </c>
      <c r="B21" s="3" t="s">
        <v>125</v>
      </c>
      <c r="C21" s="4">
        <v>30</v>
      </c>
      <c r="H21">
        <v>646</v>
      </c>
      <c r="I21">
        <f t="shared" si="0"/>
        <v>0</v>
      </c>
    </row>
    <row r="22" spans="1:9" ht="15" thickBot="1">
      <c r="A22" s="3" t="s">
        <v>313</v>
      </c>
      <c r="B22" s="3" t="s">
        <v>115</v>
      </c>
      <c r="C22" s="4">
        <v>3</v>
      </c>
      <c r="H22">
        <v>646</v>
      </c>
      <c r="I22">
        <f t="shared" si="0"/>
        <v>0</v>
      </c>
    </row>
    <row r="23" spans="1:9" ht="15" thickBot="1">
      <c r="A23" s="3" t="s">
        <v>651</v>
      </c>
      <c r="B23" s="3" t="s">
        <v>1802</v>
      </c>
      <c r="C23" s="4">
        <v>3</v>
      </c>
      <c r="H23">
        <v>646</v>
      </c>
      <c r="I23">
        <f t="shared" si="0"/>
        <v>0</v>
      </c>
    </row>
    <row r="24" spans="1:9" ht="15" thickBot="1">
      <c r="A24" s="3" t="s">
        <v>174</v>
      </c>
      <c r="B24" s="3" t="s">
        <v>2359</v>
      </c>
      <c r="C24" s="4">
        <v>1</v>
      </c>
      <c r="H24">
        <v>646</v>
      </c>
      <c r="I24">
        <f t="shared" si="0"/>
        <v>0</v>
      </c>
    </row>
    <row r="25" spans="1:9" ht="15" thickBot="1">
      <c r="A25" s="3" t="s">
        <v>25</v>
      </c>
      <c r="B25" s="3" t="s">
        <v>26</v>
      </c>
      <c r="C25" s="4">
        <v>33</v>
      </c>
      <c r="H25">
        <v>646</v>
      </c>
      <c r="I25">
        <f t="shared" si="0"/>
        <v>0</v>
      </c>
    </row>
    <row r="26" spans="1:9" ht="15" thickBot="1">
      <c r="A26" s="3" t="s">
        <v>2962</v>
      </c>
      <c r="B26" s="3" t="s">
        <v>2359</v>
      </c>
      <c r="C26" s="4">
        <v>1</v>
      </c>
      <c r="H26">
        <v>646</v>
      </c>
      <c r="I26">
        <f t="shared" si="0"/>
        <v>0</v>
      </c>
    </row>
    <row r="27" spans="1:9" ht="15" thickBot="1">
      <c r="A27" s="3" t="s">
        <v>2963</v>
      </c>
      <c r="B27" s="3" t="s">
        <v>26</v>
      </c>
      <c r="C27" s="4">
        <v>1</v>
      </c>
      <c r="H27">
        <v>646</v>
      </c>
      <c r="I27">
        <f t="shared" si="0"/>
        <v>0</v>
      </c>
    </row>
    <row r="28" spans="1:9" ht="15" thickBot="1">
      <c r="A28" s="3" t="s">
        <v>27</v>
      </c>
      <c r="B28" s="3" t="s">
        <v>19</v>
      </c>
      <c r="C28" s="4">
        <v>4</v>
      </c>
      <c r="H28">
        <v>646</v>
      </c>
      <c r="I28">
        <f t="shared" si="0"/>
        <v>0</v>
      </c>
    </row>
    <row r="29" spans="1:9" ht="15" thickBot="1">
      <c r="A29" s="3" t="s">
        <v>132</v>
      </c>
      <c r="B29" s="3" t="s">
        <v>1802</v>
      </c>
      <c r="C29" s="4">
        <v>30</v>
      </c>
      <c r="H29">
        <v>646</v>
      </c>
      <c r="I29">
        <f t="shared" si="0"/>
        <v>0</v>
      </c>
    </row>
    <row r="30" spans="1:9" ht="15" thickBot="1">
      <c r="A30" s="3" t="s">
        <v>163</v>
      </c>
      <c r="B30" s="3" t="s">
        <v>61</v>
      </c>
      <c r="C30" s="4">
        <v>20</v>
      </c>
      <c r="H30">
        <v>646</v>
      </c>
      <c r="I30">
        <f t="shared" si="0"/>
        <v>0</v>
      </c>
    </row>
    <row r="31" spans="1:9" ht="15" thickBot="1">
      <c r="A31" s="3" t="s">
        <v>215</v>
      </c>
      <c r="B31" s="3" t="s">
        <v>115</v>
      </c>
      <c r="C31" s="4">
        <v>2</v>
      </c>
      <c r="H31">
        <v>646</v>
      </c>
      <c r="I31">
        <f t="shared" si="0"/>
        <v>0</v>
      </c>
    </row>
    <row r="32" spans="1:9" ht="15" thickBot="1">
      <c r="A32" s="3" t="s">
        <v>103</v>
      </c>
      <c r="B32" s="3" t="s">
        <v>125</v>
      </c>
      <c r="C32" s="4">
        <v>37</v>
      </c>
      <c r="H32">
        <v>646</v>
      </c>
      <c r="I32">
        <f t="shared" si="0"/>
        <v>0</v>
      </c>
    </row>
    <row r="33" spans="1:9" ht="15" thickBot="1">
      <c r="A33" s="3" t="s">
        <v>455</v>
      </c>
      <c r="B33" s="3" t="s">
        <v>26</v>
      </c>
      <c r="C33" s="4">
        <v>27</v>
      </c>
      <c r="H33">
        <v>646</v>
      </c>
      <c r="I33">
        <f t="shared" si="0"/>
        <v>0</v>
      </c>
    </row>
    <row r="34" spans="1:9" ht="15" thickBot="1">
      <c r="A34" s="3" t="s">
        <v>124</v>
      </c>
      <c r="B34" s="3" t="s">
        <v>125</v>
      </c>
      <c r="C34" s="4">
        <v>42</v>
      </c>
      <c r="H34">
        <v>646</v>
      </c>
      <c r="I34">
        <f t="shared" si="0"/>
        <v>0</v>
      </c>
    </row>
    <row r="35" spans="1:9" ht="15" thickBot="1">
      <c r="A35" s="3" t="s">
        <v>170</v>
      </c>
      <c r="B35" s="3" t="s">
        <v>26</v>
      </c>
      <c r="C35" s="4">
        <v>6</v>
      </c>
    </row>
    <row r="36" spans="1:9" ht="15" thickBot="1">
      <c r="A36" s="3" t="s">
        <v>165</v>
      </c>
      <c r="B36" s="3" t="s">
        <v>61</v>
      </c>
      <c r="C36" s="4">
        <v>5</v>
      </c>
    </row>
    <row r="37" spans="1:9" ht="15" thickBot="1">
      <c r="A37" s="3" t="s">
        <v>71</v>
      </c>
      <c r="B37" s="3" t="s">
        <v>34</v>
      </c>
      <c r="C37" s="4">
        <v>46</v>
      </c>
      <c r="F37" t="s">
        <v>2964</v>
      </c>
      <c r="G37">
        <v>279</v>
      </c>
      <c r="H37">
        <v>646</v>
      </c>
      <c r="I37">
        <f>279/646</f>
        <v>0.43188854489164086</v>
      </c>
    </row>
    <row r="38" spans="1:9" ht="15" thickBot="1">
      <c r="A38" s="3" t="s">
        <v>330</v>
      </c>
      <c r="B38" s="3" t="s">
        <v>61</v>
      </c>
      <c r="C38" s="4">
        <v>7</v>
      </c>
      <c r="F38" t="s">
        <v>2965</v>
      </c>
      <c r="G38">
        <f>75+36</f>
        <v>111</v>
      </c>
      <c r="H38">
        <v>646</v>
      </c>
      <c r="I38">
        <f>111/646</f>
        <v>0.17182662538699692</v>
      </c>
    </row>
    <row r="39" spans="1:9" ht="15" thickBot="1">
      <c r="A39" s="3" t="s">
        <v>438</v>
      </c>
      <c r="B39" s="3" t="s">
        <v>19</v>
      </c>
      <c r="C39" s="4">
        <v>1</v>
      </c>
      <c r="F39" t="s">
        <v>129</v>
      </c>
      <c r="G39">
        <f>391+56</f>
        <v>447</v>
      </c>
      <c r="H39">
        <v>646</v>
      </c>
      <c r="I39">
        <f>447/646</f>
        <v>0.69195046439628483</v>
      </c>
    </row>
    <row r="40" spans="1:9" ht="15" thickBot="1">
      <c r="A40" s="3" t="s">
        <v>433</v>
      </c>
      <c r="B40" s="3" t="s">
        <v>26</v>
      </c>
      <c r="C40" s="4">
        <v>2</v>
      </c>
    </row>
    <row r="41" spans="1:9" ht="15" thickBot="1">
      <c r="A41" s="3" t="s">
        <v>692</v>
      </c>
      <c r="B41" s="3" t="s">
        <v>61</v>
      </c>
      <c r="C41" s="4">
        <v>4</v>
      </c>
    </row>
    <row r="42" spans="1:9" ht="15" thickBot="1">
      <c r="A42" s="3" t="s">
        <v>219</v>
      </c>
      <c r="B42" s="3" t="s">
        <v>19</v>
      </c>
      <c r="C42" s="4">
        <v>21</v>
      </c>
    </row>
    <row r="43" spans="1:9" ht="15" thickBot="1">
      <c r="A43" s="3" t="s">
        <v>1273</v>
      </c>
      <c r="B43" s="3" t="s">
        <v>2372</v>
      </c>
      <c r="C43" s="4">
        <v>5</v>
      </c>
    </row>
    <row r="44" spans="1:9" ht="15" thickBot="1">
      <c r="A44" s="3" t="s">
        <v>1948</v>
      </c>
      <c r="B44" s="3" t="s">
        <v>2372</v>
      </c>
      <c r="C44" s="4">
        <v>7</v>
      </c>
    </row>
    <row r="45" spans="1:9" ht="15" thickBot="1">
      <c r="A45" s="3" t="s">
        <v>203</v>
      </c>
      <c r="B45" s="3" t="s">
        <v>1802</v>
      </c>
      <c r="C45" s="4">
        <v>9</v>
      </c>
    </row>
    <row r="46" spans="1:9" ht="15" thickBot="1">
      <c r="A46" s="3" t="s">
        <v>1277</v>
      </c>
      <c r="B46" s="3" t="s">
        <v>26</v>
      </c>
      <c r="C46" s="4">
        <v>8</v>
      </c>
    </row>
    <row r="47" spans="1:9" ht="15" thickBot="1">
      <c r="A47" s="3" t="s">
        <v>331</v>
      </c>
      <c r="B47" s="3" t="s">
        <v>61</v>
      </c>
      <c r="C47" s="4">
        <v>15</v>
      </c>
    </row>
    <row r="48" spans="1:9" ht="15" thickBot="1">
      <c r="A48" s="3" t="s">
        <v>237</v>
      </c>
      <c r="B48" s="3" t="s">
        <v>26</v>
      </c>
      <c r="C48" s="4">
        <v>6</v>
      </c>
    </row>
    <row r="49" spans="1:3" ht="15" thickBot="1">
      <c r="A49" s="3" t="s">
        <v>983</v>
      </c>
      <c r="B49" s="3" t="s">
        <v>26</v>
      </c>
      <c r="C49" s="4">
        <v>7</v>
      </c>
    </row>
    <row r="50" spans="1:3" ht="15" thickBot="1">
      <c r="A50" s="3" t="s">
        <v>969</v>
      </c>
      <c r="B50" s="3" t="s">
        <v>34</v>
      </c>
      <c r="C50" s="4">
        <v>9</v>
      </c>
    </row>
    <row r="51" spans="1:3" ht="15" thickBot="1">
      <c r="A51" s="3" t="s">
        <v>830</v>
      </c>
      <c r="B51" s="3" t="s">
        <v>26</v>
      </c>
      <c r="C51" s="4">
        <v>9</v>
      </c>
    </row>
    <row r="52" spans="1:3" ht="15" thickBot="1">
      <c r="A52" s="3" t="s">
        <v>102</v>
      </c>
      <c r="B52" s="3" t="s">
        <v>125</v>
      </c>
      <c r="C52" s="4">
        <v>16</v>
      </c>
    </row>
    <row r="53" spans="1:3" ht="15" thickBot="1">
      <c r="A53" s="3" t="s">
        <v>328</v>
      </c>
      <c r="B53" s="3" t="s">
        <v>19</v>
      </c>
      <c r="C53" s="4">
        <v>39</v>
      </c>
    </row>
    <row r="54" spans="1:3" ht="15" thickBot="1">
      <c r="A54" s="3" t="s">
        <v>336</v>
      </c>
      <c r="B54" s="3" t="s">
        <v>2372</v>
      </c>
      <c r="C54" s="4">
        <v>17</v>
      </c>
    </row>
    <row r="55" spans="1:3" ht="15" thickBot="1">
      <c r="A55" s="3" t="s">
        <v>1042</v>
      </c>
      <c r="B55" s="3" t="s">
        <v>34</v>
      </c>
      <c r="C55" s="4">
        <v>2</v>
      </c>
    </row>
    <row r="56" spans="1:3" ht="15" thickBot="1">
      <c r="A56" s="3" t="s">
        <v>233</v>
      </c>
      <c r="B56" s="3" t="s">
        <v>19</v>
      </c>
      <c r="C56" s="4">
        <v>71</v>
      </c>
    </row>
    <row r="57" spans="1:3" ht="15" thickBot="1">
      <c r="A57" s="3" t="s">
        <v>148</v>
      </c>
      <c r="B57" s="3" t="s">
        <v>24</v>
      </c>
      <c r="C57" s="4">
        <v>16</v>
      </c>
    </row>
    <row r="58" spans="1:3" ht="15" thickBot="1">
      <c r="A58" s="3" t="s">
        <v>83</v>
      </c>
      <c r="B58" s="3" t="s">
        <v>61</v>
      </c>
      <c r="C58" s="4">
        <v>16</v>
      </c>
    </row>
    <row r="59" spans="1:3" ht="15" thickBot="1">
      <c r="A59" s="3" t="s">
        <v>57</v>
      </c>
      <c r="B59" s="3" t="s">
        <v>2748</v>
      </c>
      <c r="C59" s="4">
        <v>2</v>
      </c>
    </row>
    <row r="60" spans="1:3" ht="15" thickBot="1">
      <c r="A60" s="3" t="s">
        <v>58</v>
      </c>
      <c r="B60" s="3" t="s">
        <v>2372</v>
      </c>
      <c r="C60" s="4">
        <v>1</v>
      </c>
    </row>
    <row r="61" spans="1:3" ht="15" thickBot="1">
      <c r="A61" s="3" t="s">
        <v>570</v>
      </c>
      <c r="B61" s="3" t="s">
        <v>19</v>
      </c>
      <c r="C61" s="4">
        <v>48</v>
      </c>
    </row>
    <row r="62" spans="1:3" ht="15" thickBot="1">
      <c r="A62" s="3" t="s">
        <v>1416</v>
      </c>
      <c r="B62" s="3" t="s">
        <v>2400</v>
      </c>
      <c r="C62" s="4">
        <v>4</v>
      </c>
    </row>
    <row r="63" spans="1:3" ht="15" thickBot="1">
      <c r="A63" s="3" t="s">
        <v>214</v>
      </c>
      <c r="B63" s="3" t="s">
        <v>2420</v>
      </c>
      <c r="C63" s="4">
        <v>1</v>
      </c>
    </row>
    <row r="64" spans="1:3" ht="15" thickBot="1">
      <c r="A64" s="3" t="s">
        <v>186</v>
      </c>
      <c r="B64" s="3" t="s">
        <v>34</v>
      </c>
      <c r="C64" s="4">
        <v>1</v>
      </c>
    </row>
    <row r="65" spans="1:3" ht="15" thickBot="1">
      <c r="A65" s="3" t="s">
        <v>189</v>
      </c>
      <c r="B65" s="3" t="s">
        <v>138</v>
      </c>
      <c r="C65" s="4">
        <v>2</v>
      </c>
    </row>
    <row r="66" spans="1:3" ht="15" thickBot="1">
      <c r="A66" s="3" t="s">
        <v>167</v>
      </c>
      <c r="B66" s="3" t="s">
        <v>1802</v>
      </c>
      <c r="C66" s="4">
        <v>46</v>
      </c>
    </row>
    <row r="67" spans="1:3" ht="15" thickBot="1">
      <c r="A67" s="3" t="s">
        <v>135</v>
      </c>
      <c r="B67" s="3" t="s">
        <v>2359</v>
      </c>
      <c r="C67" s="4">
        <v>5</v>
      </c>
    </row>
    <row r="68" spans="1:3" ht="15" thickBot="1">
      <c r="A68" s="3" t="s">
        <v>2385</v>
      </c>
      <c r="B68" s="3" t="s">
        <v>319</v>
      </c>
      <c r="C68" s="4">
        <v>1</v>
      </c>
    </row>
    <row r="69" spans="1:3" ht="15" thickBot="1">
      <c r="A69" s="3" t="s">
        <v>492</v>
      </c>
      <c r="B69" s="3" t="s">
        <v>26</v>
      </c>
      <c r="C69" s="4">
        <v>1</v>
      </c>
    </row>
    <row r="70" spans="1:3" ht="15" thickBot="1">
      <c r="A70" s="3" t="s">
        <v>194</v>
      </c>
      <c r="B70" s="3" t="s">
        <v>118</v>
      </c>
      <c r="C70" s="4">
        <v>3</v>
      </c>
    </row>
    <row r="71" spans="1:3" ht="15" thickBot="1">
      <c r="A71" s="3" t="s">
        <v>154</v>
      </c>
      <c r="B71" s="3" t="s">
        <v>24</v>
      </c>
      <c r="C71" s="4">
        <v>23</v>
      </c>
    </row>
    <row r="72" spans="1:3" ht="15" thickBot="1">
      <c r="A72" s="3" t="s">
        <v>68</v>
      </c>
      <c r="B72" s="3" t="s">
        <v>26</v>
      </c>
      <c r="C72" s="4">
        <v>9</v>
      </c>
    </row>
    <row r="73" spans="1:3" ht="15" thickBot="1">
      <c r="A73" s="3" t="s">
        <v>133</v>
      </c>
      <c r="B73" s="3" t="s">
        <v>1802</v>
      </c>
      <c r="C73" s="4">
        <v>48</v>
      </c>
    </row>
    <row r="74" spans="1:3" ht="15" thickBot="1">
      <c r="A74" s="3" t="s">
        <v>228</v>
      </c>
      <c r="B74" s="3" t="s">
        <v>118</v>
      </c>
      <c r="C74" s="4">
        <v>2</v>
      </c>
    </row>
    <row r="75" spans="1:3" ht="15" thickBot="1">
      <c r="A75" s="3" t="s">
        <v>2966</v>
      </c>
      <c r="B75" s="6" t="s">
        <v>2771</v>
      </c>
      <c r="C75" s="4">
        <v>5</v>
      </c>
    </row>
    <row r="76" spans="1:3" ht="15" thickBot="1">
      <c r="A76" s="3" t="s">
        <v>1576</v>
      </c>
      <c r="B76" s="3" t="s">
        <v>26</v>
      </c>
      <c r="C76" s="4">
        <v>6</v>
      </c>
    </row>
    <row r="77" spans="1:3" ht="15" thickBot="1">
      <c r="A77" s="3" t="s">
        <v>454</v>
      </c>
      <c r="B77" s="3" t="s">
        <v>26</v>
      </c>
      <c r="C77" s="4">
        <v>8</v>
      </c>
    </row>
    <row r="78" spans="1:3" ht="15" thickBot="1">
      <c r="A78" s="3" t="s">
        <v>1846</v>
      </c>
      <c r="B78" s="3" t="s">
        <v>26</v>
      </c>
      <c r="C78" s="4">
        <v>7</v>
      </c>
    </row>
    <row r="79" spans="1:3" ht="15" thickBot="1">
      <c r="A79" s="3" t="s">
        <v>931</v>
      </c>
      <c r="B79" s="3" t="s">
        <v>32</v>
      </c>
      <c r="C79" s="4">
        <v>12</v>
      </c>
    </row>
    <row r="80" spans="1:3" ht="15" thickBot="1">
      <c r="A80" s="3" t="s">
        <v>628</v>
      </c>
      <c r="B80" s="3" t="s">
        <v>32</v>
      </c>
      <c r="C80" s="4">
        <v>9</v>
      </c>
    </row>
    <row r="81" spans="1:3" ht="15" thickBot="1">
      <c r="A81" s="3" t="s">
        <v>146</v>
      </c>
      <c r="B81" s="3" t="s">
        <v>2359</v>
      </c>
      <c r="C81" s="4">
        <v>10</v>
      </c>
    </row>
    <row r="82" spans="1:3" ht="15" thickBot="1">
      <c r="A82" s="3" t="s">
        <v>354</v>
      </c>
      <c r="B82" s="3" t="s">
        <v>26</v>
      </c>
      <c r="C82" s="4">
        <v>3</v>
      </c>
    </row>
    <row r="83" spans="1:3" ht="15" thickBot="1">
      <c r="A83" s="3" t="s">
        <v>127</v>
      </c>
      <c r="B83" s="3" t="s">
        <v>2359</v>
      </c>
      <c r="C83" s="4">
        <v>21</v>
      </c>
    </row>
    <row r="84" spans="1:3" ht="15" thickBot="1">
      <c r="A84" s="3" t="s">
        <v>1926</v>
      </c>
      <c r="B84" s="3" t="s">
        <v>2359</v>
      </c>
      <c r="C84" s="4">
        <v>3</v>
      </c>
    </row>
    <row r="85" spans="1:3" ht="15" thickBot="1">
      <c r="A85" s="3" t="s">
        <v>474</v>
      </c>
      <c r="B85" s="3" t="s">
        <v>26</v>
      </c>
      <c r="C85" s="4">
        <v>4</v>
      </c>
    </row>
    <row r="86" spans="1:3" ht="15" thickBot="1">
      <c r="A86" s="3" t="s">
        <v>1417</v>
      </c>
      <c r="B86" s="3" t="s">
        <v>2359</v>
      </c>
      <c r="C86" s="4">
        <v>5</v>
      </c>
    </row>
    <row r="87" spans="1:3" ht="15" thickBot="1">
      <c r="A87" s="3" t="s">
        <v>405</v>
      </c>
      <c r="B87" s="3" t="s">
        <v>319</v>
      </c>
      <c r="C87" s="4">
        <v>11</v>
      </c>
    </row>
    <row r="88" spans="1:3" ht="15" thickBot="1">
      <c r="A88" s="3" t="s">
        <v>2337</v>
      </c>
      <c r="B88" s="3" t="s">
        <v>1802</v>
      </c>
      <c r="C88" s="4">
        <v>2</v>
      </c>
    </row>
    <row r="89" spans="1:3" ht="15" thickBot="1">
      <c r="A89" s="3" t="s">
        <v>90</v>
      </c>
      <c r="B89" s="3" t="s">
        <v>61</v>
      </c>
      <c r="C89" s="4">
        <v>22</v>
      </c>
    </row>
    <row r="90" spans="1:3" ht="15" thickBot="1">
      <c r="A90" s="3" t="s">
        <v>342</v>
      </c>
      <c r="B90" s="3" t="s">
        <v>19</v>
      </c>
      <c r="C90" s="4">
        <v>35</v>
      </c>
    </row>
    <row r="91" spans="1:3" ht="15" thickBot="1">
      <c r="A91" s="3" t="s">
        <v>92</v>
      </c>
      <c r="B91" s="3" t="s">
        <v>1802</v>
      </c>
      <c r="C91" s="4">
        <v>13</v>
      </c>
    </row>
    <row r="92" spans="1:3" ht="15" thickBot="1">
      <c r="A92" s="3" t="s">
        <v>1991</v>
      </c>
      <c r="B92" s="3" t="s">
        <v>24</v>
      </c>
      <c r="C92" s="4">
        <v>3</v>
      </c>
    </row>
    <row r="93" spans="1:3" ht="15" thickBot="1">
      <c r="A93" s="3" t="s">
        <v>576</v>
      </c>
      <c r="B93" s="3" t="s">
        <v>34</v>
      </c>
      <c r="C93" s="4">
        <v>3</v>
      </c>
    </row>
    <row r="94" spans="1:3" ht="15" thickBot="1">
      <c r="A94" s="3" t="s">
        <v>798</v>
      </c>
      <c r="B94" s="3" t="s">
        <v>115</v>
      </c>
      <c r="C94" s="4">
        <v>2</v>
      </c>
    </row>
    <row r="95" spans="1:3" ht="15" thickBot="1">
      <c r="A95" s="3" t="s">
        <v>302</v>
      </c>
      <c r="B95" s="3" t="s">
        <v>34</v>
      </c>
      <c r="C95" s="4">
        <v>23</v>
      </c>
    </row>
    <row r="96" spans="1:3" ht="15" thickBot="1">
      <c r="A96" s="3" t="s">
        <v>121</v>
      </c>
      <c r="B96" s="3" t="s">
        <v>34</v>
      </c>
      <c r="C96" s="4">
        <v>5</v>
      </c>
    </row>
    <row r="97" spans="1:3" ht="15" thickBot="1">
      <c r="A97" s="3" t="s">
        <v>169</v>
      </c>
      <c r="B97" s="3" t="s">
        <v>1802</v>
      </c>
      <c r="C97" s="4">
        <v>4</v>
      </c>
    </row>
    <row r="98" spans="1:3" ht="15" thickBot="1">
      <c r="A98" s="3" t="s">
        <v>817</v>
      </c>
      <c r="B98" s="3" t="s">
        <v>2372</v>
      </c>
      <c r="C98" s="4">
        <v>1</v>
      </c>
    </row>
    <row r="99" spans="1:3" ht="15" thickBot="1">
      <c r="A99" s="3" t="s">
        <v>176</v>
      </c>
      <c r="B99" s="3" t="s">
        <v>34</v>
      </c>
      <c r="C99" s="4">
        <v>13</v>
      </c>
    </row>
    <row r="100" spans="1:3" ht="15" thickBot="1">
      <c r="A100" s="3" t="s">
        <v>201</v>
      </c>
      <c r="B100" s="3" t="s">
        <v>1802</v>
      </c>
      <c r="C100" s="4">
        <v>18</v>
      </c>
    </row>
    <row r="101" spans="1:3" ht="15" thickBot="1">
      <c r="A101" s="3" t="s">
        <v>294</v>
      </c>
      <c r="B101" s="3" t="s">
        <v>2372</v>
      </c>
      <c r="C101" s="4">
        <v>19</v>
      </c>
    </row>
    <row r="102" spans="1:3" ht="15" thickBot="1">
      <c r="A102" s="3" t="s">
        <v>1363</v>
      </c>
      <c r="B102" s="3" t="s">
        <v>61</v>
      </c>
      <c r="C102" s="4">
        <v>2</v>
      </c>
    </row>
    <row r="103" spans="1:3" ht="15" thickBot="1">
      <c r="A103" s="3" t="s">
        <v>178</v>
      </c>
      <c r="B103" s="3" t="s">
        <v>1810</v>
      </c>
      <c r="C103" s="4">
        <v>6</v>
      </c>
    </row>
    <row r="104" spans="1:3" ht="15" thickBot="1">
      <c r="A104" s="3" t="s">
        <v>2876</v>
      </c>
      <c r="B104" s="3" t="s">
        <v>4</v>
      </c>
      <c r="C104" s="4">
        <v>2</v>
      </c>
    </row>
    <row r="105" spans="1:3" ht="15" thickBot="1">
      <c r="A105" s="3" t="s">
        <v>594</v>
      </c>
      <c r="B105" s="3" t="s">
        <v>19</v>
      </c>
      <c r="C105" s="4">
        <v>11</v>
      </c>
    </row>
    <row r="106" spans="1:3" ht="15" thickBot="1">
      <c r="A106" s="3" t="s">
        <v>179</v>
      </c>
      <c r="B106" s="3" t="s">
        <v>1802</v>
      </c>
      <c r="C106" s="4">
        <v>8</v>
      </c>
    </row>
    <row r="107" spans="1:3" ht="15" thickBot="1">
      <c r="A107" s="3" t="s">
        <v>470</v>
      </c>
      <c r="B107" s="3" t="s">
        <v>1810</v>
      </c>
      <c r="C107" s="4">
        <v>2</v>
      </c>
    </row>
    <row r="108" spans="1:3" ht="15" thickBot="1">
      <c r="A108" s="3" t="s">
        <v>371</v>
      </c>
      <c r="B108" s="3" t="s">
        <v>34</v>
      </c>
      <c r="C108" s="4">
        <v>17</v>
      </c>
    </row>
    <row r="109" spans="1:3" ht="15" thickBot="1">
      <c r="A109" s="3" t="s">
        <v>498</v>
      </c>
      <c r="B109" s="3" t="s">
        <v>2420</v>
      </c>
      <c r="C109" s="4">
        <v>8</v>
      </c>
    </row>
    <row r="110" spans="1:3" ht="15" thickBot="1">
      <c r="A110" s="3" t="s">
        <v>2967</v>
      </c>
      <c r="B110" s="3" t="s">
        <v>1802</v>
      </c>
      <c r="C110" s="4">
        <v>2</v>
      </c>
    </row>
    <row r="111" spans="1:3" ht="15" thickBot="1">
      <c r="A111" s="3" t="s">
        <v>482</v>
      </c>
      <c r="B111" s="3" t="s">
        <v>118</v>
      </c>
      <c r="C111" s="4">
        <v>2</v>
      </c>
    </row>
    <row r="112" spans="1:3" ht="15" thickBot="1">
      <c r="A112" s="3" t="s">
        <v>2968</v>
      </c>
      <c r="B112" s="3" t="s">
        <v>2359</v>
      </c>
      <c r="C112" s="4">
        <v>2</v>
      </c>
    </row>
    <row r="113" spans="1:3" ht="15" thickBot="1">
      <c r="A113" s="3" t="s">
        <v>2506</v>
      </c>
      <c r="B113" s="3" t="s">
        <v>26</v>
      </c>
      <c r="C113" s="4">
        <v>2</v>
      </c>
    </row>
    <row r="114" spans="1:3" ht="15" thickBot="1">
      <c r="A114" s="3" t="s">
        <v>888</v>
      </c>
      <c r="B114" s="3" t="s">
        <v>2359</v>
      </c>
      <c r="C114" s="4">
        <v>9</v>
      </c>
    </row>
    <row r="115" spans="1:3" ht="15" thickBot="1">
      <c r="A115" s="3" t="s">
        <v>456</v>
      </c>
      <c r="B115" s="3" t="s">
        <v>2359</v>
      </c>
      <c r="C115" s="4">
        <v>4</v>
      </c>
    </row>
    <row r="116" spans="1:3" ht="15" thickBot="1">
      <c r="A116" s="3" t="s">
        <v>442</v>
      </c>
      <c r="B116" s="3" t="s">
        <v>34</v>
      </c>
      <c r="C116" s="4">
        <v>2</v>
      </c>
    </row>
    <row r="117" spans="1:3" ht="15" thickBot="1">
      <c r="A117" s="3" t="s">
        <v>460</v>
      </c>
      <c r="B117" s="3" t="s">
        <v>2420</v>
      </c>
      <c r="C117" s="4">
        <v>3</v>
      </c>
    </row>
    <row r="118" spans="1:3" ht="15" thickBot="1">
      <c r="A118" s="3" t="s">
        <v>1333</v>
      </c>
      <c r="B118" s="3" t="s">
        <v>19</v>
      </c>
      <c r="C118" s="4">
        <v>3</v>
      </c>
    </row>
    <row r="119" spans="1:3" ht="15" thickBot="1">
      <c r="A119" s="3" t="s">
        <v>1865</v>
      </c>
      <c r="B119" s="3" t="s">
        <v>1802</v>
      </c>
      <c r="C119" s="4">
        <v>2</v>
      </c>
    </row>
    <row r="120" spans="1:3" ht="15" thickBot="1">
      <c r="A120" s="3" t="s">
        <v>218</v>
      </c>
      <c r="B120" s="3" t="s">
        <v>19</v>
      </c>
      <c r="C120" s="4">
        <v>5</v>
      </c>
    </row>
    <row r="121" spans="1:3" ht="15" thickBot="1">
      <c r="A121" s="3" t="s">
        <v>112</v>
      </c>
      <c r="B121" s="3" t="s">
        <v>2420</v>
      </c>
      <c r="C121" s="4">
        <v>4</v>
      </c>
    </row>
    <row r="122" spans="1:3" ht="15" thickBot="1">
      <c r="A122" s="3" t="s">
        <v>463</v>
      </c>
      <c r="B122" s="3" t="s">
        <v>61</v>
      </c>
      <c r="C122" s="4">
        <v>2</v>
      </c>
    </row>
    <row r="123" spans="1:3" ht="15" thickBot="1">
      <c r="A123" s="3" t="s">
        <v>2281</v>
      </c>
      <c r="B123" s="3" t="s">
        <v>2359</v>
      </c>
      <c r="C123" s="4">
        <v>2</v>
      </c>
    </row>
    <row r="124" spans="1:3" ht="15" thickBot="1">
      <c r="A124" s="3" t="s">
        <v>122</v>
      </c>
      <c r="B124" s="3" t="s">
        <v>2420</v>
      </c>
      <c r="C124" s="4">
        <v>5</v>
      </c>
    </row>
    <row r="125" spans="1:3" ht="15" thickBot="1">
      <c r="A125" s="3" t="s">
        <v>184</v>
      </c>
      <c r="B125" s="3" t="s">
        <v>2420</v>
      </c>
      <c r="C125" s="4">
        <v>5</v>
      </c>
    </row>
    <row r="126" spans="1:3" ht="15" thickBot="1">
      <c r="A126" s="3" t="s">
        <v>86</v>
      </c>
      <c r="B126" s="3" t="s">
        <v>26</v>
      </c>
      <c r="C126" s="4">
        <v>19</v>
      </c>
    </row>
    <row r="127" spans="1:3" ht="15" thickBot="1">
      <c r="A127" s="3" t="s">
        <v>241</v>
      </c>
      <c r="B127" s="3" t="s">
        <v>2400</v>
      </c>
      <c r="C127" s="4">
        <v>3</v>
      </c>
    </row>
    <row r="128" spans="1:3" ht="15" thickBot="1">
      <c r="A128" s="3" t="s">
        <v>370</v>
      </c>
      <c r="B128" s="3" t="s">
        <v>61</v>
      </c>
      <c r="C128" s="4">
        <v>9</v>
      </c>
    </row>
    <row r="129" spans="1:3" ht="15" thickBot="1">
      <c r="A129" s="3" t="s">
        <v>2969</v>
      </c>
      <c r="B129" s="3" t="s">
        <v>138</v>
      </c>
      <c r="C129" s="4">
        <v>2</v>
      </c>
    </row>
    <row r="130" spans="1:3" ht="15" thickBot="1">
      <c r="A130" s="3" t="s">
        <v>678</v>
      </c>
      <c r="B130" s="3" t="s">
        <v>2372</v>
      </c>
      <c r="C130" s="4">
        <v>6</v>
      </c>
    </row>
    <row r="131" spans="1:3" ht="15" thickBot="1">
      <c r="A131" s="3" t="s">
        <v>643</v>
      </c>
      <c r="B131" s="3" t="s">
        <v>2420</v>
      </c>
      <c r="C131" s="4">
        <v>5</v>
      </c>
    </row>
    <row r="132" spans="1:3" ht="15" thickBot="1">
      <c r="A132" s="3" t="s">
        <v>136</v>
      </c>
      <c r="B132" s="3" t="s">
        <v>1810</v>
      </c>
      <c r="C132" s="4">
        <v>2</v>
      </c>
    </row>
    <row r="133" spans="1:3" ht="15" thickBot="1">
      <c r="A133" s="3" t="s">
        <v>1076</v>
      </c>
      <c r="B133" s="3" t="s">
        <v>26</v>
      </c>
      <c r="C133" s="4">
        <v>2</v>
      </c>
    </row>
    <row r="134" spans="1:3" ht="15" thickBot="1">
      <c r="A134" s="3" t="s">
        <v>647</v>
      </c>
      <c r="B134" s="3" t="s">
        <v>1810</v>
      </c>
      <c r="C134" s="4">
        <v>6</v>
      </c>
    </row>
    <row r="135" spans="1:3" ht="15" thickBot="1">
      <c r="A135" s="3" t="s">
        <v>1546</v>
      </c>
      <c r="B135" s="3" t="s">
        <v>26</v>
      </c>
      <c r="C135" s="4">
        <v>2</v>
      </c>
    </row>
    <row r="136" spans="1:3" ht="15" thickBot="1">
      <c r="A136" s="3" t="s">
        <v>190</v>
      </c>
      <c r="B136" s="3" t="s">
        <v>61</v>
      </c>
      <c r="C136" s="4">
        <v>3</v>
      </c>
    </row>
    <row r="137" spans="1:3" ht="15" thickBot="1">
      <c r="A137" s="3" t="s">
        <v>139</v>
      </c>
      <c r="B137" s="3" t="s">
        <v>1810</v>
      </c>
      <c r="C137" s="4">
        <v>13</v>
      </c>
    </row>
    <row r="138" spans="1:3" ht="15" thickBot="1">
      <c r="A138" s="3" t="s">
        <v>590</v>
      </c>
      <c r="B138" s="3" t="s">
        <v>19</v>
      </c>
      <c r="C138" s="4">
        <v>8</v>
      </c>
    </row>
    <row r="139" spans="1:3" ht="15" thickBot="1">
      <c r="A139" s="3" t="s">
        <v>130</v>
      </c>
      <c r="B139" s="3" t="s">
        <v>2359</v>
      </c>
      <c r="C139" s="4">
        <v>35</v>
      </c>
    </row>
    <row r="140" spans="1:3" ht="15" thickBot="1">
      <c r="A140" s="3" t="s">
        <v>704</v>
      </c>
      <c r="B140" s="3" t="s">
        <v>2359</v>
      </c>
      <c r="C140" s="4">
        <v>10</v>
      </c>
    </row>
    <row r="141" spans="1:3" ht="15" thickBot="1">
      <c r="A141" s="3" t="s">
        <v>793</v>
      </c>
      <c r="B141" s="3" t="s">
        <v>1810</v>
      </c>
      <c r="C141" s="4">
        <v>3</v>
      </c>
    </row>
    <row r="142" spans="1:3" ht="15" thickBot="1">
      <c r="A142" s="3" t="s">
        <v>710</v>
      </c>
      <c r="B142" s="3" t="s">
        <v>1810</v>
      </c>
      <c r="C142" s="4">
        <v>2</v>
      </c>
    </row>
    <row r="143" spans="1:3" ht="15" thickBot="1">
      <c r="A143" s="3" t="s">
        <v>2970</v>
      </c>
      <c r="B143" s="3" t="s">
        <v>1810</v>
      </c>
      <c r="C143" s="4">
        <v>2</v>
      </c>
    </row>
    <row r="144" spans="1:3" ht="15" thickBot="1">
      <c r="A144" s="3" t="s">
        <v>596</v>
      </c>
      <c r="B144" s="3" t="s">
        <v>2365</v>
      </c>
      <c r="C144" s="4">
        <v>3</v>
      </c>
    </row>
    <row r="145" spans="1:3" ht="15" thickBot="1">
      <c r="A145" s="3" t="s">
        <v>589</v>
      </c>
      <c r="B145" s="3" t="s">
        <v>2365</v>
      </c>
      <c r="C145" s="4">
        <v>5</v>
      </c>
    </row>
    <row r="146" spans="1:3" ht="15" thickBot="1">
      <c r="A146" s="3" t="s">
        <v>588</v>
      </c>
      <c r="B146" s="3" t="s">
        <v>2365</v>
      </c>
      <c r="C146" s="4">
        <v>2</v>
      </c>
    </row>
    <row r="147" spans="1:3" ht="15" thickBot="1">
      <c r="A147" s="3" t="s">
        <v>21</v>
      </c>
      <c r="B147" s="3" t="s">
        <v>2365</v>
      </c>
      <c r="C147" s="4">
        <v>4</v>
      </c>
    </row>
    <row r="148" spans="1:3" ht="15" thickBot="1">
      <c r="A148" s="3" t="s">
        <v>366</v>
      </c>
      <c r="B148" s="3" t="s">
        <v>2359</v>
      </c>
      <c r="C148" s="4">
        <v>4</v>
      </c>
    </row>
    <row r="149" spans="1:3" ht="15" thickBot="1">
      <c r="A149" s="3" t="s">
        <v>675</v>
      </c>
      <c r="B149" s="3" t="s">
        <v>19</v>
      </c>
      <c r="C149" s="4">
        <v>12</v>
      </c>
    </row>
    <row r="150" spans="1:3" ht="15" thickBot="1">
      <c r="A150" s="3" t="s">
        <v>679</v>
      </c>
      <c r="B150" s="3" t="s">
        <v>1802</v>
      </c>
      <c r="C150" s="4">
        <v>14</v>
      </c>
    </row>
    <row r="151" spans="1:3" ht="15" thickBot="1">
      <c r="A151" s="3" t="s">
        <v>2971</v>
      </c>
      <c r="B151" s="3" t="s">
        <v>2372</v>
      </c>
      <c r="C151" s="4">
        <v>1</v>
      </c>
    </row>
    <row r="152" spans="1:3" ht="15" thickBot="1">
      <c r="A152" s="3" t="s">
        <v>1876</v>
      </c>
      <c r="B152" s="3" t="s">
        <v>19</v>
      </c>
      <c r="C152" s="4">
        <v>2</v>
      </c>
    </row>
    <row r="153" spans="1:3" ht="15" thickBot="1">
      <c r="A153" s="3" t="s">
        <v>355</v>
      </c>
      <c r="B153" s="3" t="s">
        <v>2372</v>
      </c>
      <c r="C153" s="4">
        <v>1</v>
      </c>
    </row>
    <row r="154" spans="1:3" ht="15" thickBot="1">
      <c r="A154" s="3" t="s">
        <v>117</v>
      </c>
      <c r="B154" s="3" t="s">
        <v>24</v>
      </c>
      <c r="C154" s="4">
        <v>8</v>
      </c>
    </row>
    <row r="155" spans="1:3" ht="15" thickBot="1">
      <c r="A155" s="3" t="s">
        <v>307</v>
      </c>
      <c r="B155" s="3" t="s">
        <v>24</v>
      </c>
      <c r="C155" s="4">
        <v>3</v>
      </c>
    </row>
    <row r="156" spans="1:3" ht="15" thickBot="1">
      <c r="A156" s="3" t="s">
        <v>1817</v>
      </c>
      <c r="B156" s="3" t="s">
        <v>1805</v>
      </c>
      <c r="C156" s="4">
        <v>5</v>
      </c>
    </row>
    <row r="157" spans="1:3" ht="15" thickBot="1">
      <c r="A157" s="3" t="s">
        <v>672</v>
      </c>
      <c r="B157" s="3" t="s">
        <v>24</v>
      </c>
      <c r="C157" s="4">
        <v>9</v>
      </c>
    </row>
    <row r="158" spans="1:3" ht="15" thickBot="1">
      <c r="A158" s="3" t="s">
        <v>562</v>
      </c>
      <c r="B158" s="3" t="s">
        <v>2359</v>
      </c>
      <c r="C158" s="4">
        <v>4</v>
      </c>
    </row>
    <row r="159" spans="1:3" ht="15" thickBot="1">
      <c r="A159" s="3" t="s">
        <v>295</v>
      </c>
      <c r="B159" s="3" t="s">
        <v>24</v>
      </c>
      <c r="C159" s="4">
        <v>2</v>
      </c>
    </row>
    <row r="160" spans="1:3" ht="15" thickBot="1">
      <c r="A160" s="3" t="s">
        <v>1241</v>
      </c>
      <c r="B160" s="3" t="s">
        <v>32</v>
      </c>
      <c r="C160" s="4">
        <v>2</v>
      </c>
    </row>
    <row r="161" spans="1:3" ht="15" thickBot="1">
      <c r="A161" s="3" t="s">
        <v>151</v>
      </c>
      <c r="B161" s="3" t="s">
        <v>1802</v>
      </c>
      <c r="C161" s="4">
        <v>4</v>
      </c>
    </row>
    <row r="162" spans="1:3" ht="15" thickBot="1">
      <c r="A162" s="3" t="s">
        <v>1890</v>
      </c>
      <c r="B162" s="3" t="s">
        <v>24</v>
      </c>
      <c r="C162" s="4">
        <v>1</v>
      </c>
    </row>
    <row r="163" spans="1:3" ht="15" thickBot="1">
      <c r="A163" s="3" t="s">
        <v>876</v>
      </c>
      <c r="B163" s="3" t="s">
        <v>319</v>
      </c>
      <c r="C163" s="4">
        <v>2</v>
      </c>
    </row>
    <row r="164" spans="1:3" ht="15" thickBot="1">
      <c r="A164" s="3" t="s">
        <v>198</v>
      </c>
      <c r="B164" s="3" t="s">
        <v>125</v>
      </c>
      <c r="C164" s="4">
        <v>5</v>
      </c>
    </row>
    <row r="165" spans="1:3" ht="15" thickBot="1">
      <c r="A165" s="3" t="s">
        <v>920</v>
      </c>
      <c r="B165" s="3" t="s">
        <v>2372</v>
      </c>
      <c r="C165" s="4">
        <v>2</v>
      </c>
    </row>
    <row r="166" spans="1:3" ht="15" thickBot="1">
      <c r="A166" s="3" t="s">
        <v>440</v>
      </c>
      <c r="B166" s="3" t="s">
        <v>19</v>
      </c>
      <c r="C166" s="4">
        <v>3</v>
      </c>
    </row>
    <row r="167" spans="1:3" ht="15" thickBot="1">
      <c r="A167" s="3" t="s">
        <v>2972</v>
      </c>
      <c r="B167" s="3" t="s">
        <v>125</v>
      </c>
      <c r="C167" s="4">
        <v>2</v>
      </c>
    </row>
    <row r="168" spans="1:3" ht="15" thickBot="1">
      <c r="A168" s="3" t="s">
        <v>827</v>
      </c>
      <c r="B168" s="3" t="s">
        <v>1802</v>
      </c>
      <c r="C168" s="4">
        <v>4</v>
      </c>
    </row>
    <row r="169" spans="1:3" ht="15" thickBot="1">
      <c r="A169" s="3" t="s">
        <v>321</v>
      </c>
      <c r="B169" s="3" t="s">
        <v>34</v>
      </c>
      <c r="C169" s="4">
        <v>6</v>
      </c>
    </row>
    <row r="170" spans="1:3" ht="15" thickBot="1">
      <c r="A170" s="3" t="s">
        <v>1375</v>
      </c>
      <c r="B170" s="3" t="s">
        <v>24</v>
      </c>
      <c r="C170" s="4">
        <v>1</v>
      </c>
    </row>
    <row r="171" spans="1:3" ht="15" thickBot="1">
      <c r="A171" s="3" t="s">
        <v>97</v>
      </c>
      <c r="B171" s="3" t="s">
        <v>125</v>
      </c>
      <c r="C171" s="4">
        <v>15</v>
      </c>
    </row>
    <row r="172" spans="1:3" ht="15" thickBot="1">
      <c r="A172" s="3" t="s">
        <v>573</v>
      </c>
      <c r="B172" s="3" t="s">
        <v>2372</v>
      </c>
      <c r="C172" s="4">
        <v>2</v>
      </c>
    </row>
    <row r="173" spans="1:3" ht="15" thickBot="1">
      <c r="A173" s="3" t="s">
        <v>2734</v>
      </c>
      <c r="B173" s="3" t="s">
        <v>32</v>
      </c>
      <c r="C173" s="4">
        <v>3</v>
      </c>
    </row>
    <row r="174" spans="1:3" ht="15" thickBot="1">
      <c r="A174" s="3" t="s">
        <v>196</v>
      </c>
      <c r="B174" s="3" t="s">
        <v>2973</v>
      </c>
      <c r="C174" s="4">
        <v>4</v>
      </c>
    </row>
    <row r="175" spans="1:3" ht="15" thickBot="1">
      <c r="A175" s="3" t="s">
        <v>501</v>
      </c>
      <c r="B175" s="3" t="s">
        <v>2372</v>
      </c>
      <c r="C175" s="4">
        <v>6</v>
      </c>
    </row>
    <row r="176" spans="1:3" ht="15" thickBot="1">
      <c r="A176" s="3" t="s">
        <v>381</v>
      </c>
      <c r="B176" s="3" t="s">
        <v>19</v>
      </c>
      <c r="C176" s="4">
        <v>14</v>
      </c>
    </row>
    <row r="177" spans="1:3" ht="15" thickBot="1">
      <c r="A177" s="3" t="s">
        <v>808</v>
      </c>
      <c r="B177" s="3" t="s">
        <v>1810</v>
      </c>
      <c r="C177" s="4">
        <v>4</v>
      </c>
    </row>
    <row r="178" spans="1:3" ht="15" thickBot="1">
      <c r="A178" s="3" t="s">
        <v>2688</v>
      </c>
      <c r="B178" s="3" t="s">
        <v>125</v>
      </c>
      <c r="C178" s="4">
        <v>1</v>
      </c>
    </row>
    <row r="179" spans="1:3" ht="15" thickBot="1">
      <c r="A179" s="3" t="s">
        <v>1031</v>
      </c>
      <c r="B179" s="3" t="s">
        <v>24</v>
      </c>
      <c r="C179" s="4">
        <v>2</v>
      </c>
    </row>
    <row r="180" spans="1:3" ht="15" thickBot="1">
      <c r="A180" s="3" t="s">
        <v>805</v>
      </c>
      <c r="B180" s="3" t="s">
        <v>2372</v>
      </c>
      <c r="C180" s="4">
        <v>4</v>
      </c>
    </row>
    <row r="181" spans="1:3" ht="15" thickBot="1">
      <c r="A181" s="3" t="s">
        <v>1092</v>
      </c>
      <c r="B181" s="3" t="s">
        <v>32</v>
      </c>
      <c r="C181" s="4">
        <v>2</v>
      </c>
    </row>
    <row r="182" spans="1:3" ht="15" thickBot="1">
      <c r="A182" s="3" t="s">
        <v>2974</v>
      </c>
      <c r="B182" s="3" t="s">
        <v>32</v>
      </c>
      <c r="C182" s="4">
        <v>2</v>
      </c>
    </row>
    <row r="183" spans="1:3" ht="15" thickBot="1">
      <c r="A183" s="3" t="s">
        <v>282</v>
      </c>
      <c r="B183" s="3" t="s">
        <v>24</v>
      </c>
      <c r="C183" s="4">
        <v>3</v>
      </c>
    </row>
    <row r="184" spans="1:3" ht="15" thickBot="1">
      <c r="A184" s="3" t="s">
        <v>2822</v>
      </c>
      <c r="B184" s="3" t="s">
        <v>32</v>
      </c>
      <c r="C184" s="4">
        <v>2</v>
      </c>
    </row>
    <row r="185" spans="1:3" ht="15" thickBot="1">
      <c r="A185" s="3" t="s">
        <v>1900</v>
      </c>
      <c r="B185" s="3" t="s">
        <v>410</v>
      </c>
      <c r="C185" s="4">
        <v>1</v>
      </c>
    </row>
    <row r="186" spans="1:3" ht="15" thickBot="1">
      <c r="A186" s="3" t="s">
        <v>703</v>
      </c>
      <c r="B186" s="3" t="s">
        <v>125</v>
      </c>
      <c r="C186" s="4">
        <v>4</v>
      </c>
    </row>
    <row r="187" spans="1:3" ht="15" thickBot="1">
      <c r="A187" s="3" t="s">
        <v>77</v>
      </c>
      <c r="B187" s="3" t="s">
        <v>4</v>
      </c>
      <c r="C187" s="4">
        <v>9</v>
      </c>
    </row>
    <row r="188" spans="1:3" ht="15" thickBot="1">
      <c r="A188" s="3" t="s">
        <v>1821</v>
      </c>
      <c r="B188" s="3" t="s">
        <v>26</v>
      </c>
      <c r="C188" s="4">
        <v>7</v>
      </c>
    </row>
    <row r="189" spans="1:3" ht="15" thickBot="1">
      <c r="A189" s="3" t="s">
        <v>212</v>
      </c>
      <c r="B189" s="3" t="s">
        <v>2372</v>
      </c>
      <c r="C189" s="4">
        <v>15</v>
      </c>
    </row>
    <row r="190" spans="1:3" ht="15" thickBot="1">
      <c r="A190" s="3" t="s">
        <v>2975</v>
      </c>
      <c r="B190" s="3" t="s">
        <v>26</v>
      </c>
      <c r="C190" s="4">
        <v>1</v>
      </c>
    </row>
    <row r="191" spans="1:3" ht="15" thickBot="1">
      <c r="A191" s="3" t="s">
        <v>1136</v>
      </c>
      <c r="B191" s="3" t="s">
        <v>24</v>
      </c>
      <c r="C191" s="4">
        <v>1</v>
      </c>
    </row>
    <row r="192" spans="1:3" ht="15" thickBot="1">
      <c r="A192" s="3" t="s">
        <v>2155</v>
      </c>
      <c r="B192" s="3" t="s">
        <v>24</v>
      </c>
      <c r="C192" s="4">
        <v>1</v>
      </c>
    </row>
    <row r="193" spans="1:3" ht="15" thickBot="1">
      <c r="A193" s="3" t="s">
        <v>1326</v>
      </c>
      <c r="B193" s="3" t="s">
        <v>125</v>
      </c>
      <c r="C193" s="4">
        <v>9</v>
      </c>
    </row>
    <row r="194" spans="1:3" ht="15" thickBot="1">
      <c r="A194" s="3" t="s">
        <v>687</v>
      </c>
      <c r="B194" s="3" t="s">
        <v>34</v>
      </c>
      <c r="C194" s="4">
        <v>5</v>
      </c>
    </row>
    <row r="195" spans="1:3" ht="15" thickBot="1">
      <c r="A195" s="3" t="s">
        <v>1324</v>
      </c>
      <c r="B195" s="3" t="s">
        <v>138</v>
      </c>
      <c r="C195" s="4">
        <v>3</v>
      </c>
    </row>
    <row r="196" spans="1:3" ht="15" thickBot="1">
      <c r="A196" s="3" t="s">
        <v>756</v>
      </c>
      <c r="B196" s="3" t="s">
        <v>61</v>
      </c>
      <c r="C196" s="4">
        <v>4</v>
      </c>
    </row>
    <row r="197" spans="1:3" ht="15" thickBot="1">
      <c r="A197" s="3" t="s">
        <v>390</v>
      </c>
      <c r="B197" s="3" t="s">
        <v>61</v>
      </c>
      <c r="C197" s="4">
        <v>5</v>
      </c>
    </row>
    <row r="198" spans="1:3" ht="15" thickBot="1">
      <c r="A198" s="3" t="s">
        <v>2014</v>
      </c>
      <c r="B198" s="3" t="s">
        <v>61</v>
      </c>
      <c r="C198" s="4">
        <v>3</v>
      </c>
    </row>
    <row r="199" spans="1:3" ht="15" thickBot="1">
      <c r="A199" s="3" t="s">
        <v>423</v>
      </c>
      <c r="B199" s="3" t="s">
        <v>2382</v>
      </c>
      <c r="C199" s="4">
        <v>9</v>
      </c>
    </row>
    <row r="200" spans="1:3" ht="15" thickBot="1">
      <c r="A200" s="3" t="s">
        <v>583</v>
      </c>
      <c r="B200" s="3" t="s">
        <v>2372</v>
      </c>
      <c r="C200" s="4">
        <v>15</v>
      </c>
    </row>
    <row r="201" spans="1:3" ht="15" thickBot="1">
      <c r="A201" s="3" t="s">
        <v>262</v>
      </c>
      <c r="B201" s="3" t="s">
        <v>26</v>
      </c>
      <c r="C201" s="4">
        <v>4</v>
      </c>
    </row>
    <row r="202" spans="1:3" ht="15" thickBot="1">
      <c r="A202" s="3" t="s">
        <v>2976</v>
      </c>
      <c r="B202" s="3" t="s">
        <v>61</v>
      </c>
      <c r="C202" s="4">
        <v>1</v>
      </c>
    </row>
    <row r="203" spans="1:3" ht="15" thickBot="1">
      <c r="A203" s="3" t="s">
        <v>963</v>
      </c>
      <c r="B203" s="3" t="s">
        <v>24</v>
      </c>
      <c r="C203" s="4">
        <v>1</v>
      </c>
    </row>
    <row r="204" spans="1:3" ht="15" thickBot="1">
      <c r="A204" s="3" t="s">
        <v>1729</v>
      </c>
      <c r="B204" s="3" t="s">
        <v>61</v>
      </c>
      <c r="C204" s="4">
        <v>6</v>
      </c>
    </row>
    <row r="205" spans="1:3" ht="15" thickBot="1">
      <c r="A205" s="3" t="s">
        <v>85</v>
      </c>
      <c r="B205" s="3" t="s">
        <v>61</v>
      </c>
      <c r="C205" s="4">
        <v>5</v>
      </c>
    </row>
    <row r="206" spans="1:3" ht="15" thickBot="1">
      <c r="A206" s="3" t="s">
        <v>2977</v>
      </c>
      <c r="B206" s="3" t="s">
        <v>61</v>
      </c>
      <c r="C206" s="4">
        <v>6</v>
      </c>
    </row>
    <row r="207" spans="1:3" ht="15" thickBot="1">
      <c r="A207" s="3" t="s">
        <v>94</v>
      </c>
      <c r="B207" s="3" t="s">
        <v>1810</v>
      </c>
      <c r="C207" s="4">
        <v>8</v>
      </c>
    </row>
    <row r="208" spans="1:3" ht="15" thickBot="1">
      <c r="A208" s="3" t="s">
        <v>739</v>
      </c>
      <c r="B208" s="3" t="s">
        <v>22</v>
      </c>
      <c r="C208" s="4">
        <v>9</v>
      </c>
    </row>
    <row r="209" spans="1:3" ht="15" thickBot="1">
      <c r="A209" s="3" t="s">
        <v>235</v>
      </c>
      <c r="B209" s="3" t="s">
        <v>4</v>
      </c>
      <c r="C209" s="4">
        <v>2</v>
      </c>
    </row>
    <row r="210" spans="1:3" ht="15" thickBot="1">
      <c r="A210" s="3" t="s">
        <v>2978</v>
      </c>
      <c r="B210" s="3" t="s">
        <v>4</v>
      </c>
      <c r="C210" s="4">
        <v>1</v>
      </c>
    </row>
    <row r="211" spans="1:3" ht="15" thickBot="1">
      <c r="A211" s="3" t="s">
        <v>1473</v>
      </c>
      <c r="B211" s="3" t="s">
        <v>34</v>
      </c>
      <c r="C211" s="4">
        <v>9</v>
      </c>
    </row>
    <row r="212" spans="1:3" ht="15" thickBot="1">
      <c r="A212" s="3" t="s">
        <v>2979</v>
      </c>
      <c r="B212" s="3" t="s">
        <v>2359</v>
      </c>
      <c r="C212" s="4">
        <v>1</v>
      </c>
    </row>
    <row r="213" spans="1:3" ht="15" thickBot="1">
      <c r="A213" s="3" t="s">
        <v>607</v>
      </c>
      <c r="B213" s="3" t="s">
        <v>2372</v>
      </c>
      <c r="C213" s="4">
        <v>4</v>
      </c>
    </row>
    <row r="214" spans="1:3" ht="15" thickBot="1">
      <c r="A214" s="3" t="s">
        <v>1955</v>
      </c>
      <c r="B214" s="3" t="s">
        <v>125</v>
      </c>
      <c r="C214" s="4">
        <v>3</v>
      </c>
    </row>
    <row r="215" spans="1:3" ht="15" thickBot="1">
      <c r="A215" s="3" t="s">
        <v>2218</v>
      </c>
      <c r="B215" s="3" t="s">
        <v>125</v>
      </c>
      <c r="C215" s="4">
        <v>3</v>
      </c>
    </row>
    <row r="216" spans="1:3" ht="15" thickBot="1">
      <c r="A216" s="3" t="s">
        <v>1123</v>
      </c>
      <c r="B216" s="3" t="s">
        <v>125</v>
      </c>
      <c r="C216" s="4">
        <v>2</v>
      </c>
    </row>
    <row r="217" spans="1:3" ht="15" thickBot="1">
      <c r="A217" s="3" t="s">
        <v>35</v>
      </c>
      <c r="B217" s="3" t="s">
        <v>1802</v>
      </c>
      <c r="C217" s="4">
        <v>9</v>
      </c>
    </row>
    <row r="218" spans="1:3" ht="15" thickBot="1">
      <c r="A218" s="3" t="s">
        <v>152</v>
      </c>
      <c r="B218" s="3" t="s">
        <v>1802</v>
      </c>
      <c r="C218" s="4">
        <v>4</v>
      </c>
    </row>
    <row r="219" spans="1:3" ht="15" thickBot="1">
      <c r="A219" s="3" t="s">
        <v>2654</v>
      </c>
      <c r="B219" s="3" t="s">
        <v>138</v>
      </c>
      <c r="C219" s="4">
        <v>2</v>
      </c>
    </row>
    <row r="220" spans="1:3" ht="15" thickBot="1">
      <c r="A220" s="3" t="s">
        <v>639</v>
      </c>
      <c r="B220" s="3" t="s">
        <v>138</v>
      </c>
      <c r="C220" s="4">
        <v>2</v>
      </c>
    </row>
    <row r="221" spans="1:3" ht="15" thickBot="1">
      <c r="A221" s="3" t="s">
        <v>477</v>
      </c>
      <c r="B221" s="3" t="s">
        <v>2372</v>
      </c>
      <c r="C221" s="4">
        <v>10</v>
      </c>
    </row>
    <row r="222" spans="1:3" ht="15" thickBot="1">
      <c r="A222" s="3" t="s">
        <v>153</v>
      </c>
      <c r="B222" s="3" t="s">
        <v>1802</v>
      </c>
      <c r="C222" s="4">
        <v>2</v>
      </c>
    </row>
    <row r="223" spans="1:3" ht="15" thickBot="1">
      <c r="A223" s="3" t="s">
        <v>447</v>
      </c>
      <c r="B223" s="3" t="s">
        <v>26</v>
      </c>
      <c r="C223" s="4">
        <v>5</v>
      </c>
    </row>
    <row r="224" spans="1:3" ht="15" thickBot="1">
      <c r="A224" s="3" t="s">
        <v>162</v>
      </c>
      <c r="B224" s="3" t="s">
        <v>2359</v>
      </c>
      <c r="C224" s="4">
        <v>9</v>
      </c>
    </row>
    <row r="225" spans="1:3" ht="15" thickBot="1">
      <c r="A225" s="3" t="s">
        <v>231</v>
      </c>
      <c r="B225" s="3" t="s">
        <v>1802</v>
      </c>
      <c r="C225" s="4">
        <v>3</v>
      </c>
    </row>
    <row r="226" spans="1:3" ht="15" thickBot="1">
      <c r="A226" s="3" t="s">
        <v>824</v>
      </c>
      <c r="B226" s="3" t="s">
        <v>2359</v>
      </c>
      <c r="C226" s="4">
        <v>2</v>
      </c>
    </row>
    <row r="227" spans="1:3" ht="15" thickBot="1">
      <c r="A227" s="3" t="s">
        <v>851</v>
      </c>
      <c r="B227" s="3" t="s">
        <v>2359</v>
      </c>
      <c r="C227" s="4">
        <v>3</v>
      </c>
    </row>
    <row r="228" spans="1:3" ht="15" thickBot="1">
      <c r="A228" s="3" t="s">
        <v>1397</v>
      </c>
      <c r="B228" s="3" t="s">
        <v>34</v>
      </c>
      <c r="C228" s="4">
        <v>2</v>
      </c>
    </row>
    <row r="229" spans="1:3" ht="15" thickBot="1">
      <c r="A229" s="3" t="s">
        <v>2552</v>
      </c>
      <c r="B229" s="3" t="s">
        <v>2359</v>
      </c>
      <c r="C229" s="4">
        <v>2</v>
      </c>
    </row>
    <row r="230" spans="1:3" ht="15" thickBot="1">
      <c r="A230" s="3" t="s">
        <v>1086</v>
      </c>
      <c r="B230" s="3" t="s">
        <v>2359</v>
      </c>
      <c r="C230" s="4">
        <v>9</v>
      </c>
    </row>
    <row r="231" spans="1:3" ht="15" thickBot="1">
      <c r="A231" s="3" t="s">
        <v>324</v>
      </c>
      <c r="B231" s="3" t="s">
        <v>34</v>
      </c>
      <c r="C231" s="4">
        <v>9</v>
      </c>
    </row>
    <row r="232" spans="1:3" ht="15" thickBot="1">
      <c r="A232" s="3" t="s">
        <v>397</v>
      </c>
      <c r="B232" s="3" t="s">
        <v>34</v>
      </c>
      <c r="C232" s="4">
        <v>1</v>
      </c>
    </row>
    <row r="233" spans="1:3" ht="15" thickBot="1">
      <c r="A233" s="3" t="s">
        <v>653</v>
      </c>
      <c r="B233" s="3" t="s">
        <v>1802</v>
      </c>
      <c r="C233" s="4">
        <v>4</v>
      </c>
    </row>
    <row r="234" spans="1:3" ht="15" thickBot="1">
      <c r="A234" s="3" t="s">
        <v>17</v>
      </c>
      <c r="B234" s="3" t="s">
        <v>2372</v>
      </c>
      <c r="C234" s="4">
        <v>5</v>
      </c>
    </row>
    <row r="235" spans="1:3" ht="15" thickBot="1">
      <c r="A235" s="3" t="s">
        <v>216</v>
      </c>
      <c r="B235" s="3" t="s">
        <v>19</v>
      </c>
      <c r="C235" s="4">
        <v>3</v>
      </c>
    </row>
    <row r="236" spans="1:3" ht="15" thickBot="1">
      <c r="A236" s="3" t="s">
        <v>2980</v>
      </c>
      <c r="B236" s="3" t="s">
        <v>1802</v>
      </c>
      <c r="C236" s="4">
        <v>7</v>
      </c>
    </row>
    <row r="237" spans="1:3" ht="15" thickBot="1">
      <c r="A237" s="3" t="s">
        <v>2981</v>
      </c>
      <c r="B237" s="3" t="s">
        <v>1802</v>
      </c>
      <c r="C237" s="4">
        <v>6</v>
      </c>
    </row>
    <row r="238" spans="1:3" ht="15" thickBot="1">
      <c r="A238" s="3" t="s">
        <v>107</v>
      </c>
      <c r="B238" s="3" t="s">
        <v>1802</v>
      </c>
      <c r="C238" s="4">
        <v>6</v>
      </c>
    </row>
    <row r="239" spans="1:3" ht="15" thickBot="1">
      <c r="A239" s="3" t="s">
        <v>1164</v>
      </c>
      <c r="B239" s="3" t="s">
        <v>2359</v>
      </c>
      <c r="C239" s="4">
        <v>3</v>
      </c>
    </row>
    <row r="240" spans="1:3" ht="15" thickBot="1">
      <c r="A240" s="3" t="s">
        <v>1862</v>
      </c>
      <c r="B240" s="3" t="s">
        <v>138</v>
      </c>
      <c r="C240" s="4">
        <v>2</v>
      </c>
    </row>
    <row r="241" spans="1:3" ht="15" thickBot="1">
      <c r="A241" s="3" t="s">
        <v>719</v>
      </c>
      <c r="B241" s="3" t="s">
        <v>2359</v>
      </c>
      <c r="C241" s="4">
        <v>3</v>
      </c>
    </row>
    <row r="242" spans="1:3" ht="15" thickBot="1">
      <c r="A242" s="3" t="s">
        <v>1930</v>
      </c>
      <c r="B242" s="3" t="s">
        <v>2372</v>
      </c>
      <c r="C242" s="4">
        <v>3</v>
      </c>
    </row>
    <row r="243" spans="1:3" ht="15" thickBot="1">
      <c r="A243" s="3" t="s">
        <v>861</v>
      </c>
      <c r="B243" s="3" t="s">
        <v>24</v>
      </c>
      <c r="C243" s="4">
        <v>2</v>
      </c>
    </row>
    <row r="244" spans="1:3" ht="15" thickBot="1">
      <c r="A244" s="3" t="s">
        <v>880</v>
      </c>
      <c r="B244" s="3" t="s">
        <v>125</v>
      </c>
      <c r="C244" s="4">
        <v>2</v>
      </c>
    </row>
    <row r="245" spans="1:3" ht="15" thickBot="1">
      <c r="A245" s="3" t="s">
        <v>356</v>
      </c>
      <c r="B245" s="3" t="s">
        <v>1805</v>
      </c>
      <c r="C245" s="4">
        <v>6</v>
      </c>
    </row>
    <row r="246" spans="1:3" ht="15" thickBot="1">
      <c r="A246" s="3" t="s">
        <v>106</v>
      </c>
      <c r="B246" s="3" t="s">
        <v>2372</v>
      </c>
      <c r="C246" s="4">
        <v>7</v>
      </c>
    </row>
    <row r="247" spans="1:3" ht="15" thickBot="1">
      <c r="A247" s="3" t="s">
        <v>571</v>
      </c>
      <c r="B247" s="3" t="s">
        <v>2372</v>
      </c>
      <c r="C247" s="4">
        <v>2</v>
      </c>
    </row>
    <row r="248" spans="1:3" ht="15" thickBot="1">
      <c r="A248" s="3" t="s">
        <v>2982</v>
      </c>
      <c r="B248" s="3" t="s">
        <v>2372</v>
      </c>
      <c r="C248" s="4">
        <v>1</v>
      </c>
    </row>
    <row r="249" spans="1:3" ht="15" thickBot="1">
      <c r="A249" s="3" t="s">
        <v>1027</v>
      </c>
      <c r="B249" s="3" t="s">
        <v>1802</v>
      </c>
      <c r="C249" s="4">
        <v>6</v>
      </c>
    </row>
    <row r="250" spans="1:3" ht="15" thickBot="1">
      <c r="A250" s="3" t="s">
        <v>394</v>
      </c>
      <c r="B250" s="3" t="s">
        <v>2372</v>
      </c>
      <c r="C250" s="4">
        <v>4</v>
      </c>
    </row>
    <row r="251" spans="1:3" ht="15" thickBot="1">
      <c r="A251" s="3" t="s">
        <v>1325</v>
      </c>
      <c r="B251" s="3" t="s">
        <v>1802</v>
      </c>
      <c r="C251" s="4">
        <v>6</v>
      </c>
    </row>
    <row r="252" spans="1:3" ht="15" thickBot="1">
      <c r="A252" s="3" t="s">
        <v>662</v>
      </c>
      <c r="B252" s="3" t="s">
        <v>410</v>
      </c>
      <c r="C252" s="4">
        <v>3</v>
      </c>
    </row>
    <row r="253" spans="1:3" ht="15" thickBot="1">
      <c r="A253" s="3" t="s">
        <v>746</v>
      </c>
      <c r="B253" s="3" t="s">
        <v>2359</v>
      </c>
      <c r="C253" s="4">
        <v>3</v>
      </c>
    </row>
    <row r="254" spans="1:3" ht="15" thickBot="1">
      <c r="A254" s="3" t="s">
        <v>2983</v>
      </c>
      <c r="B254" s="3" t="s">
        <v>1802</v>
      </c>
      <c r="C254" s="4">
        <v>1</v>
      </c>
    </row>
    <row r="255" spans="1:3" ht="15" thickBot="1">
      <c r="A255" s="3" t="s">
        <v>839</v>
      </c>
      <c r="B255" s="3" t="s">
        <v>26</v>
      </c>
      <c r="C255" s="4">
        <v>6</v>
      </c>
    </row>
    <row r="256" spans="1:3" ht="15" thickBot="1">
      <c r="A256" s="3" t="s">
        <v>2038</v>
      </c>
      <c r="B256" s="3" t="s">
        <v>26</v>
      </c>
      <c r="C256" s="4">
        <v>4</v>
      </c>
    </row>
    <row r="257" spans="1:3" ht="15" thickBot="1">
      <c r="A257" s="3" t="s">
        <v>698</v>
      </c>
      <c r="B257" s="3" t="s">
        <v>32</v>
      </c>
      <c r="C257" s="4">
        <v>5</v>
      </c>
    </row>
    <row r="258" spans="1:3" ht="15" thickBot="1">
      <c r="A258" s="3" t="s">
        <v>769</v>
      </c>
      <c r="B258" s="3" t="s">
        <v>2359</v>
      </c>
      <c r="C258" s="4">
        <v>3</v>
      </c>
    </row>
    <row r="259" spans="1:3" ht="15" thickBot="1">
      <c r="A259" s="3" t="s">
        <v>1412</v>
      </c>
      <c r="B259" s="3" t="s">
        <v>2359</v>
      </c>
      <c r="C259" s="4">
        <v>2</v>
      </c>
    </row>
    <row r="260" spans="1:3" ht="15" thickBot="1">
      <c r="A260" s="3" t="s">
        <v>661</v>
      </c>
      <c r="B260" s="3" t="s">
        <v>138</v>
      </c>
      <c r="C260" s="4">
        <v>9</v>
      </c>
    </row>
    <row r="261" spans="1:3" ht="15" thickBot="1">
      <c r="A261" s="3" t="s">
        <v>1578</v>
      </c>
      <c r="B261" s="3" t="s">
        <v>2359</v>
      </c>
      <c r="C261" s="4">
        <v>2</v>
      </c>
    </row>
    <row r="262" spans="1:3" ht="15" thickBot="1">
      <c r="A262" s="3" t="s">
        <v>143</v>
      </c>
      <c r="B262" s="3" t="s">
        <v>26</v>
      </c>
      <c r="C262" s="4">
        <v>7</v>
      </c>
    </row>
    <row r="263" spans="1:3" ht="15" thickBot="1">
      <c r="A263" s="3" t="s">
        <v>563</v>
      </c>
      <c r="B263" s="3" t="s">
        <v>61</v>
      </c>
      <c r="C263" s="4">
        <v>2</v>
      </c>
    </row>
    <row r="264" spans="1:3" ht="15" thickBot="1">
      <c r="A264" s="3" t="s">
        <v>1418</v>
      </c>
      <c r="B264" s="3" t="s">
        <v>34</v>
      </c>
      <c r="C264" s="4">
        <v>3</v>
      </c>
    </row>
    <row r="265" spans="1:3" ht="15" thickBot="1">
      <c r="A265" s="3" t="s">
        <v>305</v>
      </c>
      <c r="B265" s="3" t="s">
        <v>1802</v>
      </c>
      <c r="C265" s="4">
        <v>5</v>
      </c>
    </row>
    <row r="266" spans="1:3" ht="15" thickBot="1">
      <c r="A266" s="3" t="s">
        <v>422</v>
      </c>
      <c r="B266" s="3" t="s">
        <v>115</v>
      </c>
      <c r="C266" s="4">
        <v>7</v>
      </c>
    </row>
    <row r="267" spans="1:3" ht="15" thickBot="1">
      <c r="A267" s="3" t="s">
        <v>800</v>
      </c>
      <c r="B267" s="3" t="s">
        <v>1802</v>
      </c>
      <c r="C267" s="4">
        <v>6</v>
      </c>
    </row>
    <row r="268" spans="1:3" ht="15" thickBot="1">
      <c r="A268" s="3" t="s">
        <v>2029</v>
      </c>
      <c r="B268" s="3" t="s">
        <v>61</v>
      </c>
      <c r="C268" s="4">
        <v>3</v>
      </c>
    </row>
    <row r="269" spans="1:3" ht="15" thickBot="1">
      <c r="A269" s="3" t="s">
        <v>484</v>
      </c>
      <c r="B269" s="3" t="s">
        <v>26</v>
      </c>
      <c r="C269" s="4">
        <v>6</v>
      </c>
    </row>
    <row r="270" spans="1:3" ht="15" thickBot="1">
      <c r="A270" s="3" t="s">
        <v>943</v>
      </c>
      <c r="B270" s="3" t="s">
        <v>2359</v>
      </c>
      <c r="C270" s="4">
        <v>3</v>
      </c>
    </row>
    <row r="271" spans="1:3" ht="15" thickBot="1">
      <c r="A271" s="3" t="s">
        <v>2023</v>
      </c>
      <c r="B271" s="3" t="s">
        <v>2372</v>
      </c>
      <c r="C271" s="4">
        <v>2</v>
      </c>
    </row>
    <row r="272" spans="1:3" ht="15" thickBot="1">
      <c r="A272" s="3" t="s">
        <v>1327</v>
      </c>
      <c r="B272" s="3" t="s">
        <v>115</v>
      </c>
      <c r="C272" s="4">
        <v>1</v>
      </c>
    </row>
    <row r="273" spans="1:3" ht="15" thickBot="1">
      <c r="A273" s="3" t="s">
        <v>1354</v>
      </c>
      <c r="B273" s="3" t="s">
        <v>61</v>
      </c>
      <c r="C273" s="4">
        <v>3</v>
      </c>
    </row>
    <row r="274" spans="1:3" ht="15" thickBot="1">
      <c r="A274" s="3" t="s">
        <v>2371</v>
      </c>
      <c r="B274" s="3" t="s">
        <v>2372</v>
      </c>
      <c r="C274" s="4">
        <v>2</v>
      </c>
    </row>
    <row r="275" spans="1:3" ht="15" thickBot="1">
      <c r="A275" s="3" t="s">
        <v>615</v>
      </c>
      <c r="B275" s="3" t="s">
        <v>34</v>
      </c>
      <c r="C275" s="4">
        <v>3</v>
      </c>
    </row>
    <row r="276" spans="1:3" ht="15" thickBot="1">
      <c r="A276" s="3" t="s">
        <v>1258</v>
      </c>
      <c r="B276" s="3" t="s">
        <v>125</v>
      </c>
      <c r="C276" s="4">
        <v>3</v>
      </c>
    </row>
    <row r="277" spans="1:3" ht="15" thickBot="1">
      <c r="A277" s="3" t="s">
        <v>2984</v>
      </c>
      <c r="B277" s="3" t="s">
        <v>2382</v>
      </c>
      <c r="C277" s="4">
        <v>3</v>
      </c>
    </row>
    <row r="278" spans="1:3" ht="15" thickBot="1">
      <c r="A278" s="3" t="s">
        <v>729</v>
      </c>
      <c r="B278" s="3" t="s">
        <v>125</v>
      </c>
      <c r="C278" s="4">
        <v>2</v>
      </c>
    </row>
    <row r="279" spans="1:3" ht="15" thickBot="1">
      <c r="A279" s="3" t="s">
        <v>1539</v>
      </c>
      <c r="B279" s="3" t="s">
        <v>138</v>
      </c>
      <c r="C279" s="4">
        <v>1</v>
      </c>
    </row>
    <row r="280" spans="1:3" ht="15" thickBot="1">
      <c r="A280" s="3" t="s">
        <v>1246</v>
      </c>
      <c r="B280" s="3" t="s">
        <v>1802</v>
      </c>
      <c r="C280" s="4">
        <v>1</v>
      </c>
    </row>
    <row r="281" spans="1:3" ht="15" thickBot="1">
      <c r="A281" s="3" t="s">
        <v>2055</v>
      </c>
      <c r="B281" s="3" t="s">
        <v>2359</v>
      </c>
      <c r="C281" s="4">
        <v>1</v>
      </c>
    </row>
    <row r="282" spans="1:3" ht="15" thickBot="1">
      <c r="A282" s="3" t="s">
        <v>728</v>
      </c>
      <c r="B282" s="3" t="s">
        <v>2372</v>
      </c>
      <c r="C282" s="4">
        <v>3</v>
      </c>
    </row>
    <row r="283" spans="1:3" ht="15" thickBot="1">
      <c r="A283" s="3" t="s">
        <v>18</v>
      </c>
      <c r="B283" s="3" t="s">
        <v>19</v>
      </c>
      <c r="C283" s="4">
        <v>1</v>
      </c>
    </row>
    <row r="284" spans="1:3" ht="15" thickBot="1">
      <c r="A284" s="3" t="s">
        <v>937</v>
      </c>
      <c r="B284" s="3" t="s">
        <v>19</v>
      </c>
      <c r="C284" s="4">
        <v>1</v>
      </c>
    </row>
    <row r="285" spans="1:3" ht="15" thickBot="1">
      <c r="A285" s="3" t="s">
        <v>622</v>
      </c>
      <c r="B285" s="3" t="s">
        <v>34</v>
      </c>
      <c r="C285" s="4">
        <v>1</v>
      </c>
    </row>
    <row r="286" spans="1:3" ht="15" thickBot="1">
      <c r="A286" s="3" t="s">
        <v>1137</v>
      </c>
      <c r="B286" s="3" t="s">
        <v>61</v>
      </c>
      <c r="C286" s="4">
        <v>2</v>
      </c>
    </row>
    <row r="287" spans="1:3" ht="15" thickBot="1">
      <c r="A287" s="3" t="s">
        <v>853</v>
      </c>
      <c r="B287" s="3" t="s">
        <v>19</v>
      </c>
      <c r="C287" s="4">
        <v>4</v>
      </c>
    </row>
    <row r="288" spans="1:3" ht="15" thickBot="1">
      <c r="A288" s="3" t="s">
        <v>39</v>
      </c>
      <c r="B288" s="3" t="s">
        <v>19</v>
      </c>
      <c r="C288" s="4">
        <v>1</v>
      </c>
    </row>
    <row r="289" spans="1:3" ht="15" thickBot="1">
      <c r="A289" s="3" t="s">
        <v>2985</v>
      </c>
      <c r="B289" s="3" t="s">
        <v>61</v>
      </c>
      <c r="C289" s="4">
        <v>1</v>
      </c>
    </row>
    <row r="290" spans="1:3" ht="15" thickBot="1">
      <c r="A290" s="3" t="s">
        <v>1157</v>
      </c>
      <c r="B290" s="3" t="s">
        <v>19</v>
      </c>
      <c r="C290" s="4">
        <v>1</v>
      </c>
    </row>
    <row r="291" spans="1:3" ht="15" thickBot="1">
      <c r="A291" s="3" t="s">
        <v>434</v>
      </c>
      <c r="B291" s="3" t="s">
        <v>61</v>
      </c>
      <c r="C291" s="4">
        <v>1</v>
      </c>
    </row>
    <row r="292" spans="1:3" ht="15" thickBot="1">
      <c r="A292" s="3" t="s">
        <v>593</v>
      </c>
      <c r="B292" s="3" t="s">
        <v>19</v>
      </c>
      <c r="C292" s="4">
        <v>14</v>
      </c>
    </row>
    <row r="293" spans="1:3" ht="15" thickBot="1">
      <c r="A293" s="3" t="s">
        <v>1773</v>
      </c>
      <c r="B293" s="3" t="s">
        <v>32</v>
      </c>
      <c r="C293" s="4">
        <v>4</v>
      </c>
    </row>
    <row r="294" spans="1:3" ht="15" thickBot="1">
      <c r="A294" s="3" t="s">
        <v>2986</v>
      </c>
      <c r="B294" s="3" t="s">
        <v>2372</v>
      </c>
      <c r="C294" s="4">
        <v>4</v>
      </c>
    </row>
    <row r="295" spans="1:3" ht="15" thickBot="1">
      <c r="A295" s="3" t="s">
        <v>569</v>
      </c>
      <c r="B295" s="3" t="s">
        <v>24</v>
      </c>
      <c r="C295" s="4">
        <v>10</v>
      </c>
    </row>
    <row r="296" spans="1:3" ht="15" thickBot="1">
      <c r="A296" s="3" t="s">
        <v>759</v>
      </c>
      <c r="B296" s="3" t="s">
        <v>24</v>
      </c>
      <c r="C296" s="4">
        <v>2</v>
      </c>
    </row>
    <row r="297" spans="1:3" ht="15" thickBot="1">
      <c r="A297" s="3" t="s">
        <v>953</v>
      </c>
      <c r="B297" s="3" t="s">
        <v>26</v>
      </c>
      <c r="C297" s="4">
        <v>3</v>
      </c>
    </row>
    <row r="298" spans="1:3" ht="15" thickBot="1">
      <c r="A298" s="3" t="s">
        <v>2455</v>
      </c>
      <c r="B298" s="3" t="s">
        <v>1802</v>
      </c>
      <c r="C298" s="4">
        <v>6</v>
      </c>
    </row>
    <row r="299" spans="1:3" ht="15" thickBot="1">
      <c r="A299" s="3" t="s">
        <v>2987</v>
      </c>
      <c r="B299" s="3" t="s">
        <v>2359</v>
      </c>
      <c r="C299" s="4">
        <v>1</v>
      </c>
    </row>
    <row r="300" spans="1:3" ht="15" thickBot="1">
      <c r="A300" s="3" t="s">
        <v>2988</v>
      </c>
      <c r="B300" s="3" t="s">
        <v>2359</v>
      </c>
      <c r="C300" s="4">
        <v>1</v>
      </c>
    </row>
    <row r="301" spans="1:3" ht="15" thickBot="1">
      <c r="A301" s="3" t="s">
        <v>348</v>
      </c>
      <c r="B301" s="3" t="s">
        <v>26</v>
      </c>
      <c r="C301" s="4">
        <v>1</v>
      </c>
    </row>
    <row r="302" spans="1:3" ht="15" thickBot="1">
      <c r="A302" s="3" t="s">
        <v>461</v>
      </c>
      <c r="B302" s="3" t="s">
        <v>26</v>
      </c>
      <c r="C302" s="4">
        <v>6</v>
      </c>
    </row>
    <row r="303" spans="1:3" ht="15" thickBot="1">
      <c r="A303" s="3" t="s">
        <v>2467</v>
      </c>
      <c r="B303" s="3" t="s">
        <v>2359</v>
      </c>
      <c r="C303" s="4">
        <v>1</v>
      </c>
    </row>
    <row r="304" spans="1:3" ht="15" thickBot="1">
      <c r="A304" s="3" t="s">
        <v>1109</v>
      </c>
      <c r="B304" s="3" t="s">
        <v>61</v>
      </c>
      <c r="C304" s="4">
        <v>3</v>
      </c>
    </row>
    <row r="305" spans="1:3" ht="15" thickBot="1">
      <c r="A305" s="3" t="s">
        <v>766</v>
      </c>
      <c r="B305" s="3" t="s">
        <v>22</v>
      </c>
      <c r="C305" s="4">
        <v>1</v>
      </c>
    </row>
    <row r="306" spans="1:3" ht="15" thickBot="1">
      <c r="A306" s="3" t="s">
        <v>2607</v>
      </c>
      <c r="B306" s="3" t="s">
        <v>32</v>
      </c>
      <c r="C306" s="4">
        <v>1</v>
      </c>
    </row>
    <row r="307" spans="1:3" ht="15" thickBot="1">
      <c r="A307" s="3" t="s">
        <v>1245</v>
      </c>
      <c r="B307" s="3" t="s">
        <v>32</v>
      </c>
      <c r="C307" s="4">
        <v>1</v>
      </c>
    </row>
    <row r="308" spans="1:3" ht="15" thickBot="1">
      <c r="A308" s="3" t="s">
        <v>325</v>
      </c>
      <c r="B308" s="3" t="s">
        <v>61</v>
      </c>
      <c r="C308" s="4">
        <v>6</v>
      </c>
    </row>
    <row r="309" spans="1:3" ht="15" thickBot="1">
      <c r="A309" s="3" t="s">
        <v>311</v>
      </c>
      <c r="B309" s="3" t="s">
        <v>2359</v>
      </c>
      <c r="C309" s="4">
        <v>1</v>
      </c>
    </row>
    <row r="310" spans="1:3" ht="15" thickBot="1">
      <c r="A310" s="3" t="s">
        <v>2472</v>
      </c>
      <c r="B310" s="3" t="s">
        <v>61</v>
      </c>
      <c r="C310" s="4">
        <v>1</v>
      </c>
    </row>
    <row r="311" spans="1:3" ht="15" thickBot="1">
      <c r="A311" s="3" t="s">
        <v>2989</v>
      </c>
      <c r="B311" s="3" t="s">
        <v>2372</v>
      </c>
      <c r="C311" s="4">
        <v>2</v>
      </c>
    </row>
    <row r="312" spans="1:3" ht="15" thickBot="1">
      <c r="A312" s="3" t="s">
        <v>605</v>
      </c>
      <c r="B312" s="3" t="s">
        <v>1802</v>
      </c>
      <c r="C312" s="4">
        <v>11</v>
      </c>
    </row>
    <row r="313" spans="1:3" ht="15" thickBot="1">
      <c r="A313" s="3" t="s">
        <v>666</v>
      </c>
      <c r="B313" s="3" t="s">
        <v>32</v>
      </c>
      <c r="C313" s="4">
        <v>1</v>
      </c>
    </row>
    <row r="314" spans="1:3" ht="15" thickBot="1">
      <c r="A314" s="3" t="s">
        <v>286</v>
      </c>
      <c r="B314" s="3" t="s">
        <v>118</v>
      </c>
      <c r="C314" s="4">
        <v>8</v>
      </c>
    </row>
    <row r="315" spans="1:3" ht="15" thickBot="1">
      <c r="A315" s="3" t="s">
        <v>2990</v>
      </c>
      <c r="B315" s="3" t="s">
        <v>24</v>
      </c>
      <c r="C315" s="4">
        <v>1</v>
      </c>
    </row>
    <row r="316" spans="1:3" ht="15" thickBot="1">
      <c r="A316" s="3" t="s">
        <v>1215</v>
      </c>
      <c r="B316" s="3" t="s">
        <v>26</v>
      </c>
      <c r="C316" s="4">
        <v>1</v>
      </c>
    </row>
    <row r="317" spans="1:3" ht="15" thickBot="1">
      <c r="A317" s="3" t="s">
        <v>1953</v>
      </c>
      <c r="B317" s="3" t="s">
        <v>24</v>
      </c>
      <c r="C317" s="4">
        <v>1</v>
      </c>
    </row>
    <row r="318" spans="1:3" ht="15" thickBot="1">
      <c r="A318" s="3" t="s">
        <v>2750</v>
      </c>
      <c r="B318" s="3" t="s">
        <v>34</v>
      </c>
      <c r="C318" s="4">
        <v>1</v>
      </c>
    </row>
    <row r="319" spans="1:3" ht="15" thickBot="1">
      <c r="A319" s="3" t="s">
        <v>2991</v>
      </c>
      <c r="B319" s="3" t="s">
        <v>24</v>
      </c>
      <c r="C319" s="4">
        <v>1</v>
      </c>
    </row>
    <row r="320" spans="1:3" ht="15" thickBot="1">
      <c r="A320" s="3" t="s">
        <v>1038</v>
      </c>
      <c r="B320" s="3" t="s">
        <v>2365</v>
      </c>
      <c r="C320" s="4">
        <v>2</v>
      </c>
    </row>
    <row r="321" spans="1:3" ht="15" thickBot="1">
      <c r="A321" s="3" t="s">
        <v>2992</v>
      </c>
      <c r="B321" s="3" t="s">
        <v>24</v>
      </c>
      <c r="C321" s="4">
        <v>1</v>
      </c>
    </row>
    <row r="322" spans="1:3" ht="15" thickBot="1">
      <c r="A322" s="3" t="s">
        <v>249</v>
      </c>
      <c r="B322" s="3" t="s">
        <v>19</v>
      </c>
      <c r="C322" s="4">
        <v>1</v>
      </c>
    </row>
    <row r="323" spans="1:3" ht="15" thickBot="1">
      <c r="A323" s="3" t="s">
        <v>671</v>
      </c>
      <c r="B323" s="3" t="s">
        <v>2365</v>
      </c>
      <c r="C323" s="4">
        <v>2</v>
      </c>
    </row>
    <row r="324" spans="1:3" ht="15" thickBot="1">
      <c r="A324" s="3" t="s">
        <v>613</v>
      </c>
      <c r="B324" s="3" t="s">
        <v>34</v>
      </c>
      <c r="C324" s="4">
        <v>3</v>
      </c>
    </row>
    <row r="325" spans="1:3" ht="15" thickBot="1">
      <c r="A325" s="3" t="s">
        <v>2379</v>
      </c>
      <c r="B325" s="3" t="s">
        <v>1805</v>
      </c>
      <c r="C325" s="4">
        <v>1</v>
      </c>
    </row>
    <row r="326" spans="1:3" ht="15" thickBot="1">
      <c r="A326" s="3" t="s">
        <v>627</v>
      </c>
      <c r="B326" s="3" t="s">
        <v>1805</v>
      </c>
      <c r="C326" s="4">
        <v>2</v>
      </c>
    </row>
    <row r="327" spans="1:3" ht="15" thickBot="1">
      <c r="A327" s="3" t="s">
        <v>28</v>
      </c>
      <c r="B327" s="3" t="s">
        <v>24</v>
      </c>
      <c r="C327" s="4">
        <v>4</v>
      </c>
    </row>
    <row r="328" spans="1:3" ht="15" thickBot="1">
      <c r="A328" s="3" t="s">
        <v>2367</v>
      </c>
      <c r="B328" s="3" t="s">
        <v>32</v>
      </c>
      <c r="C328" s="4">
        <v>4</v>
      </c>
    </row>
    <row r="329" spans="1:3" ht="15" thickBot="1">
      <c r="A329" s="3" t="s">
        <v>1315</v>
      </c>
      <c r="B329" s="3" t="s">
        <v>1805</v>
      </c>
      <c r="C329" s="4">
        <v>1</v>
      </c>
    </row>
    <row r="330" spans="1:3" ht="15" thickBot="1">
      <c r="A330" s="3" t="s">
        <v>2993</v>
      </c>
      <c r="B330" s="3" t="s">
        <v>61</v>
      </c>
      <c r="C330" s="4">
        <v>1</v>
      </c>
    </row>
    <row r="331" spans="1:3" ht="15" thickBot="1">
      <c r="A331" s="3" t="s">
        <v>430</v>
      </c>
      <c r="B331" s="3" t="s">
        <v>1802</v>
      </c>
      <c r="C331" s="4">
        <v>6</v>
      </c>
    </row>
    <row r="332" spans="1:3" ht="15" thickBot="1">
      <c r="A332" s="3" t="s">
        <v>74</v>
      </c>
      <c r="B332" s="3" t="s">
        <v>1802</v>
      </c>
      <c r="C332" s="4">
        <v>16</v>
      </c>
    </row>
    <row r="333" spans="1:3" ht="15" thickBot="1">
      <c r="A333" s="3" t="s">
        <v>2079</v>
      </c>
      <c r="B333" s="3" t="s">
        <v>2372</v>
      </c>
      <c r="C333" s="4">
        <v>1</v>
      </c>
    </row>
    <row r="334" spans="1:3" ht="15" thickBot="1">
      <c r="A334" s="3" t="s">
        <v>1287</v>
      </c>
      <c r="B334" s="3" t="s">
        <v>34</v>
      </c>
      <c r="C334" s="4">
        <v>1</v>
      </c>
    </row>
    <row r="335" spans="1:3" ht="15" thickBot="1">
      <c r="A335" s="3" t="s">
        <v>2092</v>
      </c>
      <c r="B335" s="3" t="s">
        <v>2372</v>
      </c>
      <c r="C335" s="4">
        <v>3</v>
      </c>
    </row>
    <row r="336" spans="1:3" ht="15" thickBot="1">
      <c r="A336" s="3" t="s">
        <v>624</v>
      </c>
      <c r="B336" s="3" t="s">
        <v>2382</v>
      </c>
      <c r="C336" s="4">
        <v>7</v>
      </c>
    </row>
    <row r="337" spans="1:3" ht="15" thickBot="1">
      <c r="A337" s="3" t="s">
        <v>1115</v>
      </c>
      <c r="B337" s="3" t="s">
        <v>61</v>
      </c>
      <c r="C337" s="4">
        <v>7</v>
      </c>
    </row>
    <row r="338" spans="1:3" ht="15" thickBot="1">
      <c r="A338" s="3" t="s">
        <v>1154</v>
      </c>
      <c r="B338" s="3" t="s">
        <v>19</v>
      </c>
      <c r="C338" s="4">
        <v>6</v>
      </c>
    </row>
    <row r="339" spans="1:3" ht="15" thickBot="1">
      <c r="A339" s="3" t="s">
        <v>1739</v>
      </c>
      <c r="B339" s="3" t="s">
        <v>19</v>
      </c>
      <c r="C339" s="4">
        <v>3</v>
      </c>
    </row>
    <row r="340" spans="1:3" ht="15" thickBot="1">
      <c r="A340" s="3" t="s">
        <v>2994</v>
      </c>
      <c r="B340" s="3" t="s">
        <v>19</v>
      </c>
      <c r="C340" s="4">
        <v>1</v>
      </c>
    </row>
    <row r="341" spans="1:3" ht="15" thickBot="1">
      <c r="A341" s="3" t="s">
        <v>1767</v>
      </c>
      <c r="B341" s="3" t="s">
        <v>2359</v>
      </c>
      <c r="C341" s="4">
        <v>2</v>
      </c>
    </row>
    <row r="342" spans="1:3" ht="15" thickBot="1">
      <c r="A342" s="3" t="s">
        <v>2017</v>
      </c>
      <c r="B342" s="3" t="s">
        <v>2372</v>
      </c>
      <c r="C342" s="4">
        <v>2</v>
      </c>
    </row>
    <row r="343" spans="1:3" ht="15" thickBot="1">
      <c r="A343" s="3" t="s">
        <v>232</v>
      </c>
      <c r="B343" s="3" t="s">
        <v>1805</v>
      </c>
      <c r="C343" s="4">
        <v>3</v>
      </c>
    </row>
    <row r="344" spans="1:3" ht="15" thickBot="1">
      <c r="A344" s="3" t="s">
        <v>977</v>
      </c>
      <c r="B344" s="3" t="s">
        <v>1802</v>
      </c>
      <c r="C344" s="4">
        <v>5</v>
      </c>
    </row>
    <row r="345" spans="1:3" ht="15" thickBot="1">
      <c r="A345" s="3" t="s">
        <v>1168</v>
      </c>
      <c r="B345" s="3" t="s">
        <v>125</v>
      </c>
      <c r="C345" s="4">
        <v>2</v>
      </c>
    </row>
    <row r="346" spans="1:3" ht="15" thickBot="1">
      <c r="A346" s="3" t="s">
        <v>2995</v>
      </c>
      <c r="B346" s="3" t="s">
        <v>34</v>
      </c>
      <c r="C346" s="4">
        <v>1</v>
      </c>
    </row>
    <row r="347" spans="1:3" ht="15" thickBot="1">
      <c r="A347" s="3" t="s">
        <v>582</v>
      </c>
      <c r="B347" s="3" t="s">
        <v>19</v>
      </c>
      <c r="C347" s="4">
        <v>1</v>
      </c>
    </row>
    <row r="348" spans="1:3" ht="15" thickBot="1">
      <c r="A348" s="3" t="s">
        <v>2996</v>
      </c>
      <c r="B348" s="3" t="s">
        <v>24</v>
      </c>
      <c r="C348" s="4">
        <v>1</v>
      </c>
    </row>
    <row r="349" spans="1:3" ht="15" thickBot="1">
      <c r="A349" s="3" t="s">
        <v>99</v>
      </c>
      <c r="B349" s="3" t="s">
        <v>125</v>
      </c>
      <c r="C349" s="4">
        <v>3</v>
      </c>
    </row>
    <row r="350" spans="1:3" ht="15" thickBot="1">
      <c r="A350" s="3" t="s">
        <v>2783</v>
      </c>
      <c r="B350" s="3" t="s">
        <v>34</v>
      </c>
      <c r="C350" s="4">
        <v>1</v>
      </c>
    </row>
    <row r="351" spans="1:3" ht="15" thickBot="1">
      <c r="A351" s="3" t="s">
        <v>1995</v>
      </c>
      <c r="B351" s="3" t="s">
        <v>34</v>
      </c>
      <c r="C351" s="4">
        <v>1</v>
      </c>
    </row>
    <row r="352" spans="1:3" ht="15" thickBot="1">
      <c r="A352" s="3" t="s">
        <v>1127</v>
      </c>
      <c r="B352" s="3" t="s">
        <v>61</v>
      </c>
      <c r="C352" s="4">
        <v>2</v>
      </c>
    </row>
    <row r="353" spans="1:3" ht="15" thickBot="1">
      <c r="A353" s="3" t="s">
        <v>2997</v>
      </c>
      <c r="B353" s="3" t="s">
        <v>34</v>
      </c>
      <c r="C353" s="4">
        <v>1</v>
      </c>
    </row>
    <row r="354" spans="1:3" ht="15" thickBot="1">
      <c r="A354" s="3" t="s">
        <v>1478</v>
      </c>
      <c r="B354" s="3" t="s">
        <v>34</v>
      </c>
      <c r="C354" s="4">
        <v>2</v>
      </c>
    </row>
    <row r="355" spans="1:3" ht="15" thickBot="1">
      <c r="A355" s="3" t="s">
        <v>2001</v>
      </c>
      <c r="B355" s="3" t="s">
        <v>125</v>
      </c>
      <c r="C355" s="4">
        <v>6</v>
      </c>
    </row>
    <row r="356" spans="1:3" ht="15" thickBot="1">
      <c r="A356" s="3" t="s">
        <v>383</v>
      </c>
      <c r="B356" s="3" t="s">
        <v>34</v>
      </c>
      <c r="C356" s="4">
        <v>5</v>
      </c>
    </row>
    <row r="357" spans="1:3" ht="15" thickBot="1">
      <c r="A357" s="3" t="s">
        <v>2230</v>
      </c>
      <c r="B357" s="3" t="s">
        <v>24</v>
      </c>
      <c r="C357" s="4">
        <v>1</v>
      </c>
    </row>
    <row r="358" spans="1:3" ht="15" thickBot="1">
      <c r="A358" s="3" t="s">
        <v>2998</v>
      </c>
      <c r="B358" s="3" t="s">
        <v>2359</v>
      </c>
      <c r="C358" s="4">
        <v>7</v>
      </c>
    </row>
    <row r="359" spans="1:3" ht="15" thickBot="1">
      <c r="A359" s="3" t="s">
        <v>2999</v>
      </c>
      <c r="B359" s="3" t="s">
        <v>2372</v>
      </c>
      <c r="C359" s="4">
        <v>1</v>
      </c>
    </row>
    <row r="360" spans="1:3" ht="15" thickBot="1">
      <c r="A360" s="3" t="s">
        <v>837</v>
      </c>
      <c r="B360" s="3" t="s">
        <v>1802</v>
      </c>
      <c r="C360" s="4">
        <v>1</v>
      </c>
    </row>
    <row r="361" spans="1:3" ht="15" thickBot="1">
      <c r="A361" s="3" t="s">
        <v>665</v>
      </c>
      <c r="B361" s="3" t="s">
        <v>61</v>
      </c>
      <c r="C361" s="4">
        <v>2</v>
      </c>
    </row>
    <row r="362" spans="1:3" ht="15" thickBot="1">
      <c r="A362" s="3" t="s">
        <v>735</v>
      </c>
      <c r="B362" s="3" t="s">
        <v>61</v>
      </c>
      <c r="C362" s="4">
        <v>1</v>
      </c>
    </row>
    <row r="363" spans="1:3" ht="15" thickBot="1">
      <c r="A363" s="3" t="s">
        <v>872</v>
      </c>
      <c r="B363" s="3" t="s">
        <v>22</v>
      </c>
      <c r="C363" s="4">
        <v>9</v>
      </c>
    </row>
    <row r="364" spans="1:3" ht="15" thickBot="1">
      <c r="A364" s="3" t="s">
        <v>1161</v>
      </c>
      <c r="B364" s="3" t="s">
        <v>2420</v>
      </c>
      <c r="C364" s="4">
        <v>1</v>
      </c>
    </row>
    <row r="365" spans="1:3" ht="15" thickBot="1">
      <c r="A365" s="3" t="s">
        <v>459</v>
      </c>
      <c r="B365" s="3" t="s">
        <v>2420</v>
      </c>
      <c r="C365" s="4">
        <v>3</v>
      </c>
    </row>
    <row r="366" spans="1:3" ht="15" thickBot="1">
      <c r="A366" s="3" t="s">
        <v>3000</v>
      </c>
      <c r="B366" s="3" t="s">
        <v>2420</v>
      </c>
      <c r="C366" s="4">
        <v>1</v>
      </c>
    </row>
    <row r="367" spans="1:3" ht="15" thickBot="1">
      <c r="A367" s="3" t="s">
        <v>304</v>
      </c>
      <c r="B367" s="3" t="s">
        <v>125</v>
      </c>
      <c r="C367" s="4">
        <v>4</v>
      </c>
    </row>
    <row r="368" spans="1:3" ht="15" thickBot="1">
      <c r="A368" s="3" t="s">
        <v>100</v>
      </c>
      <c r="B368" s="3" t="s">
        <v>125</v>
      </c>
      <c r="C368" s="4">
        <v>1</v>
      </c>
    </row>
    <row r="369" spans="1:3" ht="15" thickBot="1">
      <c r="A369" s="3" t="s">
        <v>3001</v>
      </c>
      <c r="B369" s="3" t="s">
        <v>125</v>
      </c>
      <c r="C369" s="4">
        <v>1</v>
      </c>
    </row>
    <row r="370" spans="1:3" ht="15" thickBot="1">
      <c r="A370" s="3" t="s">
        <v>210</v>
      </c>
      <c r="B370" s="3" t="s">
        <v>410</v>
      </c>
      <c r="C370" s="4">
        <v>2</v>
      </c>
    </row>
    <row r="371" spans="1:3" ht="15" thickBot="1">
      <c r="A371" s="3" t="s">
        <v>1565</v>
      </c>
      <c r="B371" s="3" t="s">
        <v>2359</v>
      </c>
      <c r="C371" s="4">
        <v>1</v>
      </c>
    </row>
    <row r="372" spans="1:3" ht="15" thickBot="1">
      <c r="A372" s="3" t="s">
        <v>1893</v>
      </c>
      <c r="B372" s="3" t="s">
        <v>2372</v>
      </c>
      <c r="C372" s="4">
        <v>1</v>
      </c>
    </row>
    <row r="373" spans="1:3" ht="15" thickBot="1">
      <c r="A373" s="3" t="s">
        <v>1765</v>
      </c>
      <c r="B373" s="3" t="s">
        <v>2382</v>
      </c>
      <c r="C373" s="4">
        <v>1</v>
      </c>
    </row>
    <row r="374" spans="1:3" ht="15" thickBot="1">
      <c r="A374" s="3" t="s">
        <v>618</v>
      </c>
      <c r="B374" s="3" t="s">
        <v>1802</v>
      </c>
      <c r="C374" s="4">
        <v>3</v>
      </c>
    </row>
    <row r="375" spans="1:3" ht="15" thickBot="1">
      <c r="A375" s="3" t="s">
        <v>1588</v>
      </c>
      <c r="B375" s="3" t="s">
        <v>2359</v>
      </c>
      <c r="C375" s="4">
        <v>3</v>
      </c>
    </row>
    <row r="376" spans="1:3" ht="15" thickBot="1">
      <c r="A376" s="3" t="s">
        <v>279</v>
      </c>
      <c r="B376" s="3" t="s">
        <v>1805</v>
      </c>
      <c r="C376" s="4">
        <v>8</v>
      </c>
    </row>
    <row r="377" spans="1:3" ht="15" thickBot="1">
      <c r="A377" s="3" t="s">
        <v>230</v>
      </c>
      <c r="B377" s="3" t="s">
        <v>61</v>
      </c>
      <c r="C377" s="4">
        <v>8</v>
      </c>
    </row>
    <row r="378" spans="1:3" ht="15" thickBot="1">
      <c r="A378" s="3" t="s">
        <v>1971</v>
      </c>
      <c r="B378" s="3" t="s">
        <v>61</v>
      </c>
      <c r="C378" s="4">
        <v>4</v>
      </c>
    </row>
    <row r="379" spans="1:3" ht="15" thickBot="1">
      <c r="A379" s="3" t="s">
        <v>621</v>
      </c>
      <c r="B379" s="3" t="s">
        <v>2359</v>
      </c>
      <c r="C379" s="4">
        <v>2</v>
      </c>
    </row>
    <row r="380" spans="1:3" ht="15" thickBot="1">
      <c r="A380" s="3" t="s">
        <v>175</v>
      </c>
      <c r="B380" s="3" t="s">
        <v>26</v>
      </c>
      <c r="C380" s="4">
        <v>8</v>
      </c>
    </row>
    <row r="381" spans="1:3" ht="15" thickBot="1">
      <c r="A381" s="3" t="s">
        <v>2979</v>
      </c>
      <c r="B381" s="3" t="s">
        <v>2359</v>
      </c>
      <c r="C381" s="4">
        <v>1</v>
      </c>
    </row>
    <row r="382" spans="1:3" ht="15" thickBot="1">
      <c r="A382" s="3" t="s">
        <v>815</v>
      </c>
      <c r="B382" s="3" t="s">
        <v>1802</v>
      </c>
      <c r="C382" s="4">
        <v>2</v>
      </c>
    </row>
    <row r="383" spans="1:3" ht="15" thickBot="1">
      <c r="A383" s="3" t="s">
        <v>1858</v>
      </c>
      <c r="B383" s="3" t="s">
        <v>26</v>
      </c>
      <c r="C383" s="4">
        <v>1</v>
      </c>
    </row>
    <row r="384" spans="1:3" ht="15" thickBot="1">
      <c r="A384" s="3" t="s">
        <v>2286</v>
      </c>
      <c r="B384" s="3" t="s">
        <v>24</v>
      </c>
      <c r="C384" s="4">
        <v>2</v>
      </c>
    </row>
    <row r="385" spans="1:3" ht="15" thickBot="1">
      <c r="A385" s="3" t="s">
        <v>1152</v>
      </c>
      <c r="B385" s="3" t="s">
        <v>61</v>
      </c>
      <c r="C385" s="4">
        <v>1</v>
      </c>
    </row>
    <row r="386" spans="1:3" ht="15" thickBot="1">
      <c r="A386" s="3" t="s">
        <v>2865</v>
      </c>
      <c r="B386" s="3" t="s">
        <v>1805</v>
      </c>
      <c r="C386" s="4">
        <v>1</v>
      </c>
    </row>
    <row r="387" spans="1:3" ht="15" thickBot="1">
      <c r="A387" s="3" t="s">
        <v>458</v>
      </c>
      <c r="B387" s="3" t="s">
        <v>61</v>
      </c>
      <c r="C387" s="4">
        <v>2</v>
      </c>
    </row>
    <row r="388" spans="1:3" ht="15" thickBot="1">
      <c r="A388" s="3" t="s">
        <v>991</v>
      </c>
      <c r="B388" s="3" t="s">
        <v>2372</v>
      </c>
      <c r="C388" s="4">
        <v>2</v>
      </c>
    </row>
    <row r="389" spans="1:3" ht="15" thickBot="1">
      <c r="A389" s="3" t="s">
        <v>914</v>
      </c>
      <c r="B389" s="3" t="s">
        <v>115</v>
      </c>
      <c r="C389" s="4">
        <v>1</v>
      </c>
    </row>
    <row r="390" spans="1:3" ht="15" thickBot="1">
      <c r="A390" s="3" t="s">
        <v>604</v>
      </c>
      <c r="B390" s="3" t="s">
        <v>1802</v>
      </c>
      <c r="C390" s="4">
        <v>3</v>
      </c>
    </row>
    <row r="391" spans="1:3" ht="15" thickBot="1">
      <c r="A391" s="3" t="s">
        <v>961</v>
      </c>
      <c r="B391" s="3" t="s">
        <v>2372</v>
      </c>
      <c r="C391" s="4">
        <v>1</v>
      </c>
    </row>
    <row r="392" spans="1:3" ht="15" thickBot="1">
      <c r="A392" s="3" t="s">
        <v>572</v>
      </c>
      <c r="B392" s="3" t="s">
        <v>19</v>
      </c>
      <c r="C392" s="4">
        <v>2</v>
      </c>
    </row>
    <row r="393" spans="1:3" ht="15" thickBot="1">
      <c r="A393" s="3" t="s">
        <v>161</v>
      </c>
      <c r="B393" s="3" t="s">
        <v>125</v>
      </c>
      <c r="C393" s="4">
        <v>6</v>
      </c>
    </row>
    <row r="394" spans="1:3" ht="15" thickBot="1">
      <c r="A394" s="3" t="s">
        <v>731</v>
      </c>
      <c r="B394" s="3" t="s">
        <v>2372</v>
      </c>
      <c r="C394" s="4">
        <v>1</v>
      </c>
    </row>
    <row r="395" spans="1:3" ht="15" thickBot="1">
      <c r="A395" s="3" t="s">
        <v>376</v>
      </c>
      <c r="B395" s="3" t="s">
        <v>34</v>
      </c>
      <c r="C395" s="4">
        <v>1</v>
      </c>
    </row>
    <row r="396" spans="1:3" ht="15" thickBot="1">
      <c r="A396" s="3" t="s">
        <v>1281</v>
      </c>
      <c r="B396" s="3" t="s">
        <v>2372</v>
      </c>
      <c r="C396" s="4">
        <v>2</v>
      </c>
    </row>
    <row r="397" spans="1:3" ht="15" thickBot="1">
      <c r="A397" s="3" t="s">
        <v>1131</v>
      </c>
      <c r="B397" s="3" t="s">
        <v>2372</v>
      </c>
      <c r="C397" s="4">
        <v>1</v>
      </c>
    </row>
    <row r="398" spans="1:3" ht="15" thickBot="1">
      <c r="A398" s="3" t="s">
        <v>1093</v>
      </c>
      <c r="B398" s="3" t="s">
        <v>319</v>
      </c>
      <c r="C398" s="4">
        <v>1</v>
      </c>
    </row>
    <row r="399" spans="1:3" ht="15" thickBot="1">
      <c r="A399" s="3" t="s">
        <v>2021</v>
      </c>
      <c r="B399" s="3" t="s">
        <v>61</v>
      </c>
      <c r="C399" s="4">
        <v>3</v>
      </c>
    </row>
    <row r="400" spans="1:3" ht="15" thickBot="1">
      <c r="A400" s="3" t="s">
        <v>322</v>
      </c>
      <c r="B400" s="3" t="s">
        <v>2372</v>
      </c>
      <c r="C400" s="4">
        <v>2</v>
      </c>
    </row>
    <row r="401" spans="1:3" ht="15" thickBot="1">
      <c r="A401" s="3" t="s">
        <v>80</v>
      </c>
      <c r="B401" s="3" t="s">
        <v>2359</v>
      </c>
      <c r="C401" s="4">
        <v>2</v>
      </c>
    </row>
    <row r="402" spans="1:3" ht="15" thickBot="1">
      <c r="A402" s="3" t="s">
        <v>1091</v>
      </c>
      <c r="B402" s="3" t="s">
        <v>2359</v>
      </c>
      <c r="C402" s="4">
        <v>3</v>
      </c>
    </row>
    <row r="403" spans="1:3" ht="15" thickBot="1">
      <c r="A403" s="3" t="s">
        <v>436</v>
      </c>
      <c r="B403" s="3" t="s">
        <v>2372</v>
      </c>
      <c r="C403" s="4">
        <v>2</v>
      </c>
    </row>
    <row r="404" spans="1:3" ht="15" thickBot="1">
      <c r="A404" s="3" t="s">
        <v>654</v>
      </c>
      <c r="B404" s="3" t="s">
        <v>138</v>
      </c>
      <c r="C404" s="4">
        <v>1</v>
      </c>
    </row>
    <row r="405" spans="1:3" ht="15" thickBot="1">
      <c r="A405" s="3" t="s">
        <v>504</v>
      </c>
      <c r="B405" s="3" t="s">
        <v>32</v>
      </c>
      <c r="C405" s="4">
        <v>1</v>
      </c>
    </row>
    <row r="406" spans="1:3" ht="15" thickBot="1">
      <c r="A406" s="3" t="s">
        <v>87</v>
      </c>
      <c r="B406" s="3" t="s">
        <v>61</v>
      </c>
      <c r="C406" s="4">
        <v>7</v>
      </c>
    </row>
    <row r="407" spans="1:3" ht="15" thickBot="1">
      <c r="A407" s="3" t="s">
        <v>973</v>
      </c>
      <c r="B407" s="3" t="s">
        <v>1805</v>
      </c>
      <c r="C407" s="4">
        <v>1</v>
      </c>
    </row>
    <row r="408" spans="1:3" ht="15" thickBot="1">
      <c r="A408" s="3" t="s">
        <v>976</v>
      </c>
      <c r="B408" s="3" t="s">
        <v>2365</v>
      </c>
      <c r="C408" s="4">
        <v>4</v>
      </c>
    </row>
    <row r="409" spans="1:3" ht="15" thickBot="1">
      <c r="A409" s="3" t="s">
        <v>971</v>
      </c>
      <c r="B409" s="3" t="s">
        <v>319</v>
      </c>
      <c r="C409" s="4">
        <v>4</v>
      </c>
    </row>
    <row r="410" spans="1:3" ht="15" thickBot="1">
      <c r="A410" s="3" t="s">
        <v>3002</v>
      </c>
      <c r="B410" s="3" t="s">
        <v>61</v>
      </c>
      <c r="C410" s="4">
        <v>4</v>
      </c>
    </row>
    <row r="411" spans="1:3" ht="15" thickBot="1">
      <c r="A411" s="3" t="s">
        <v>2285</v>
      </c>
      <c r="B411" s="3" t="s">
        <v>2365</v>
      </c>
      <c r="C411" s="4">
        <v>4</v>
      </c>
    </row>
    <row r="412" spans="1:3" ht="15" thickBot="1">
      <c r="A412" s="3" t="s">
        <v>3003</v>
      </c>
      <c r="B412" s="3" t="s">
        <v>24</v>
      </c>
      <c r="C412" s="4">
        <v>4</v>
      </c>
    </row>
    <row r="413" spans="1:3" ht="15" thickBot="1">
      <c r="A413" s="3" t="s">
        <v>2060</v>
      </c>
      <c r="B413" s="3" t="s">
        <v>61</v>
      </c>
      <c r="C413" s="4">
        <v>5</v>
      </c>
    </row>
    <row r="414" spans="1:3" ht="15" thickBot="1">
      <c r="A414" s="3" t="s">
        <v>557</v>
      </c>
      <c r="B414" s="3" t="s">
        <v>1802</v>
      </c>
      <c r="C414" s="4">
        <v>5</v>
      </c>
    </row>
    <row r="415" spans="1:3" ht="15" thickBot="1">
      <c r="A415" s="3" t="s">
        <v>432</v>
      </c>
      <c r="B415" s="3" t="s">
        <v>2372</v>
      </c>
      <c r="C415" s="4">
        <v>4</v>
      </c>
    </row>
    <row r="416" spans="1:3" ht="15" thickBot="1">
      <c r="A416" s="3" t="s">
        <v>972</v>
      </c>
      <c r="B416" s="3" t="s">
        <v>138</v>
      </c>
      <c r="C416" s="4">
        <v>2</v>
      </c>
    </row>
    <row r="417" spans="1:3" ht="15" thickBot="1">
      <c r="A417" s="3" t="s">
        <v>2101</v>
      </c>
      <c r="B417" s="3" t="s">
        <v>2365</v>
      </c>
      <c r="C417" s="4">
        <v>4</v>
      </c>
    </row>
    <row r="418" spans="1:3" ht="15" thickBot="1">
      <c r="A418" s="3" t="s">
        <v>1304</v>
      </c>
      <c r="B418" s="3" t="s">
        <v>32</v>
      </c>
      <c r="C418" s="4">
        <v>5</v>
      </c>
    </row>
    <row r="419" spans="1:3" ht="15" thickBot="1">
      <c r="A419" s="3" t="s">
        <v>46</v>
      </c>
      <c r="B419" s="3" t="s">
        <v>2372</v>
      </c>
      <c r="C419" s="4">
        <v>3</v>
      </c>
    </row>
    <row r="420" spans="1:3" ht="15" thickBot="1">
      <c r="A420" s="3" t="s">
        <v>3004</v>
      </c>
      <c r="B420" s="3" t="s">
        <v>1802</v>
      </c>
      <c r="C420" s="4">
        <v>1</v>
      </c>
    </row>
    <row r="421" spans="1:3" ht="15" thickBot="1">
      <c r="A421" s="3" t="s">
        <v>173</v>
      </c>
      <c r="B421" s="3" t="s">
        <v>138</v>
      </c>
      <c r="C421" s="4">
        <v>9</v>
      </c>
    </row>
    <row r="422" spans="1:3" ht="15" thickBot="1">
      <c r="A422" s="3" t="s">
        <v>234</v>
      </c>
      <c r="B422" s="3" t="s">
        <v>1805</v>
      </c>
      <c r="C422" s="4">
        <v>8</v>
      </c>
    </row>
    <row r="423" spans="1:3" ht="15" thickBot="1">
      <c r="A423" s="3" t="s">
        <v>2015</v>
      </c>
      <c r="B423" s="3" t="s">
        <v>1805</v>
      </c>
      <c r="C423" s="4">
        <v>8</v>
      </c>
    </row>
    <row r="424" spans="1:3" ht="15" thickBot="1">
      <c r="A424" s="3" t="s">
        <v>1370</v>
      </c>
      <c r="B424" s="3" t="s">
        <v>125</v>
      </c>
      <c r="C424" s="4">
        <v>8</v>
      </c>
    </row>
    <row r="425" spans="1:3" ht="15" thickBot="1">
      <c r="A425" s="3" t="s">
        <v>1835</v>
      </c>
      <c r="B425" s="3" t="s">
        <v>138</v>
      </c>
      <c r="C425" s="4">
        <v>1</v>
      </c>
    </row>
    <row r="426" spans="1:3" ht="15" thickBot="1">
      <c r="A426" s="3" t="s">
        <v>3005</v>
      </c>
      <c r="B426" s="3" t="s">
        <v>2372</v>
      </c>
      <c r="C426" s="4">
        <v>1</v>
      </c>
    </row>
    <row r="427" spans="1:3" ht="15" thickBot="1">
      <c r="A427" s="3" t="s">
        <v>209</v>
      </c>
      <c r="B427" s="3" t="s">
        <v>26</v>
      </c>
      <c r="C427" s="4">
        <v>3</v>
      </c>
    </row>
    <row r="428" spans="1:3" ht="15" thickBot="1">
      <c r="A428" s="3" t="s">
        <v>1733</v>
      </c>
      <c r="B428" s="3" t="s">
        <v>2372</v>
      </c>
      <c r="C428" s="4">
        <v>2</v>
      </c>
    </row>
    <row r="429" spans="1:3" ht="15" thickBot="1">
      <c r="A429" s="3" t="s">
        <v>1033</v>
      </c>
      <c r="B429" s="3" t="s">
        <v>26</v>
      </c>
      <c r="C429" s="4">
        <v>2</v>
      </c>
    </row>
    <row r="430" spans="1:3" ht="15" thickBot="1">
      <c r="A430" s="3" t="s">
        <v>23</v>
      </c>
      <c r="B430" s="3" t="s">
        <v>24</v>
      </c>
      <c r="C430" s="4">
        <v>2</v>
      </c>
    </row>
    <row r="431" spans="1:3" ht="15" thickBot="1">
      <c r="A431" s="3" t="s">
        <v>862</v>
      </c>
      <c r="B431" s="3" t="s">
        <v>118</v>
      </c>
      <c r="C431" s="4">
        <v>1</v>
      </c>
    </row>
    <row r="432" spans="1:3" ht="15" thickBot="1">
      <c r="A432" s="3" t="s">
        <v>168</v>
      </c>
      <c r="B432" s="3" t="s">
        <v>61</v>
      </c>
      <c r="C432" s="4">
        <v>6</v>
      </c>
    </row>
    <row r="433" spans="1:3" ht="15" thickBot="1">
      <c r="A433" s="3" t="s">
        <v>3006</v>
      </c>
      <c r="B433" s="3" t="s">
        <v>2372</v>
      </c>
      <c r="C433" s="4">
        <v>1</v>
      </c>
    </row>
    <row r="434" spans="1:3" ht="15" thickBot="1">
      <c r="A434" s="3" t="s">
        <v>81</v>
      </c>
      <c r="B434" s="3" t="s">
        <v>2359</v>
      </c>
      <c r="C434" s="4">
        <v>1</v>
      </c>
    </row>
    <row r="435" spans="1:3" ht="15" thickBot="1">
      <c r="A435" s="3" t="s">
        <v>863</v>
      </c>
      <c r="B435" s="3" t="s">
        <v>1802</v>
      </c>
      <c r="C435" s="4">
        <v>1</v>
      </c>
    </row>
    <row r="436" spans="1:3" ht="15" thickBot="1">
      <c r="A436" s="3" t="s">
        <v>3007</v>
      </c>
      <c r="B436" s="3" t="s">
        <v>2359</v>
      </c>
      <c r="C436" s="4">
        <v>1</v>
      </c>
    </row>
    <row r="437" spans="1:3" ht="15" thickBot="1">
      <c r="A437" s="3" t="s">
        <v>819</v>
      </c>
      <c r="B437" s="3" t="s">
        <v>26</v>
      </c>
      <c r="C437" s="4">
        <v>2</v>
      </c>
    </row>
    <row r="438" spans="1:3" ht="15" thickBot="1">
      <c r="A438" s="3" t="s">
        <v>2425</v>
      </c>
      <c r="B438" s="3" t="s">
        <v>26</v>
      </c>
      <c r="C438" s="4">
        <v>3</v>
      </c>
    </row>
    <row r="439" spans="1:3" ht="15" thickBot="1">
      <c r="A439" s="3" t="s">
        <v>67</v>
      </c>
      <c r="B439" s="3" t="s">
        <v>2359</v>
      </c>
      <c r="C439" s="4">
        <v>3</v>
      </c>
    </row>
    <row r="440" spans="1:3" ht="15" thickBot="1">
      <c r="A440" s="3" t="s">
        <v>667</v>
      </c>
      <c r="B440" s="3" t="s">
        <v>1802</v>
      </c>
      <c r="C440" s="4">
        <v>1</v>
      </c>
    </row>
    <row r="441" spans="1:3" ht="15" thickBot="1">
      <c r="A441" s="3" t="s">
        <v>2114</v>
      </c>
      <c r="B441" s="3" t="s">
        <v>1802</v>
      </c>
      <c r="C441" s="4">
        <v>2</v>
      </c>
    </row>
    <row r="442" spans="1:3" ht="15" thickBot="1">
      <c r="A442" s="3" t="s">
        <v>3008</v>
      </c>
      <c r="B442" s="3" t="s">
        <v>125</v>
      </c>
      <c r="C442" s="4">
        <v>2</v>
      </c>
    </row>
    <row r="443" spans="1:3" ht="15" thickBot="1">
      <c r="A443" s="3" t="s">
        <v>1300</v>
      </c>
      <c r="B443" s="3" t="s">
        <v>61</v>
      </c>
      <c r="C443" s="4">
        <v>2</v>
      </c>
    </row>
    <row r="444" spans="1:3" ht="15" thickBot="1">
      <c r="A444" s="3" t="s">
        <v>784</v>
      </c>
      <c r="B444" s="3" t="s">
        <v>1802</v>
      </c>
      <c r="C444" s="4">
        <v>6</v>
      </c>
    </row>
    <row r="445" spans="1:3" ht="15" thickBot="1">
      <c r="A445" s="3" t="s">
        <v>3009</v>
      </c>
      <c r="B445" s="3" t="s">
        <v>2372</v>
      </c>
      <c r="C445" s="4">
        <v>1</v>
      </c>
    </row>
    <row r="446" spans="1:3" ht="15" thickBot="1">
      <c r="A446" s="3" t="s">
        <v>3010</v>
      </c>
      <c r="B446" s="3" t="s">
        <v>2359</v>
      </c>
      <c r="C446" s="4">
        <v>2</v>
      </c>
    </row>
    <row r="447" spans="1:3" ht="15" thickBot="1">
      <c r="A447" s="3" t="s">
        <v>3011</v>
      </c>
      <c r="B447" s="3" t="s">
        <v>34</v>
      </c>
      <c r="C447" s="4">
        <v>2</v>
      </c>
    </row>
    <row r="448" spans="1:3" ht="15" thickBot="1">
      <c r="A448" s="3" t="s">
        <v>723</v>
      </c>
      <c r="B448" s="3" t="s">
        <v>26</v>
      </c>
      <c r="C448" s="4">
        <v>3</v>
      </c>
    </row>
    <row r="449" spans="1:3" ht="15" thickBot="1">
      <c r="A449" s="3" t="s">
        <v>707</v>
      </c>
      <c r="B449" s="3" t="s">
        <v>2359</v>
      </c>
      <c r="C449" s="4">
        <v>2</v>
      </c>
    </row>
    <row r="450" spans="1:3" ht="15" thickBot="1">
      <c r="A450" s="3" t="s">
        <v>2166</v>
      </c>
      <c r="B450" s="3" t="s">
        <v>34</v>
      </c>
      <c r="C450" s="4">
        <v>2</v>
      </c>
    </row>
    <row r="451" spans="1:3" ht="15" thickBot="1">
      <c r="A451" s="3" t="s">
        <v>1476</v>
      </c>
      <c r="B451" s="3" t="s">
        <v>61</v>
      </c>
      <c r="C451" s="4">
        <v>4</v>
      </c>
    </row>
    <row r="452" spans="1:3" ht="15" thickBot="1">
      <c r="A452" s="3" t="s">
        <v>1566</v>
      </c>
      <c r="B452" s="3" t="s">
        <v>34</v>
      </c>
      <c r="C452" s="4">
        <v>2</v>
      </c>
    </row>
    <row r="453" spans="1:3" ht="15" thickBot="1">
      <c r="A453" s="3" t="s">
        <v>936</v>
      </c>
      <c r="B453" s="3" t="s">
        <v>2372</v>
      </c>
      <c r="C453" s="4">
        <v>2</v>
      </c>
    </row>
    <row r="454" spans="1:3" ht="15" thickBot="1">
      <c r="A454" s="3" t="s">
        <v>955</v>
      </c>
      <c r="B454" s="3" t="s">
        <v>24</v>
      </c>
      <c r="C454" s="4">
        <v>3</v>
      </c>
    </row>
    <row r="455" spans="1:3" ht="15" thickBot="1">
      <c r="A455" s="3" t="s">
        <v>881</v>
      </c>
      <c r="B455" s="3" t="s">
        <v>125</v>
      </c>
      <c r="C455" s="4">
        <v>1</v>
      </c>
    </row>
    <row r="456" spans="1:3" ht="15" thickBot="1">
      <c r="A456" s="3" t="s">
        <v>2690</v>
      </c>
      <c r="B456" s="3" t="s">
        <v>1802</v>
      </c>
      <c r="C456" s="4">
        <v>2</v>
      </c>
    </row>
    <row r="457" spans="1:3" ht="15" thickBot="1">
      <c r="A457" s="3" t="s">
        <v>708</v>
      </c>
      <c r="B457" s="3" t="s">
        <v>2372</v>
      </c>
      <c r="C457" s="4">
        <v>8</v>
      </c>
    </row>
    <row r="458" spans="1:3" ht="15" thickBot="1">
      <c r="A458" s="3" t="s">
        <v>2081</v>
      </c>
      <c r="B458" s="3" t="s">
        <v>61</v>
      </c>
      <c r="C458" s="4">
        <v>2</v>
      </c>
    </row>
    <row r="459" spans="1:3" ht="15" thickBot="1">
      <c r="A459" s="3" t="s">
        <v>2614</v>
      </c>
      <c r="B459" s="3" t="s">
        <v>2359</v>
      </c>
      <c r="C459" s="4">
        <v>1</v>
      </c>
    </row>
    <row r="460" spans="1:3" ht="15" thickBot="1">
      <c r="A460" s="3" t="s">
        <v>285</v>
      </c>
      <c r="B460" s="3" t="s">
        <v>1805</v>
      </c>
      <c r="C460" s="4">
        <v>6</v>
      </c>
    </row>
    <row r="461" spans="1:3" ht="15" thickBot="1">
      <c r="A461" s="3" t="s">
        <v>3012</v>
      </c>
      <c r="B461" s="3" t="s">
        <v>24</v>
      </c>
      <c r="C461" s="4">
        <v>6</v>
      </c>
    </row>
    <row r="462" spans="1:3" ht="15" thickBot="1">
      <c r="A462" s="3" t="s">
        <v>706</v>
      </c>
      <c r="B462" s="3" t="s">
        <v>2420</v>
      </c>
      <c r="C462" s="4">
        <v>5</v>
      </c>
    </row>
    <row r="463" spans="1:3" ht="15" thickBot="1">
      <c r="A463" s="3" t="s">
        <v>1447</v>
      </c>
      <c r="B463" s="3" t="s">
        <v>2365</v>
      </c>
      <c r="C463" s="4">
        <v>5</v>
      </c>
    </row>
    <row r="464" spans="1:3" ht="15" thickBot="1">
      <c r="A464" s="3" t="s">
        <v>1314</v>
      </c>
      <c r="B464" s="3" t="s">
        <v>1805</v>
      </c>
      <c r="C464" s="4">
        <v>1</v>
      </c>
    </row>
    <row r="465" spans="1:3" ht="15" thickBot="1">
      <c r="A465" s="3" t="s">
        <v>893</v>
      </c>
      <c r="B465" s="3" t="s">
        <v>1805</v>
      </c>
      <c r="C465" s="4">
        <v>1</v>
      </c>
    </row>
    <row r="466" spans="1:3" ht="15" thickBot="1">
      <c r="A466" s="3" t="s">
        <v>36</v>
      </c>
      <c r="B466" s="3" t="s">
        <v>32</v>
      </c>
      <c r="C466" s="4">
        <v>3</v>
      </c>
    </row>
    <row r="467" spans="1:3" ht="15" thickBot="1">
      <c r="A467" s="3" t="s">
        <v>3013</v>
      </c>
      <c r="B467" s="3" t="s">
        <v>125</v>
      </c>
      <c r="C467" s="4">
        <v>1</v>
      </c>
    </row>
    <row r="468" spans="1:3" ht="15" thickBot="1">
      <c r="A468" s="3" t="s">
        <v>3014</v>
      </c>
      <c r="B468" s="3" t="s">
        <v>19</v>
      </c>
      <c r="C468" s="4">
        <v>1</v>
      </c>
    </row>
    <row r="469" spans="1:3" ht="15" thickBot="1">
      <c r="A469" s="3" t="s">
        <v>581</v>
      </c>
      <c r="B469" s="3" t="s">
        <v>1805</v>
      </c>
      <c r="C469" s="4">
        <v>3</v>
      </c>
    </row>
    <row r="470" spans="1:3" ht="15" thickBot="1">
      <c r="A470" s="3" t="s">
        <v>699</v>
      </c>
      <c r="B470" s="3" t="s">
        <v>24</v>
      </c>
      <c r="C470" s="4">
        <v>5</v>
      </c>
    </row>
    <row r="471" spans="1:3" ht="15" thickBot="1">
      <c r="A471" s="3" t="s">
        <v>2183</v>
      </c>
      <c r="B471" s="3" t="s">
        <v>24</v>
      </c>
      <c r="C471" s="4">
        <v>1</v>
      </c>
    </row>
    <row r="472" spans="1:3" ht="15" thickBot="1">
      <c r="A472" s="3" t="s">
        <v>1949</v>
      </c>
      <c r="B472" s="3" t="s">
        <v>19</v>
      </c>
      <c r="C472" s="4">
        <v>1</v>
      </c>
    </row>
    <row r="473" spans="1:3" ht="15" thickBot="1">
      <c r="A473" s="3" t="s">
        <v>1974</v>
      </c>
      <c r="B473" s="3" t="s">
        <v>24</v>
      </c>
      <c r="C473" s="4">
        <v>1</v>
      </c>
    </row>
    <row r="474" spans="1:3" ht="15" thickBot="1">
      <c r="A474" s="3" t="s">
        <v>388</v>
      </c>
      <c r="B474" s="3" t="s">
        <v>61</v>
      </c>
      <c r="C474" s="4">
        <v>1</v>
      </c>
    </row>
    <row r="475" spans="1:3" ht="15" thickBot="1">
      <c r="A475" s="3" t="s">
        <v>248</v>
      </c>
      <c r="B475" s="3" t="s">
        <v>32</v>
      </c>
      <c r="C475" s="4">
        <v>1</v>
      </c>
    </row>
    <row r="476" spans="1:3" ht="15" thickBot="1">
      <c r="A476" s="3" t="s">
        <v>3015</v>
      </c>
      <c r="B476" s="3" t="s">
        <v>118</v>
      </c>
      <c r="C476" s="4">
        <v>1</v>
      </c>
    </row>
    <row r="477" spans="1:3" ht="15" thickBot="1">
      <c r="A477" s="3" t="s">
        <v>1124</v>
      </c>
      <c r="B477" s="3" t="s">
        <v>118</v>
      </c>
      <c r="C477" s="4">
        <v>1</v>
      </c>
    </row>
    <row r="478" spans="1:3" ht="15" thickBot="1">
      <c r="A478" s="3" t="s">
        <v>558</v>
      </c>
      <c r="B478" s="3" t="s">
        <v>1805</v>
      </c>
      <c r="C478" s="4">
        <v>1</v>
      </c>
    </row>
    <row r="479" spans="1:3" ht="15" thickBot="1">
      <c r="A479" s="3" t="s">
        <v>486</v>
      </c>
      <c r="B479" s="3" t="s">
        <v>1805</v>
      </c>
      <c r="C479" s="4">
        <v>1</v>
      </c>
    </row>
    <row r="480" spans="1:3" ht="15" thickBot="1">
      <c r="A480" s="3" t="s">
        <v>2450</v>
      </c>
      <c r="B480" s="3" t="s">
        <v>1805</v>
      </c>
      <c r="C480" s="4">
        <v>1</v>
      </c>
    </row>
    <row r="481" spans="1:3" ht="15" thickBot="1">
      <c r="A481" s="3" t="s">
        <v>3016</v>
      </c>
      <c r="B481" s="3" t="s">
        <v>118</v>
      </c>
      <c r="C481" s="4">
        <v>1</v>
      </c>
    </row>
    <row r="482" spans="1:3" ht="15" thickBot="1">
      <c r="A482" s="3" t="s">
        <v>207</v>
      </c>
      <c r="B482" s="3" t="s">
        <v>2359</v>
      </c>
      <c r="C482" s="4">
        <v>3</v>
      </c>
    </row>
    <row r="483" spans="1:3" ht="15" thickBot="1">
      <c r="A483" s="3" t="s">
        <v>119</v>
      </c>
      <c r="B483" s="3" t="s">
        <v>1802</v>
      </c>
      <c r="C483" s="4">
        <v>1</v>
      </c>
    </row>
    <row r="484" spans="1:3" ht="15" thickBot="1">
      <c r="A484" s="3" t="s">
        <v>873</v>
      </c>
      <c r="B484" s="3" t="s">
        <v>1805</v>
      </c>
      <c r="C484" s="4">
        <v>1</v>
      </c>
    </row>
    <row r="485" spans="1:3" ht="15" thickBot="1">
      <c r="A485" s="3" t="s">
        <v>725</v>
      </c>
      <c r="B485" s="3" t="s">
        <v>1802</v>
      </c>
      <c r="C485" s="4">
        <v>2</v>
      </c>
    </row>
    <row r="486" spans="1:3" ht="15" thickBot="1">
      <c r="A486" s="3" t="s">
        <v>917</v>
      </c>
      <c r="B486" s="3" t="s">
        <v>319</v>
      </c>
      <c r="C486" s="4">
        <v>1</v>
      </c>
    </row>
    <row r="487" spans="1:3" ht="15" thickBot="1">
      <c r="A487" s="3" t="s">
        <v>3017</v>
      </c>
      <c r="B487" s="3" t="s">
        <v>125</v>
      </c>
      <c r="C487" s="4">
        <v>1</v>
      </c>
    </row>
    <row r="488" spans="1:3" ht="15" thickBot="1">
      <c r="A488" s="3" t="s">
        <v>712</v>
      </c>
      <c r="B488" s="3" t="s">
        <v>118</v>
      </c>
      <c r="C488" s="4">
        <v>1</v>
      </c>
    </row>
    <row r="489" spans="1:3" ht="15" thickBot="1">
      <c r="A489" s="3" t="s">
        <v>2182</v>
      </c>
      <c r="B489" s="3" t="s">
        <v>24</v>
      </c>
      <c r="C489" s="4">
        <v>1</v>
      </c>
    </row>
    <row r="490" spans="1:3" ht="15" thickBot="1">
      <c r="A490" s="3" t="s">
        <v>413</v>
      </c>
      <c r="B490" s="3" t="s">
        <v>26</v>
      </c>
      <c r="C490" s="4">
        <v>1</v>
      </c>
    </row>
    <row r="491" spans="1:3" ht="15" thickBot="1">
      <c r="A491" s="3" t="s">
        <v>145</v>
      </c>
      <c r="B491" s="3" t="s">
        <v>2382</v>
      </c>
      <c r="C491" s="4">
        <v>1</v>
      </c>
    </row>
    <row r="492" spans="1:3" ht="15" thickBot="1">
      <c r="A492" s="3" t="s">
        <v>749</v>
      </c>
      <c r="B492" s="3" t="s">
        <v>2382</v>
      </c>
      <c r="C492" s="4">
        <v>2</v>
      </c>
    </row>
    <row r="493" spans="1:3" ht="15" thickBot="1">
      <c r="A493" s="3" t="s">
        <v>823</v>
      </c>
      <c r="B493" s="3" t="s">
        <v>24</v>
      </c>
      <c r="C493" s="4">
        <v>2</v>
      </c>
    </row>
    <row r="494" spans="1:3" ht="15" thickBot="1">
      <c r="A494" s="3" t="s">
        <v>717</v>
      </c>
      <c r="B494" s="3" t="s">
        <v>34</v>
      </c>
      <c r="C494" s="4">
        <v>1</v>
      </c>
    </row>
    <row r="495" spans="1:3" ht="15" thickBot="1">
      <c r="A495" s="3" t="s">
        <v>2042</v>
      </c>
      <c r="B495" s="3" t="s">
        <v>2372</v>
      </c>
      <c r="C495" s="4">
        <v>1</v>
      </c>
    </row>
    <row r="496" spans="1:3" ht="15" thickBot="1">
      <c r="A496" s="3" t="s">
        <v>66</v>
      </c>
      <c r="B496" s="3" t="s">
        <v>34</v>
      </c>
      <c r="C496" s="4">
        <v>2</v>
      </c>
    </row>
    <row r="497" spans="1:3" ht="15" thickBot="1">
      <c r="A497" s="3" t="s">
        <v>1195</v>
      </c>
      <c r="B497" s="3" t="s">
        <v>22</v>
      </c>
      <c r="C497" s="4">
        <v>1</v>
      </c>
    </row>
    <row r="498" spans="1:3" ht="15" thickBot="1">
      <c r="A498" s="3" t="s">
        <v>3018</v>
      </c>
      <c r="B498" s="3" t="s">
        <v>4</v>
      </c>
      <c r="C498" s="4">
        <v>1</v>
      </c>
    </row>
    <row r="499" spans="1:3" ht="15" thickBot="1">
      <c r="A499" s="3" t="s">
        <v>3019</v>
      </c>
      <c r="B499" s="3" t="s">
        <v>4</v>
      </c>
      <c r="C499" s="4">
        <v>1</v>
      </c>
    </row>
    <row r="500" spans="1:3" ht="15" thickBot="1">
      <c r="A500" s="3" t="s">
        <v>772</v>
      </c>
      <c r="B500" s="3" t="s">
        <v>4</v>
      </c>
      <c r="C500" s="4">
        <v>1</v>
      </c>
    </row>
    <row r="501" spans="1:3" ht="15" thickBot="1">
      <c r="A501" s="3" t="s">
        <v>1272</v>
      </c>
      <c r="B501" s="3" t="s">
        <v>1810</v>
      </c>
      <c r="C501" s="4">
        <v>1</v>
      </c>
    </row>
    <row r="502" spans="1:3" ht="15" thickBot="1">
      <c r="A502" s="3" t="s">
        <v>1504</v>
      </c>
      <c r="B502" s="3" t="s">
        <v>34</v>
      </c>
      <c r="C502" s="4">
        <v>1</v>
      </c>
    </row>
    <row r="503" spans="1:3" ht="15" thickBot="1">
      <c r="A503" s="3" t="s">
        <v>1474</v>
      </c>
      <c r="B503" s="3" t="s">
        <v>34</v>
      </c>
      <c r="C503" s="4">
        <v>2</v>
      </c>
    </row>
    <row r="504" spans="1:3" ht="15" thickBot="1">
      <c r="A504" s="3" t="s">
        <v>689</v>
      </c>
      <c r="B504" s="3" t="s">
        <v>1802</v>
      </c>
      <c r="C504" s="4">
        <v>1</v>
      </c>
    </row>
    <row r="505" spans="1:3" ht="15" thickBot="1">
      <c r="A505" s="3" t="s">
        <v>2892</v>
      </c>
      <c r="B505" s="3" t="s">
        <v>115</v>
      </c>
      <c r="C505" s="4">
        <v>1</v>
      </c>
    </row>
    <row r="506" spans="1:3" ht="15" thickBot="1">
      <c r="A506" s="3" t="s">
        <v>2008</v>
      </c>
      <c r="B506" s="3" t="s">
        <v>115</v>
      </c>
      <c r="C506" s="4">
        <v>1</v>
      </c>
    </row>
    <row r="507" spans="1:3" ht="15" thickBot="1">
      <c r="A507" s="3" t="s">
        <v>3020</v>
      </c>
      <c r="B507" s="3" t="s">
        <v>115</v>
      </c>
      <c r="C507" s="4">
        <v>1</v>
      </c>
    </row>
    <row r="508" spans="1:3" ht="15" thickBot="1">
      <c r="A508" s="3" t="s">
        <v>3021</v>
      </c>
      <c r="B508" s="3" t="s">
        <v>26</v>
      </c>
      <c r="C508" s="4">
        <v>1</v>
      </c>
    </row>
    <row r="509" spans="1:3" ht="15" thickBot="1">
      <c r="A509" s="3" t="s">
        <v>1558</v>
      </c>
      <c r="B509" s="3" t="s">
        <v>125</v>
      </c>
      <c r="C509" s="4">
        <v>1</v>
      </c>
    </row>
    <row r="510" spans="1:3" ht="15" thickBot="1">
      <c r="A510" s="3" t="s">
        <v>737</v>
      </c>
      <c r="B510" s="3" t="s">
        <v>1802</v>
      </c>
      <c r="C510" s="4">
        <v>1</v>
      </c>
    </row>
    <row r="511" spans="1:3" ht="15" thickBot="1">
      <c r="A511" s="3" t="s">
        <v>399</v>
      </c>
      <c r="B511" s="3" t="s">
        <v>2382</v>
      </c>
      <c r="C511" s="4">
        <v>2</v>
      </c>
    </row>
    <row r="512" spans="1:3" ht="15" thickBot="1">
      <c r="A512" s="3" t="s">
        <v>3022</v>
      </c>
      <c r="B512" s="3" t="s">
        <v>61</v>
      </c>
      <c r="C512" s="4">
        <v>1</v>
      </c>
    </row>
    <row r="513" spans="1:3" ht="15" thickBot="1">
      <c r="A513" s="3" t="s">
        <v>1385</v>
      </c>
      <c r="B513" s="3" t="s">
        <v>2372</v>
      </c>
      <c r="C513" s="4">
        <v>1</v>
      </c>
    </row>
    <row r="514" spans="1:3" ht="15" thickBot="1">
      <c r="A514" s="3" t="s">
        <v>238</v>
      </c>
      <c r="B514" s="3" t="s">
        <v>61</v>
      </c>
      <c r="C514" s="4">
        <v>1</v>
      </c>
    </row>
    <row r="515" spans="1:3" ht="15" thickBot="1">
      <c r="A515" s="3" t="s">
        <v>2195</v>
      </c>
      <c r="B515" s="3" t="s">
        <v>115</v>
      </c>
      <c r="C515" s="4">
        <v>1</v>
      </c>
    </row>
    <row r="516" spans="1:3" ht="15" thickBot="1">
      <c r="A516" s="3" t="s">
        <v>490</v>
      </c>
      <c r="B516" s="3" t="s">
        <v>115</v>
      </c>
      <c r="C516" s="4">
        <v>2</v>
      </c>
    </row>
    <row r="517" spans="1:3" ht="15" thickBot="1">
      <c r="A517" s="3" t="s">
        <v>3023</v>
      </c>
      <c r="B517" s="3" t="s">
        <v>2359</v>
      </c>
      <c r="C517" s="4">
        <v>1</v>
      </c>
    </row>
    <row r="518" spans="1:3" ht="15" thickBot="1">
      <c r="A518" s="3" t="s">
        <v>1307</v>
      </c>
      <c r="B518" s="3" t="s">
        <v>115</v>
      </c>
      <c r="C518" s="4">
        <v>1</v>
      </c>
    </row>
    <row r="519" spans="1:3" ht="15" thickBot="1">
      <c r="A519" s="3" t="s">
        <v>358</v>
      </c>
      <c r="B519" s="3" t="s">
        <v>34</v>
      </c>
      <c r="C519" s="4">
        <v>4</v>
      </c>
    </row>
    <row r="520" spans="1:3" ht="15" thickBot="1">
      <c r="A520" s="3" t="s">
        <v>1202</v>
      </c>
      <c r="B520" s="3" t="s">
        <v>115</v>
      </c>
      <c r="C520" s="4">
        <v>1</v>
      </c>
    </row>
    <row r="521" spans="1:3" ht="15" thickBot="1">
      <c r="A521" s="3" t="s">
        <v>1979</v>
      </c>
      <c r="B521" s="3" t="s">
        <v>34</v>
      </c>
      <c r="C521" s="4">
        <v>1</v>
      </c>
    </row>
    <row r="522" spans="1:3" ht="15" thickBot="1">
      <c r="A522" s="3" t="s">
        <v>450</v>
      </c>
      <c r="B522" s="3" t="s">
        <v>2382</v>
      </c>
      <c r="C522" s="4">
        <v>3</v>
      </c>
    </row>
    <row r="523" spans="1:3" ht="15" thickBot="1">
      <c r="A523" s="3" t="s">
        <v>844</v>
      </c>
      <c r="B523" s="3" t="s">
        <v>34</v>
      </c>
      <c r="C523" s="4">
        <v>1</v>
      </c>
    </row>
    <row r="524" spans="1:3" ht="15" thickBot="1">
      <c r="A524" s="3" t="s">
        <v>251</v>
      </c>
      <c r="B524" s="3" t="s">
        <v>1805</v>
      </c>
      <c r="C524" s="4">
        <v>4</v>
      </c>
    </row>
    <row r="525" spans="1:3" ht="15" thickBot="1">
      <c r="A525" s="3" t="s">
        <v>283</v>
      </c>
      <c r="B525" s="3" t="s">
        <v>19</v>
      </c>
      <c r="C525" s="4">
        <v>1</v>
      </c>
    </row>
    <row r="526" spans="1:3" ht="15" thickBot="1">
      <c r="A526" s="3" t="s">
        <v>904</v>
      </c>
      <c r="B526" s="3" t="s">
        <v>2372</v>
      </c>
      <c r="C526" s="4">
        <v>1</v>
      </c>
    </row>
    <row r="527" spans="1:3" ht="15" thickBot="1">
      <c r="A527" s="3" t="s">
        <v>1815</v>
      </c>
      <c r="B527" s="3" t="s">
        <v>26</v>
      </c>
      <c r="C527" s="4">
        <v>2</v>
      </c>
    </row>
    <row r="528" spans="1:3" ht="15" thickBot="1">
      <c r="A528" s="3" t="s">
        <v>1453</v>
      </c>
      <c r="B528" s="3" t="s">
        <v>26</v>
      </c>
      <c r="C528" s="4">
        <v>1</v>
      </c>
    </row>
    <row r="529" spans="1:3" ht="15" thickBot="1">
      <c r="A529" s="3" t="s">
        <v>2148</v>
      </c>
      <c r="B529" s="3" t="s">
        <v>2420</v>
      </c>
      <c r="C529" s="4">
        <v>1</v>
      </c>
    </row>
    <row r="530" spans="1:3" ht="15" thickBot="1">
      <c r="A530" s="3" t="s">
        <v>3024</v>
      </c>
      <c r="B530" s="3" t="s">
        <v>26</v>
      </c>
      <c r="C530" s="4">
        <v>1</v>
      </c>
    </row>
    <row r="531" spans="1:3" ht="15" thickBot="1">
      <c r="A531" s="3" t="s">
        <v>1650</v>
      </c>
      <c r="B531" s="3" t="s">
        <v>2420</v>
      </c>
      <c r="C531" s="4">
        <v>1</v>
      </c>
    </row>
    <row r="532" spans="1:3" ht="15" thickBot="1">
      <c r="A532" s="3" t="s">
        <v>1756</v>
      </c>
      <c r="B532" s="3" t="s">
        <v>118</v>
      </c>
      <c r="C532" s="4">
        <v>1</v>
      </c>
    </row>
    <row r="533" spans="1:3" ht="15" thickBot="1">
      <c r="A533" s="3" t="s">
        <v>2225</v>
      </c>
      <c r="B533" s="3" t="s">
        <v>125</v>
      </c>
      <c r="C533" s="4">
        <v>1</v>
      </c>
    </row>
    <row r="534" spans="1:3" ht="15" thickBot="1">
      <c r="A534" s="3" t="s">
        <v>1721</v>
      </c>
      <c r="B534" s="3" t="s">
        <v>1802</v>
      </c>
      <c r="C534" s="4">
        <v>1</v>
      </c>
    </row>
    <row r="535" spans="1:3" ht="15" thickBot="1">
      <c r="A535" s="3" t="s">
        <v>781</v>
      </c>
      <c r="B535" s="3" t="s">
        <v>125</v>
      </c>
      <c r="C535" s="4">
        <v>2</v>
      </c>
    </row>
    <row r="536" spans="1:3" ht="15" thickBot="1">
      <c r="A536" s="3" t="s">
        <v>377</v>
      </c>
      <c r="B536" s="3" t="s">
        <v>61</v>
      </c>
      <c r="C536" s="4">
        <v>3</v>
      </c>
    </row>
    <row r="537" spans="1:3" ht="15" thickBot="1">
      <c r="A537" s="3" t="s">
        <v>1727</v>
      </c>
      <c r="B537" s="3" t="s">
        <v>125</v>
      </c>
      <c r="C537" s="4">
        <v>1</v>
      </c>
    </row>
    <row r="538" spans="1:3" ht="15" thickBot="1">
      <c r="A538" s="3" t="s">
        <v>767</v>
      </c>
      <c r="B538" s="3" t="s">
        <v>125</v>
      </c>
      <c r="C538" s="4">
        <v>2</v>
      </c>
    </row>
    <row r="539" spans="1:3" ht="15" thickBot="1">
      <c r="A539" s="3" t="s">
        <v>2078</v>
      </c>
      <c r="B539" s="3" t="s">
        <v>125</v>
      </c>
      <c r="C539" s="4">
        <v>2</v>
      </c>
    </row>
    <row r="540" spans="1:3" ht="15" thickBot="1">
      <c r="A540" s="3" t="s">
        <v>1334</v>
      </c>
      <c r="B540" s="3" t="s">
        <v>125</v>
      </c>
      <c r="C540" s="4">
        <v>1</v>
      </c>
    </row>
    <row r="541" spans="1:3" ht="15" thickBot="1">
      <c r="A541" s="3" t="s">
        <v>650</v>
      </c>
      <c r="B541" s="3" t="s">
        <v>2372</v>
      </c>
      <c r="C541" s="4">
        <v>2</v>
      </c>
    </row>
    <row r="542" spans="1:3" ht="15" thickBot="1">
      <c r="A542" s="3" t="s">
        <v>40</v>
      </c>
      <c r="B542" s="3" t="s">
        <v>19</v>
      </c>
      <c r="C542" s="4">
        <v>1</v>
      </c>
    </row>
    <row r="543" spans="1:3" ht="15" thickBot="1">
      <c r="A543" s="3" t="s">
        <v>2429</v>
      </c>
      <c r="B543" s="3" t="s">
        <v>19</v>
      </c>
      <c r="C543" s="4">
        <v>1</v>
      </c>
    </row>
    <row r="544" spans="1:3" ht="15" thickBot="1">
      <c r="A544" s="3" t="s">
        <v>3025</v>
      </c>
      <c r="B544" s="3" t="s">
        <v>26</v>
      </c>
      <c r="C544" s="4">
        <v>1</v>
      </c>
    </row>
    <row r="545" spans="1:3" ht="15" thickBot="1">
      <c r="A545" s="3" t="s">
        <v>736</v>
      </c>
      <c r="B545" s="3" t="s">
        <v>2382</v>
      </c>
      <c r="C545" s="4">
        <v>2</v>
      </c>
    </row>
    <row r="546" spans="1:3" ht="15" thickBot="1">
      <c r="A546" s="3" t="s">
        <v>3026</v>
      </c>
      <c r="B546" s="3" t="s">
        <v>19</v>
      </c>
      <c r="C546" s="4">
        <v>1</v>
      </c>
    </row>
    <row r="547" spans="1:3" ht="15" thickBot="1">
      <c r="A547" s="3" t="s">
        <v>3027</v>
      </c>
      <c r="B547" s="3" t="s">
        <v>410</v>
      </c>
      <c r="C547" s="4">
        <v>1</v>
      </c>
    </row>
    <row r="548" spans="1:3" ht="15" thickBot="1">
      <c r="A548" s="3" t="s">
        <v>309</v>
      </c>
      <c r="B548" s="3" t="s">
        <v>34</v>
      </c>
      <c r="C548" s="4">
        <v>1</v>
      </c>
    </row>
    <row r="549" spans="1:3" ht="15" thickBot="1">
      <c r="A549" s="3" t="s">
        <v>1538</v>
      </c>
      <c r="B549" s="3" t="s">
        <v>61</v>
      </c>
      <c r="C549" s="4">
        <v>1</v>
      </c>
    </row>
    <row r="550" spans="1:3" ht="15" thickBot="1">
      <c r="A550" s="3" t="s">
        <v>866</v>
      </c>
      <c r="B550" s="3" t="s">
        <v>125</v>
      </c>
      <c r="C550" s="4">
        <v>1</v>
      </c>
    </row>
    <row r="551" spans="1:3" ht="15" thickBot="1">
      <c r="A551" s="3" t="s">
        <v>2260</v>
      </c>
      <c r="B551" s="3" t="s">
        <v>125</v>
      </c>
      <c r="C551" s="4">
        <v>1</v>
      </c>
    </row>
    <row r="552" spans="1:3" ht="15" thickBot="1">
      <c r="A552" s="3" t="s">
        <v>3028</v>
      </c>
      <c r="B552" s="3" t="s">
        <v>2382</v>
      </c>
      <c r="C552" s="4">
        <v>1</v>
      </c>
    </row>
    <row r="553" spans="1:3" ht="15" thickBot="1">
      <c r="A553" s="3" t="s">
        <v>380</v>
      </c>
      <c r="B553" s="3" t="s">
        <v>2372</v>
      </c>
      <c r="C553" s="4">
        <v>1</v>
      </c>
    </row>
    <row r="554" spans="1:3" ht="15" thickBot="1">
      <c r="A554" s="3" t="s">
        <v>994</v>
      </c>
      <c r="B554" s="3" t="s">
        <v>125</v>
      </c>
      <c r="C554" s="4">
        <v>1</v>
      </c>
    </row>
    <row r="555" spans="1:3" ht="15" thickBot="1">
      <c r="A555" s="3" t="s">
        <v>1901</v>
      </c>
      <c r="B555" s="3" t="s">
        <v>125</v>
      </c>
      <c r="C555" s="4">
        <v>1</v>
      </c>
    </row>
    <row r="556" spans="1:3" ht="15" thickBot="1">
      <c r="A556" s="3" t="s">
        <v>2082</v>
      </c>
      <c r="B556" s="3" t="s">
        <v>2359</v>
      </c>
      <c r="C556" s="4">
        <v>1</v>
      </c>
    </row>
    <row r="557" spans="1:3" ht="15" thickBot="1">
      <c r="A557" s="3" t="s">
        <v>1175</v>
      </c>
      <c r="B557" s="3" t="s">
        <v>24</v>
      </c>
      <c r="C557" s="4">
        <v>1</v>
      </c>
    </row>
    <row r="558" spans="1:3" ht="15" thickBot="1">
      <c r="A558" s="3" t="s">
        <v>2036</v>
      </c>
      <c r="B558" s="3" t="s">
        <v>125</v>
      </c>
      <c r="C558" s="4">
        <v>1</v>
      </c>
    </row>
    <row r="559" spans="1:3" ht="15" thickBot="1">
      <c r="A559" s="3" t="s">
        <v>3029</v>
      </c>
      <c r="B559" s="3" t="s">
        <v>1810</v>
      </c>
      <c r="C559" s="4">
        <v>2</v>
      </c>
    </row>
    <row r="560" spans="1:3" ht="15" thickBot="1">
      <c r="A560" s="3" t="s">
        <v>2234</v>
      </c>
      <c r="B560" s="3" t="s">
        <v>61</v>
      </c>
      <c r="C560" s="4">
        <v>1</v>
      </c>
    </row>
    <row r="561" spans="1:3" ht="15" thickBot="1">
      <c r="A561" s="3" t="s">
        <v>411</v>
      </c>
      <c r="B561" s="3" t="s">
        <v>19</v>
      </c>
      <c r="C561" s="4">
        <v>1</v>
      </c>
    </row>
    <row r="562" spans="1:3" ht="15" thickBot="1">
      <c r="A562" s="3" t="s">
        <v>1429</v>
      </c>
      <c r="B562" s="3" t="s">
        <v>32</v>
      </c>
      <c r="C562" s="4">
        <v>1</v>
      </c>
    </row>
    <row r="563" spans="1:3" ht="15" thickBot="1">
      <c r="A563" s="3" t="s">
        <v>754</v>
      </c>
      <c r="B563" s="3" t="s">
        <v>24</v>
      </c>
      <c r="C563" s="4">
        <v>1</v>
      </c>
    </row>
    <row r="564" spans="1:3" ht="15" thickBot="1">
      <c r="A564" s="3" t="s">
        <v>970</v>
      </c>
      <c r="B564" s="3" t="s">
        <v>2372</v>
      </c>
      <c r="C564" s="4">
        <v>1</v>
      </c>
    </row>
    <row r="565" spans="1:3" ht="15" thickBot="1">
      <c r="A565" s="3" t="s">
        <v>1465</v>
      </c>
      <c r="B565" s="3" t="s">
        <v>2359</v>
      </c>
      <c r="C565" s="4">
        <v>1</v>
      </c>
    </row>
    <row r="566" spans="1:3" ht="15" thickBot="1">
      <c r="A566" s="3" t="s">
        <v>1106</v>
      </c>
      <c r="B566" s="3" t="s">
        <v>26</v>
      </c>
      <c r="C566" s="4">
        <v>1</v>
      </c>
    </row>
    <row r="567" spans="1:3" ht="15" thickBot="1">
      <c r="A567" s="3" t="s">
        <v>166</v>
      </c>
      <c r="B567" s="3" t="s">
        <v>1802</v>
      </c>
      <c r="C567" s="4">
        <v>2</v>
      </c>
    </row>
    <row r="568" spans="1:3" ht="15" thickBot="1">
      <c r="A568" s="3" t="s">
        <v>1574</v>
      </c>
      <c r="B568" s="3" t="s">
        <v>26</v>
      </c>
      <c r="C568" s="4">
        <v>1</v>
      </c>
    </row>
    <row r="569" spans="1:3" ht="15" thickBot="1">
      <c r="A569" s="3" t="s">
        <v>3030</v>
      </c>
      <c r="B569" s="3" t="s">
        <v>3031</v>
      </c>
      <c r="C569" s="4">
        <v>1</v>
      </c>
    </row>
    <row r="570" spans="1:3" ht="15" thickBot="1">
      <c r="A570" s="3" t="s">
        <v>293</v>
      </c>
      <c r="B570" s="3" t="s">
        <v>24</v>
      </c>
      <c r="C570" s="4">
        <v>1</v>
      </c>
    </row>
    <row r="571" spans="1:3" ht="15" thickBot="1">
      <c r="A571" s="3" t="s">
        <v>926</v>
      </c>
      <c r="B571" s="3" t="s">
        <v>115</v>
      </c>
      <c r="C571" s="4">
        <v>1</v>
      </c>
    </row>
    <row r="572" spans="1:3" ht="15" thickBot="1">
      <c r="A572" s="3" t="s">
        <v>187</v>
      </c>
      <c r="B572" s="3" t="s">
        <v>1802</v>
      </c>
      <c r="C572" s="4">
        <v>1</v>
      </c>
    </row>
    <row r="573" spans="1:3" ht="15" thickBot="1">
      <c r="A573" s="3" t="s">
        <v>360</v>
      </c>
      <c r="B573" s="3" t="s">
        <v>2372</v>
      </c>
      <c r="C573" s="4">
        <v>1</v>
      </c>
    </row>
    <row r="574" spans="1:3" ht="15" thickBot="1">
      <c r="A574" s="3" t="s">
        <v>227</v>
      </c>
      <c r="B574" s="3" t="s">
        <v>1805</v>
      </c>
      <c r="C574" s="4">
        <v>1</v>
      </c>
    </row>
    <row r="575" spans="1:3" ht="15" thickBot="1">
      <c r="A575" s="3" t="s">
        <v>2185</v>
      </c>
      <c r="B575" s="3" t="s">
        <v>2420</v>
      </c>
      <c r="C575" s="4">
        <v>1</v>
      </c>
    </row>
    <row r="576" spans="1:3" ht="15" thickBot="1">
      <c r="A576" s="3" t="s">
        <v>2085</v>
      </c>
      <c r="B576" s="3" t="s">
        <v>1802</v>
      </c>
      <c r="C576" s="4">
        <v>1</v>
      </c>
    </row>
    <row r="577" spans="1:3" ht="15" thickBot="1">
      <c r="A577" s="3" t="s">
        <v>275</v>
      </c>
      <c r="B577" s="3" t="s">
        <v>1810</v>
      </c>
      <c r="C577" s="4">
        <v>1</v>
      </c>
    </row>
    <row r="578" spans="1:3" ht="15" thickBot="1">
      <c r="A578" s="3" t="s">
        <v>1869</v>
      </c>
      <c r="B578" s="3" t="s">
        <v>26</v>
      </c>
      <c r="C578" s="4">
        <v>2</v>
      </c>
    </row>
    <row r="579" spans="1:3" ht="15" thickBot="1">
      <c r="A579" s="3" t="s">
        <v>3032</v>
      </c>
      <c r="B579" s="3" t="s">
        <v>26</v>
      </c>
      <c r="C579" s="4">
        <v>1</v>
      </c>
    </row>
    <row r="580" spans="1:3" ht="15" thickBot="1">
      <c r="A580" s="3" t="s">
        <v>267</v>
      </c>
      <c r="B580" s="3" t="s">
        <v>1802</v>
      </c>
      <c r="C580" s="4">
        <v>1</v>
      </c>
    </row>
    <row r="581" spans="1:3" ht="15" thickBot="1">
      <c r="A581" s="3" t="s">
        <v>1167</v>
      </c>
      <c r="B581" s="3" t="s">
        <v>61</v>
      </c>
      <c r="C581" s="4">
        <v>2</v>
      </c>
    </row>
    <row r="582" spans="1:3" ht="15" thickBot="1">
      <c r="A582" s="3" t="s">
        <v>2441</v>
      </c>
      <c r="B582" s="3" t="s">
        <v>2382</v>
      </c>
      <c r="C582" s="4">
        <v>1</v>
      </c>
    </row>
    <row r="583" spans="1:3" ht="15" thickBot="1">
      <c r="A583" s="3" t="s">
        <v>3033</v>
      </c>
      <c r="B583" s="3" t="s">
        <v>26</v>
      </c>
      <c r="C583" s="4">
        <v>1</v>
      </c>
    </row>
    <row r="584" spans="1:3" ht="15" thickBot="1">
      <c r="A584" s="3" t="s">
        <v>3034</v>
      </c>
      <c r="B584" s="3" t="s">
        <v>61</v>
      </c>
      <c r="C584" s="4">
        <v>1</v>
      </c>
    </row>
    <row r="585" spans="1:3" ht="15" thickBot="1">
      <c r="A585" s="3" t="s">
        <v>3035</v>
      </c>
      <c r="B585" s="3" t="s">
        <v>1810</v>
      </c>
      <c r="C585" s="4">
        <v>1</v>
      </c>
    </row>
    <row r="586" spans="1:3" ht="15" thickBot="1">
      <c r="A586" s="3" t="s">
        <v>3036</v>
      </c>
      <c r="B586" s="3" t="s">
        <v>26</v>
      </c>
      <c r="C586" s="4">
        <v>1</v>
      </c>
    </row>
    <row r="587" spans="1:3" ht="15" thickBot="1">
      <c r="A587" s="3" t="s">
        <v>910</v>
      </c>
      <c r="B587" s="3" t="s">
        <v>1802</v>
      </c>
      <c r="C587" s="4">
        <v>2</v>
      </c>
    </row>
    <row r="588" spans="1:3" ht="15" thickBot="1">
      <c r="A588" s="3" t="s">
        <v>688</v>
      </c>
      <c r="B588" s="3" t="s">
        <v>1810</v>
      </c>
      <c r="C588" s="4">
        <v>1</v>
      </c>
    </row>
    <row r="589" spans="1:3" ht="15" thickBot="1">
      <c r="A589" s="3" t="s">
        <v>1143</v>
      </c>
      <c r="B589" s="3" t="s">
        <v>125</v>
      </c>
      <c r="C589" s="4">
        <v>1</v>
      </c>
    </row>
    <row r="590" spans="1:3" ht="15" thickBot="1">
      <c r="A590" s="3" t="s">
        <v>1407</v>
      </c>
      <c r="B590" s="3" t="s">
        <v>19</v>
      </c>
      <c r="C590" s="4">
        <v>2</v>
      </c>
    </row>
    <row r="591" spans="1:3" ht="15" thickBot="1">
      <c r="A591" s="3" t="s">
        <v>181</v>
      </c>
      <c r="B591" s="3" t="s">
        <v>1802</v>
      </c>
      <c r="C591" s="4">
        <v>2</v>
      </c>
    </row>
    <row r="592" spans="1:3" ht="15" thickBot="1">
      <c r="A592" s="3" t="s">
        <v>56</v>
      </c>
      <c r="B592" s="3" t="s">
        <v>2372</v>
      </c>
      <c r="C592" s="4">
        <v>1</v>
      </c>
    </row>
    <row r="593" spans="1:3" ht="15" thickBot="1">
      <c r="A593" s="3" t="s">
        <v>223</v>
      </c>
      <c r="B593" s="3" t="s">
        <v>34</v>
      </c>
      <c r="C593" s="4">
        <v>1</v>
      </c>
    </row>
    <row r="594" spans="1:3" ht="15" thickBot="1">
      <c r="A594" s="3" t="s">
        <v>1388</v>
      </c>
      <c r="B594" s="6" t="s">
        <v>1803</v>
      </c>
      <c r="C594" s="4">
        <v>1</v>
      </c>
    </row>
    <row r="595" spans="1:3" ht="15" thickBot="1">
      <c r="A595" s="3" t="s">
        <v>1118</v>
      </c>
      <c r="B595" s="3" t="s">
        <v>61</v>
      </c>
      <c r="C595" s="4">
        <v>1</v>
      </c>
    </row>
    <row r="596" spans="1:3" ht="15" thickBot="1">
      <c r="A596" s="3" t="s">
        <v>974</v>
      </c>
      <c r="B596" s="3" t="s">
        <v>34</v>
      </c>
      <c r="C596" s="4">
        <v>1</v>
      </c>
    </row>
    <row r="597" spans="1:3" ht="15" thickBot="1">
      <c r="A597" s="3" t="s">
        <v>495</v>
      </c>
      <c r="B597" s="3" t="s">
        <v>2372</v>
      </c>
      <c r="C597" s="4">
        <v>2</v>
      </c>
    </row>
    <row r="598" spans="1:3" ht="15" thickBot="1">
      <c r="A598" s="3" t="s">
        <v>1112</v>
      </c>
      <c r="B598" s="3" t="s">
        <v>319</v>
      </c>
      <c r="C598" s="4">
        <v>1</v>
      </c>
    </row>
    <row r="599" spans="1:3" ht="15" thickBot="1">
      <c r="A599" s="3" t="s">
        <v>1964</v>
      </c>
      <c r="B599" s="3" t="s">
        <v>34</v>
      </c>
      <c r="C599" s="4">
        <v>2</v>
      </c>
    </row>
    <row r="600" spans="1:3" ht="15" thickBot="1">
      <c r="A600" s="3" t="s">
        <v>3037</v>
      </c>
      <c r="B600" s="3" t="s">
        <v>24</v>
      </c>
      <c r="C600" s="4">
        <v>1</v>
      </c>
    </row>
    <row r="601" spans="1:3" ht="15" thickBot="1">
      <c r="A601" s="3" t="s">
        <v>956</v>
      </c>
      <c r="B601" s="3" t="s">
        <v>26</v>
      </c>
      <c r="C601" s="4">
        <v>1</v>
      </c>
    </row>
    <row r="602" spans="1:3" ht="15" thickBot="1">
      <c r="A602" s="3" t="s">
        <v>367</v>
      </c>
      <c r="B602" s="3" t="s">
        <v>2359</v>
      </c>
      <c r="C602" s="4">
        <v>1</v>
      </c>
    </row>
    <row r="603" spans="1:3" ht="15" thickBot="1">
      <c r="A603" s="3" t="s">
        <v>1916</v>
      </c>
      <c r="B603" s="3" t="s">
        <v>1802</v>
      </c>
      <c r="C603" s="4">
        <v>2</v>
      </c>
    </row>
    <row r="604" spans="1:3" ht="15" thickBot="1">
      <c r="A604" s="3" t="s">
        <v>65</v>
      </c>
      <c r="B604" s="3" t="s">
        <v>1802</v>
      </c>
      <c r="C604" s="4">
        <v>2</v>
      </c>
    </row>
    <row r="605" spans="1:3" ht="15" thickBot="1">
      <c r="A605" s="3" t="s">
        <v>395</v>
      </c>
      <c r="B605" s="3" t="s">
        <v>61</v>
      </c>
      <c r="C605" s="4">
        <v>2</v>
      </c>
    </row>
    <row r="606" spans="1:3" ht="15" thickBot="1">
      <c r="A606" s="3" t="s">
        <v>755</v>
      </c>
      <c r="B606" s="3" t="s">
        <v>125</v>
      </c>
      <c r="C606" s="4">
        <v>1</v>
      </c>
    </row>
    <row r="607" spans="1:3" ht="15" thickBot="1">
      <c r="A607" s="3" t="s">
        <v>1201</v>
      </c>
      <c r="B607" s="3" t="s">
        <v>2420</v>
      </c>
      <c r="C607" s="4">
        <v>1</v>
      </c>
    </row>
    <row r="608" spans="1:3" ht="15" thickBot="1">
      <c r="A608" s="3" t="s">
        <v>1056</v>
      </c>
      <c r="B608" s="3" t="s">
        <v>2420</v>
      </c>
      <c r="C608" s="4">
        <v>1</v>
      </c>
    </row>
    <row r="609" spans="1:3" ht="15" thickBot="1">
      <c r="A609" s="3" t="s">
        <v>2666</v>
      </c>
      <c r="B609" s="3" t="s">
        <v>2420</v>
      </c>
      <c r="C609" s="4">
        <v>1</v>
      </c>
    </row>
    <row r="610" spans="1:3" ht="15" thickBot="1">
      <c r="A610" s="3" t="s">
        <v>882</v>
      </c>
      <c r="B610" s="3" t="s">
        <v>34</v>
      </c>
      <c r="C610" s="4">
        <v>2</v>
      </c>
    </row>
    <row r="611" spans="1:3" ht="15" thickBot="1">
      <c r="A611" s="3" t="s">
        <v>3038</v>
      </c>
      <c r="B611" s="3" t="s">
        <v>19</v>
      </c>
      <c r="C611" s="4">
        <v>1</v>
      </c>
    </row>
    <row r="612" spans="1:3" ht="15" thickBot="1">
      <c r="A612" s="3" t="s">
        <v>2780</v>
      </c>
      <c r="B612" s="3" t="s">
        <v>26</v>
      </c>
      <c r="C612" s="4">
        <v>1</v>
      </c>
    </row>
    <row r="613" spans="1:3" ht="15" thickBot="1">
      <c r="A613" s="3" t="s">
        <v>475</v>
      </c>
      <c r="B613" s="3" t="s">
        <v>2359</v>
      </c>
      <c r="C613" s="4">
        <v>1</v>
      </c>
    </row>
    <row r="614" spans="1:3" ht="15" thickBot="1">
      <c r="A614" s="3" t="s">
        <v>3039</v>
      </c>
      <c r="B614" s="3" t="s">
        <v>2359</v>
      </c>
      <c r="C614" s="4">
        <v>1</v>
      </c>
    </row>
    <row r="615" spans="1:3" ht="15" thickBot="1">
      <c r="A615" s="3" t="s">
        <v>260</v>
      </c>
      <c r="B615" s="3" t="s">
        <v>2420</v>
      </c>
      <c r="C615" s="4">
        <v>3</v>
      </c>
    </row>
    <row r="616" spans="1:3" ht="15" thickBot="1">
      <c r="A616" s="3" t="s">
        <v>1685</v>
      </c>
      <c r="B616" s="3" t="s">
        <v>2420</v>
      </c>
      <c r="C616" s="4">
        <v>1</v>
      </c>
    </row>
    <row r="617" spans="1:3" ht="15" thickBot="1">
      <c r="A617" s="3" t="s">
        <v>3040</v>
      </c>
      <c r="B617" s="3" t="s">
        <v>61</v>
      </c>
      <c r="C617" s="4">
        <v>2</v>
      </c>
    </row>
    <row r="618" spans="1:3" ht="15" thickBot="1">
      <c r="A618" s="3" t="s">
        <v>3041</v>
      </c>
      <c r="B618" s="3" t="s">
        <v>32</v>
      </c>
      <c r="C618" s="4">
        <v>1</v>
      </c>
    </row>
    <row r="619" spans="1:3" ht="15" thickBot="1">
      <c r="A619" s="3" t="s">
        <v>400</v>
      </c>
      <c r="B619" s="3" t="s">
        <v>26</v>
      </c>
      <c r="C619" s="4">
        <v>1</v>
      </c>
    </row>
    <row r="620" spans="1:3" ht="15" thickBot="1">
      <c r="A620" s="3" t="s">
        <v>3042</v>
      </c>
      <c r="B620" s="3" t="s">
        <v>34</v>
      </c>
      <c r="C620" s="4">
        <v>1</v>
      </c>
    </row>
    <row r="621" spans="1:3" ht="15" thickBot="1">
      <c r="A621" s="3" t="s">
        <v>3043</v>
      </c>
      <c r="B621" s="3" t="s">
        <v>1810</v>
      </c>
      <c r="C621" s="4">
        <v>1</v>
      </c>
    </row>
    <row r="622" spans="1:3" ht="15" thickBot="1">
      <c r="A622" s="3" t="s">
        <v>3044</v>
      </c>
      <c r="B622" s="3" t="s">
        <v>125</v>
      </c>
      <c r="C622" s="4">
        <v>1</v>
      </c>
    </row>
    <row r="623" spans="1:3" ht="15" thickBot="1">
      <c r="A623" s="3" t="s">
        <v>2920</v>
      </c>
      <c r="B623" s="3" t="s">
        <v>125</v>
      </c>
      <c r="C623" s="4">
        <v>1</v>
      </c>
    </row>
    <row r="624" spans="1:3" ht="15" thickBot="1">
      <c r="A624" s="3" t="s">
        <v>3045</v>
      </c>
      <c r="B624" s="3" t="s">
        <v>125</v>
      </c>
      <c r="C624" s="4">
        <v>1</v>
      </c>
    </row>
    <row r="625" spans="1:3" ht="15" thickBot="1">
      <c r="A625" s="3" t="s">
        <v>1680</v>
      </c>
      <c r="B625" s="3" t="s">
        <v>1947</v>
      </c>
      <c r="C625" s="4">
        <v>1</v>
      </c>
    </row>
    <row r="626" spans="1:3" ht="15" thickBot="1">
      <c r="A626" s="3" t="s">
        <v>1645</v>
      </c>
      <c r="B626" s="3" t="s">
        <v>125</v>
      </c>
      <c r="C626" s="4">
        <v>1</v>
      </c>
    </row>
    <row r="627" spans="1:3" ht="15" thickBot="1">
      <c r="A627" s="3" t="s">
        <v>2255</v>
      </c>
      <c r="B627" s="3" t="s">
        <v>2372</v>
      </c>
      <c r="C627" s="4">
        <v>1</v>
      </c>
    </row>
    <row r="628" spans="1:3" ht="15" thickBot="1">
      <c r="A628" s="3" t="s">
        <v>999</v>
      </c>
      <c r="B628" s="3" t="s">
        <v>26</v>
      </c>
      <c r="C628" s="4">
        <v>1</v>
      </c>
    </row>
    <row r="629" spans="1:3" ht="15" thickBot="1">
      <c r="A629" s="3" t="s">
        <v>3046</v>
      </c>
      <c r="B629" s="3" t="s">
        <v>34</v>
      </c>
      <c r="C629" s="4">
        <v>1</v>
      </c>
    </row>
    <row r="630" spans="1:3" ht="15" thickBot="1">
      <c r="A630" s="3" t="s">
        <v>1249</v>
      </c>
      <c r="B630" s="3" t="s">
        <v>319</v>
      </c>
      <c r="C630" s="4">
        <v>1</v>
      </c>
    </row>
    <row r="631" spans="1:3" ht="15" thickBot="1">
      <c r="A631" s="3" t="s">
        <v>2462</v>
      </c>
      <c r="B631" s="3" t="s">
        <v>319</v>
      </c>
      <c r="C631" s="4">
        <v>1</v>
      </c>
    </row>
    <row r="632" spans="1:3" ht="15" thickBot="1">
      <c r="A632" s="3" t="s">
        <v>1552</v>
      </c>
      <c r="B632" s="3" t="s">
        <v>115</v>
      </c>
      <c r="C632" s="4">
        <v>1</v>
      </c>
    </row>
    <row r="633" spans="1:3" ht="15" thickBot="1">
      <c r="A633" s="3" t="s">
        <v>3047</v>
      </c>
      <c r="B633" s="3" t="s">
        <v>125</v>
      </c>
      <c r="C633" s="4">
        <v>1</v>
      </c>
    </row>
    <row r="634" spans="1:3" ht="15" thickBot="1">
      <c r="A634" s="3" t="s">
        <v>3048</v>
      </c>
      <c r="B634" s="3" t="s">
        <v>125</v>
      </c>
      <c r="C634" s="4">
        <v>1</v>
      </c>
    </row>
    <row r="635" spans="1:3" ht="15" thickBot="1">
      <c r="A635" s="3" t="s">
        <v>1670</v>
      </c>
      <c r="B635" s="3" t="s">
        <v>61</v>
      </c>
      <c r="C635" s="4">
        <v>1</v>
      </c>
    </row>
    <row r="636" spans="1:3" ht="15" thickBot="1">
      <c r="A636" s="3" t="s">
        <v>1745</v>
      </c>
      <c r="B636" s="3" t="s">
        <v>1802</v>
      </c>
      <c r="C636" s="4">
        <v>1</v>
      </c>
    </row>
    <row r="637" spans="1:3" ht="15" thickBot="1">
      <c r="A637" s="3" t="s">
        <v>1184</v>
      </c>
      <c r="B637" s="3" t="s">
        <v>61</v>
      </c>
      <c r="C637" s="4">
        <v>1</v>
      </c>
    </row>
    <row r="638" spans="1:3" ht="15" thickBot="1">
      <c r="A638" s="3" t="s">
        <v>1682</v>
      </c>
      <c r="B638" s="3" t="s">
        <v>61</v>
      </c>
      <c r="C638" s="4">
        <v>1</v>
      </c>
    </row>
    <row r="639" spans="1:3" ht="15" thickBot="1">
      <c r="A639" s="3" t="s">
        <v>284</v>
      </c>
      <c r="B639" s="3" t="s">
        <v>61</v>
      </c>
      <c r="C639" s="4">
        <v>1</v>
      </c>
    </row>
    <row r="640" spans="1:3" ht="15" thickBot="1">
      <c r="A640" s="3" t="s">
        <v>1428</v>
      </c>
      <c r="B640" s="3" t="s">
        <v>34</v>
      </c>
      <c r="C640" s="4">
        <v>2</v>
      </c>
    </row>
    <row r="641" spans="1:3" ht="15" thickBot="1">
      <c r="A641" s="3" t="s">
        <v>2142</v>
      </c>
      <c r="B641" s="3" t="s">
        <v>34</v>
      </c>
      <c r="C641" s="4">
        <v>1</v>
      </c>
    </row>
    <row r="642" spans="1:3" ht="15" thickBot="1">
      <c r="A642" s="3" t="s">
        <v>2504</v>
      </c>
      <c r="B642" s="3" t="s">
        <v>1802</v>
      </c>
      <c r="C642" s="4">
        <v>1</v>
      </c>
    </row>
    <row r="643" spans="1:3" ht="15" thickBot="1">
      <c r="A643" s="3" t="s">
        <v>1659</v>
      </c>
      <c r="B643" s="3" t="s">
        <v>61</v>
      </c>
      <c r="C643" s="4">
        <v>1</v>
      </c>
    </row>
    <row r="644" spans="1:3" ht="15" thickBot="1">
      <c r="A644" s="3" t="s">
        <v>1045</v>
      </c>
      <c r="B644" s="3" t="s">
        <v>1947</v>
      </c>
      <c r="C644" s="4">
        <v>1</v>
      </c>
    </row>
    <row r="645" spans="1:3" ht="15" thickBot="1">
      <c r="A645" s="3" t="s">
        <v>2067</v>
      </c>
      <c r="B645" s="3" t="s">
        <v>26</v>
      </c>
      <c r="C645" s="4">
        <v>1</v>
      </c>
    </row>
    <row r="646" spans="1:3" ht="15" thickBot="1">
      <c r="A646" s="3" t="s">
        <v>487</v>
      </c>
      <c r="B646" s="3" t="s">
        <v>1802</v>
      </c>
      <c r="C646" s="4">
        <v>1</v>
      </c>
    </row>
    <row r="647" spans="1:3" ht="15" thickBot="1">
      <c r="A647" s="3" t="s">
        <v>1439</v>
      </c>
      <c r="B647" s="3" t="s">
        <v>24</v>
      </c>
      <c r="C647" s="4">
        <v>1</v>
      </c>
    </row>
    <row r="648" spans="1:3" ht="15" thickBot="1">
      <c r="A648" s="3" t="s">
        <v>2295</v>
      </c>
      <c r="B648" s="3" t="s">
        <v>61</v>
      </c>
      <c r="C648" s="4">
        <v>1</v>
      </c>
    </row>
    <row r="649" spans="1:3" ht="15" thickBot="1">
      <c r="A649" s="3" t="s">
        <v>1595</v>
      </c>
      <c r="B649" s="3" t="s">
        <v>61</v>
      </c>
      <c r="C649" s="4">
        <v>1</v>
      </c>
    </row>
    <row r="650" spans="1:3" ht="15" thickBot="1">
      <c r="A650" s="3" t="s">
        <v>1620</v>
      </c>
      <c r="B650" s="3" t="s">
        <v>26</v>
      </c>
      <c r="C650" s="4">
        <v>1</v>
      </c>
    </row>
    <row r="651" spans="1:3" ht="15" thickBot="1">
      <c r="A651" s="3" t="s">
        <v>987</v>
      </c>
      <c r="B651" s="3" t="s">
        <v>26</v>
      </c>
      <c r="C651" s="4">
        <v>2</v>
      </c>
    </row>
    <row r="652" spans="1:3" ht="15" thickBot="1">
      <c r="A652" s="3" t="s">
        <v>2707</v>
      </c>
      <c r="B652" s="3" t="s">
        <v>61</v>
      </c>
      <c r="C652" s="4">
        <v>1</v>
      </c>
    </row>
    <row r="653" spans="1:3" ht="15" thickBot="1">
      <c r="A653" s="3" t="s">
        <v>445</v>
      </c>
      <c r="B653" s="3" t="s">
        <v>26</v>
      </c>
      <c r="C653" s="4">
        <v>1</v>
      </c>
    </row>
    <row r="654" spans="1:3" ht="15" thickBot="1">
      <c r="A654" s="3" t="s">
        <v>1746</v>
      </c>
      <c r="B654" s="3" t="s">
        <v>1802</v>
      </c>
      <c r="C654" s="4">
        <v>1</v>
      </c>
    </row>
    <row r="655" spans="1:3" ht="15" thickBot="1">
      <c r="A655" s="3" t="s">
        <v>3049</v>
      </c>
      <c r="B655" s="3" t="s">
        <v>2372</v>
      </c>
      <c r="C655" s="4">
        <v>1</v>
      </c>
    </row>
    <row r="656" spans="1:3" ht="15" thickBot="1">
      <c r="A656" s="3" t="s">
        <v>614</v>
      </c>
      <c r="B656" s="3" t="s">
        <v>19</v>
      </c>
      <c r="C656" s="4">
        <v>1</v>
      </c>
    </row>
    <row r="657" spans="1:3" ht="15" thickBot="1">
      <c r="A657" s="3" t="s">
        <v>2466</v>
      </c>
      <c r="B657" s="3" t="s">
        <v>34</v>
      </c>
      <c r="C657" s="4">
        <v>1</v>
      </c>
    </row>
    <row r="658" spans="1:3" ht="15" thickBot="1">
      <c r="A658" s="3" t="s">
        <v>1542</v>
      </c>
      <c r="B658" s="3" t="s">
        <v>2420</v>
      </c>
      <c r="C658" s="4">
        <v>1</v>
      </c>
    </row>
    <row r="659" spans="1:3" ht="15" thickBot="1">
      <c r="A659" s="3" t="s">
        <v>2296</v>
      </c>
      <c r="B659" s="3" t="s">
        <v>1802</v>
      </c>
      <c r="C659" s="4">
        <v>1</v>
      </c>
    </row>
    <row r="660" spans="1:3" ht="15" thickBot="1">
      <c r="A660" s="3" t="s">
        <v>854</v>
      </c>
      <c r="B660" s="3" t="s">
        <v>1802</v>
      </c>
      <c r="C660" s="4">
        <v>1</v>
      </c>
    </row>
    <row r="661" spans="1:3" ht="15" thickBot="1">
      <c r="A661" s="3" t="s">
        <v>3050</v>
      </c>
      <c r="B661" s="3" t="s">
        <v>1802</v>
      </c>
      <c r="C661" s="4">
        <v>1</v>
      </c>
    </row>
    <row r="662" spans="1:3" ht="15" thickBot="1">
      <c r="A662" s="3" t="s">
        <v>2496</v>
      </c>
      <c r="B662" s="3" t="s">
        <v>34</v>
      </c>
      <c r="C662" s="4">
        <v>1</v>
      </c>
    </row>
    <row r="663" spans="1:3" ht="15" thickBot="1">
      <c r="A663" s="3" t="s">
        <v>384</v>
      </c>
      <c r="B663" s="3" t="s">
        <v>61</v>
      </c>
      <c r="C663" s="4">
        <v>1</v>
      </c>
    </row>
    <row r="664" spans="1:3" ht="15" thickBot="1">
      <c r="A664" s="3" t="s">
        <v>247</v>
      </c>
      <c r="B664" s="3" t="s">
        <v>61</v>
      </c>
      <c r="C664" s="4">
        <v>1</v>
      </c>
    </row>
    <row r="665" spans="1:3" ht="15" thickBot="1">
      <c r="A665" s="3" t="s">
        <v>1244</v>
      </c>
      <c r="B665" s="3" t="s">
        <v>61</v>
      </c>
      <c r="C665" s="4">
        <v>1</v>
      </c>
    </row>
    <row r="666" spans="1:3" ht="15" thickBot="1">
      <c r="A666" s="3" t="s">
        <v>2368</v>
      </c>
      <c r="B666" s="3" t="s">
        <v>61</v>
      </c>
      <c r="C666" s="4">
        <v>1</v>
      </c>
    </row>
    <row r="667" spans="1:3" ht="15" thickBot="1">
      <c r="A667" s="3" t="s">
        <v>3051</v>
      </c>
      <c r="B667" s="3" t="s">
        <v>2372</v>
      </c>
      <c r="C667" s="4">
        <v>1</v>
      </c>
    </row>
    <row r="668" spans="1:3" ht="15" thickBot="1">
      <c r="A668" s="3" t="s">
        <v>298</v>
      </c>
      <c r="B668" s="3" t="s">
        <v>4</v>
      </c>
      <c r="C668" s="4">
        <v>1</v>
      </c>
    </row>
    <row r="669" spans="1:3" ht="15" thickBot="1">
      <c r="A669" s="3" t="s">
        <v>3052</v>
      </c>
      <c r="B669" s="3" t="s">
        <v>4</v>
      </c>
      <c r="C669" s="4">
        <v>3</v>
      </c>
    </row>
    <row r="670" spans="1:3" ht="15" thickBot="1">
      <c r="A670" s="3" t="s">
        <v>111</v>
      </c>
      <c r="B670" s="3" t="s">
        <v>4</v>
      </c>
      <c r="C670" s="4">
        <v>2</v>
      </c>
    </row>
    <row r="671" spans="1:3" ht="15" thickBot="1">
      <c r="A671" s="3" t="s">
        <v>3053</v>
      </c>
      <c r="B671" s="3" t="s">
        <v>2372</v>
      </c>
      <c r="C671" s="4">
        <v>1</v>
      </c>
    </row>
    <row r="672" spans="1:3" ht="15" thickBot="1">
      <c r="A672" s="3" t="s">
        <v>656</v>
      </c>
      <c r="B672" s="3" t="s">
        <v>1805</v>
      </c>
      <c r="C672" s="4">
        <v>1</v>
      </c>
    </row>
    <row r="673" spans="1:3" ht="15" thickBot="1">
      <c r="A673" s="3" t="s">
        <v>2164</v>
      </c>
      <c r="B673" s="3" t="s">
        <v>2365</v>
      </c>
      <c r="C673" s="4">
        <v>1</v>
      </c>
    </row>
    <row r="674" spans="1:3" ht="15" thickBot="1">
      <c r="A674" s="3" t="s">
        <v>1621</v>
      </c>
      <c r="B674" s="3" t="s">
        <v>26</v>
      </c>
      <c r="C674" s="4">
        <v>1</v>
      </c>
    </row>
    <row r="675" spans="1:3" ht="15" thickBot="1">
      <c r="A675" s="3" t="s">
        <v>871</v>
      </c>
      <c r="B675" s="3" t="s">
        <v>1805</v>
      </c>
      <c r="C675" s="4">
        <v>1</v>
      </c>
    </row>
    <row r="676" spans="1:3" ht="15" thickBot="1">
      <c r="A676" s="3" t="s">
        <v>3054</v>
      </c>
      <c r="B676" s="3" t="s">
        <v>125</v>
      </c>
      <c r="C676" s="4">
        <v>1</v>
      </c>
    </row>
    <row r="677" spans="1:3" ht="15" thickBot="1">
      <c r="A677" s="3" t="s">
        <v>1174</v>
      </c>
      <c r="B677" s="3" t="s">
        <v>1802</v>
      </c>
      <c r="C677" s="4">
        <v>1</v>
      </c>
    </row>
    <row r="678" spans="1:3" ht="15" thickBot="1">
      <c r="A678" s="3" t="s">
        <v>1261</v>
      </c>
      <c r="B678" s="3" t="s">
        <v>1802</v>
      </c>
      <c r="C678" s="4">
        <v>1</v>
      </c>
    </row>
    <row r="679" spans="1:3" ht="15" thickBot="1">
      <c r="A679" s="3" t="s">
        <v>2378</v>
      </c>
      <c r="B679" s="3" t="s">
        <v>61</v>
      </c>
      <c r="C679" s="4">
        <v>1</v>
      </c>
    </row>
    <row r="680" spans="1:3" ht="15" thickBot="1">
      <c r="A680" s="3" t="s">
        <v>1712</v>
      </c>
      <c r="B680" s="3" t="s">
        <v>61</v>
      </c>
      <c r="C680" s="4">
        <v>1</v>
      </c>
    </row>
    <row r="681" spans="1:3" ht="15" thickBot="1">
      <c r="A681" s="3" t="s">
        <v>2875</v>
      </c>
      <c r="B681" s="3" t="s">
        <v>2372</v>
      </c>
      <c r="C681" s="4">
        <v>1</v>
      </c>
    </row>
    <row r="682" spans="1:3" ht="15" thickBot="1">
      <c r="A682" s="3" t="s">
        <v>431</v>
      </c>
      <c r="B682" s="3" t="s">
        <v>2372</v>
      </c>
      <c r="C682" s="4">
        <v>1</v>
      </c>
    </row>
    <row r="683" spans="1:3" ht="15" thickBot="1">
      <c r="A683" s="3" t="s">
        <v>464</v>
      </c>
      <c r="B683" s="3" t="s">
        <v>26</v>
      </c>
      <c r="C683" s="4">
        <v>1</v>
      </c>
    </row>
    <row r="684" spans="1:3" ht="15" thickBot="1">
      <c r="A684" s="3" t="s">
        <v>1080</v>
      </c>
      <c r="B684" s="3" t="s">
        <v>26</v>
      </c>
      <c r="C684" s="4">
        <v>1</v>
      </c>
    </row>
    <row r="685" spans="1:3" ht="15" thickBot="1">
      <c r="A685" s="3" t="s">
        <v>559</v>
      </c>
      <c r="B685" s="3" t="s">
        <v>125</v>
      </c>
      <c r="C685" s="4">
        <v>1</v>
      </c>
    </row>
    <row r="686" spans="1:3" ht="15" thickBot="1">
      <c r="A686" s="3" t="s">
        <v>3055</v>
      </c>
      <c r="B686" s="3" t="s">
        <v>1947</v>
      </c>
      <c r="C686" s="4">
        <v>1</v>
      </c>
    </row>
    <row r="687" spans="1:3" ht="15" thickBot="1">
      <c r="A687" s="3" t="s">
        <v>362</v>
      </c>
      <c r="B687" s="3" t="s">
        <v>125</v>
      </c>
      <c r="C687" s="4">
        <v>1</v>
      </c>
    </row>
    <row r="688" spans="1:3" ht="15" thickBot="1">
      <c r="A688" s="3" t="s">
        <v>2859</v>
      </c>
      <c r="B688" s="3" t="s">
        <v>19</v>
      </c>
      <c r="C688" s="4">
        <v>1</v>
      </c>
    </row>
    <row r="689" spans="1:3" ht="15" thickBot="1">
      <c r="A689" s="3" t="s">
        <v>709</v>
      </c>
      <c r="B689" s="3" t="s">
        <v>24</v>
      </c>
      <c r="C689" s="4">
        <v>2</v>
      </c>
    </row>
    <row r="690" spans="1:3" ht="15" thickBot="1">
      <c r="A690" s="3" t="s">
        <v>1941</v>
      </c>
      <c r="B690" s="3" t="s">
        <v>26</v>
      </c>
      <c r="C690" s="4">
        <v>1</v>
      </c>
    </row>
    <row r="691" spans="1:3" ht="15" thickBot="1">
      <c r="A691" s="3" t="s">
        <v>1445</v>
      </c>
      <c r="B691" s="3" t="s">
        <v>2365</v>
      </c>
      <c r="C691" s="4">
        <v>1</v>
      </c>
    </row>
    <row r="692" spans="1:3" ht="15" thickBot="1">
      <c r="A692" s="3" t="s">
        <v>1736</v>
      </c>
      <c r="B692" s="3" t="s">
        <v>26</v>
      </c>
      <c r="C692" s="4">
        <v>1</v>
      </c>
    </row>
    <row r="693" spans="1:3" ht="15" thickBot="1">
      <c r="A693" s="3" t="s">
        <v>1907</v>
      </c>
      <c r="B693" s="3" t="s">
        <v>1802</v>
      </c>
      <c r="C693" s="4">
        <v>1</v>
      </c>
    </row>
    <row r="694" spans="1:3" ht="15" thickBot="1">
      <c r="A694" s="3" t="s">
        <v>1559</v>
      </c>
      <c r="B694" s="3" t="s">
        <v>34</v>
      </c>
      <c r="C694" s="4">
        <v>1</v>
      </c>
    </row>
    <row r="695" spans="1:3" ht="15" thickBot="1">
      <c r="A695" s="3" t="s">
        <v>1271</v>
      </c>
      <c r="B695" s="3" t="s">
        <v>26</v>
      </c>
      <c r="C695" s="4">
        <v>1</v>
      </c>
    </row>
    <row r="696" spans="1:3" ht="15" thickBot="1">
      <c r="A696" s="3" t="s">
        <v>341</v>
      </c>
      <c r="B696" s="3" t="s">
        <v>1810</v>
      </c>
      <c r="C696" s="4">
        <v>1</v>
      </c>
    </row>
    <row r="697" spans="1:3" ht="15" thickBot="1">
      <c r="A697" s="3" t="s">
        <v>997</v>
      </c>
      <c r="B697" s="3" t="s">
        <v>32</v>
      </c>
      <c r="C697" s="4">
        <v>1</v>
      </c>
    </row>
    <row r="698" spans="1:3" ht="15" thickBot="1">
      <c r="A698" s="3" t="s">
        <v>2911</v>
      </c>
      <c r="B698" s="3" t="s">
        <v>32</v>
      </c>
      <c r="C698" s="4">
        <v>1</v>
      </c>
    </row>
    <row r="699" spans="1:3" ht="15" thickBot="1">
      <c r="A699" s="3" t="s">
        <v>3056</v>
      </c>
      <c r="B699" s="3" t="s">
        <v>4</v>
      </c>
      <c r="C699" s="4">
        <v>1</v>
      </c>
    </row>
    <row r="700" spans="1:3" ht="15" thickBot="1">
      <c r="A700" s="3" t="s">
        <v>419</v>
      </c>
      <c r="B700" s="3" t="s">
        <v>4</v>
      </c>
      <c r="C700" s="4">
        <v>1</v>
      </c>
    </row>
    <row r="702" spans="1:3">
      <c r="A702" s="2" t="s">
        <v>54</v>
      </c>
    </row>
    <row r="703" spans="1:3">
      <c r="A703" s="2" t="s">
        <v>0</v>
      </c>
      <c r="B703" s="2" t="s">
        <v>1</v>
      </c>
    </row>
    <row r="704" spans="1:3">
      <c r="A704" t="s">
        <v>1207</v>
      </c>
      <c r="B704">
        <v>1</v>
      </c>
    </row>
    <row r="705" spans="1:2">
      <c r="A705" t="s">
        <v>566</v>
      </c>
      <c r="B705">
        <v>23</v>
      </c>
    </row>
    <row r="706" spans="1:2">
      <c r="A706" t="s">
        <v>385</v>
      </c>
      <c r="B706">
        <v>18</v>
      </c>
    </row>
    <row r="707" spans="1:2">
      <c r="A707" t="s">
        <v>71</v>
      </c>
      <c r="B707">
        <v>46</v>
      </c>
    </row>
    <row r="708" spans="1:2">
      <c r="A708" t="s">
        <v>969</v>
      </c>
      <c r="B708">
        <v>9</v>
      </c>
    </row>
    <row r="709" spans="1:2">
      <c r="A709" t="s">
        <v>1042</v>
      </c>
      <c r="B709">
        <v>2</v>
      </c>
    </row>
    <row r="710" spans="1:2">
      <c r="A710" t="s">
        <v>186</v>
      </c>
      <c r="B710">
        <v>1</v>
      </c>
    </row>
    <row r="711" spans="1:2">
      <c r="A711" t="s">
        <v>576</v>
      </c>
      <c r="B711">
        <v>3</v>
      </c>
    </row>
    <row r="712" spans="1:2">
      <c r="A712" t="s">
        <v>302</v>
      </c>
      <c r="B712">
        <v>23</v>
      </c>
    </row>
    <row r="713" spans="1:2">
      <c r="A713" t="s">
        <v>121</v>
      </c>
      <c r="B713">
        <v>5</v>
      </c>
    </row>
    <row r="714" spans="1:2">
      <c r="A714" t="s">
        <v>176</v>
      </c>
      <c r="B714">
        <v>13</v>
      </c>
    </row>
    <row r="715" spans="1:2">
      <c r="A715" t="s">
        <v>371</v>
      </c>
      <c r="B715">
        <v>17</v>
      </c>
    </row>
    <row r="716" spans="1:2">
      <c r="A716" t="s">
        <v>442</v>
      </c>
      <c r="B716">
        <v>2</v>
      </c>
    </row>
    <row r="717" spans="1:2">
      <c r="A717" t="s">
        <v>321</v>
      </c>
      <c r="B717">
        <v>6</v>
      </c>
    </row>
    <row r="718" spans="1:2">
      <c r="A718" t="s">
        <v>687</v>
      </c>
      <c r="B718">
        <v>5</v>
      </c>
    </row>
    <row r="719" spans="1:2">
      <c r="A719" t="s">
        <v>1473</v>
      </c>
      <c r="B719">
        <v>9</v>
      </c>
    </row>
    <row r="720" spans="1:2">
      <c r="A720" t="s">
        <v>1397</v>
      </c>
      <c r="B720">
        <v>2</v>
      </c>
    </row>
    <row r="721" spans="1:2">
      <c r="A721" t="s">
        <v>324</v>
      </c>
      <c r="B721">
        <v>9</v>
      </c>
    </row>
    <row r="722" spans="1:2">
      <c r="A722" t="s">
        <v>397</v>
      </c>
      <c r="B722">
        <v>1</v>
      </c>
    </row>
    <row r="723" spans="1:2">
      <c r="A723" t="s">
        <v>1418</v>
      </c>
      <c r="B723">
        <v>3</v>
      </c>
    </row>
    <row r="724" spans="1:2">
      <c r="A724" t="s">
        <v>615</v>
      </c>
      <c r="B724">
        <v>3</v>
      </c>
    </row>
    <row r="725" spans="1:2">
      <c r="A725" t="s">
        <v>622</v>
      </c>
      <c r="B725">
        <v>1</v>
      </c>
    </row>
    <row r="726" spans="1:2">
      <c r="A726" t="s">
        <v>2750</v>
      </c>
      <c r="B726">
        <v>1</v>
      </c>
    </row>
    <row r="727" spans="1:2">
      <c r="A727" t="s">
        <v>613</v>
      </c>
      <c r="B727">
        <v>3</v>
      </c>
    </row>
    <row r="728" spans="1:2">
      <c r="A728" t="s">
        <v>1287</v>
      </c>
      <c r="B728">
        <v>1</v>
      </c>
    </row>
    <row r="729" spans="1:2">
      <c r="A729" t="s">
        <v>2995</v>
      </c>
      <c r="B729">
        <v>1</v>
      </c>
    </row>
    <row r="730" spans="1:2">
      <c r="A730" t="s">
        <v>2783</v>
      </c>
      <c r="B730">
        <v>1</v>
      </c>
    </row>
    <row r="731" spans="1:2">
      <c r="A731" t="s">
        <v>1995</v>
      </c>
      <c r="B731">
        <v>1</v>
      </c>
    </row>
    <row r="732" spans="1:2">
      <c r="A732" t="s">
        <v>2997</v>
      </c>
      <c r="B732">
        <v>1</v>
      </c>
    </row>
    <row r="733" spans="1:2">
      <c r="A733" t="s">
        <v>1478</v>
      </c>
      <c r="B733">
        <v>2</v>
      </c>
    </row>
    <row r="734" spans="1:2">
      <c r="A734" t="s">
        <v>383</v>
      </c>
      <c r="B734">
        <v>5</v>
      </c>
    </row>
    <row r="735" spans="1:2">
      <c r="A735" t="s">
        <v>376</v>
      </c>
      <c r="B735">
        <v>1</v>
      </c>
    </row>
    <row r="736" spans="1:2">
      <c r="A736" t="s">
        <v>3011</v>
      </c>
      <c r="B736">
        <v>2</v>
      </c>
    </row>
    <row r="737" spans="1:2">
      <c r="A737" t="s">
        <v>2166</v>
      </c>
      <c r="B737">
        <v>2</v>
      </c>
    </row>
    <row r="738" spans="1:2">
      <c r="A738" t="s">
        <v>1566</v>
      </c>
      <c r="B738">
        <v>2</v>
      </c>
    </row>
    <row r="739" spans="1:2">
      <c r="A739" t="s">
        <v>717</v>
      </c>
      <c r="B739">
        <v>1</v>
      </c>
    </row>
    <row r="740" spans="1:2">
      <c r="A740" t="s">
        <v>66</v>
      </c>
      <c r="B740">
        <v>2</v>
      </c>
    </row>
    <row r="741" spans="1:2">
      <c r="A741" t="s">
        <v>1504</v>
      </c>
      <c r="B741">
        <v>1</v>
      </c>
    </row>
    <row r="742" spans="1:2">
      <c r="A742" t="s">
        <v>1474</v>
      </c>
      <c r="B742">
        <v>2</v>
      </c>
    </row>
    <row r="743" spans="1:2">
      <c r="A743" t="s">
        <v>358</v>
      </c>
      <c r="B743">
        <v>4</v>
      </c>
    </row>
    <row r="744" spans="1:2">
      <c r="A744" t="s">
        <v>1979</v>
      </c>
      <c r="B744">
        <v>1</v>
      </c>
    </row>
    <row r="745" spans="1:2">
      <c r="A745" t="s">
        <v>844</v>
      </c>
      <c r="B745">
        <v>1</v>
      </c>
    </row>
    <row r="746" spans="1:2">
      <c r="A746" t="s">
        <v>309</v>
      </c>
      <c r="B746">
        <v>1</v>
      </c>
    </row>
    <row r="747" spans="1:2">
      <c r="A747" t="s">
        <v>223</v>
      </c>
      <c r="B747">
        <v>1</v>
      </c>
    </row>
    <row r="748" spans="1:2">
      <c r="A748" t="s">
        <v>974</v>
      </c>
      <c r="B748">
        <v>1</v>
      </c>
    </row>
    <row r="749" spans="1:2">
      <c r="A749" t="s">
        <v>1964</v>
      </c>
      <c r="B749">
        <v>2</v>
      </c>
    </row>
    <row r="750" spans="1:2">
      <c r="A750" t="s">
        <v>882</v>
      </c>
      <c r="B750">
        <v>2</v>
      </c>
    </row>
    <row r="751" spans="1:2">
      <c r="A751" t="s">
        <v>3042</v>
      </c>
      <c r="B751">
        <v>1</v>
      </c>
    </row>
    <row r="752" spans="1:2">
      <c r="A752" t="s">
        <v>3046</v>
      </c>
      <c r="B752">
        <v>1</v>
      </c>
    </row>
    <row r="753" spans="1:2">
      <c r="A753" t="s">
        <v>1428</v>
      </c>
      <c r="B753">
        <v>2</v>
      </c>
    </row>
    <row r="754" spans="1:2">
      <c r="A754" t="s">
        <v>2142</v>
      </c>
      <c r="B754">
        <v>1</v>
      </c>
    </row>
    <row r="755" spans="1:2">
      <c r="A755" t="s">
        <v>2466</v>
      </c>
      <c r="B755">
        <v>1</v>
      </c>
    </row>
    <row r="756" spans="1:2">
      <c r="A756" t="s">
        <v>2496</v>
      </c>
      <c r="B756">
        <v>1</v>
      </c>
    </row>
    <row r="757" spans="1:2">
      <c r="A757" t="s">
        <v>1559</v>
      </c>
      <c r="B757">
        <v>1</v>
      </c>
    </row>
    <row r="758" spans="1:2">
      <c r="A758" s="2" t="s">
        <v>9</v>
      </c>
      <c r="B758" s="2">
        <v>252</v>
      </c>
    </row>
    <row r="760" spans="1:2">
      <c r="A760" s="2" t="s">
        <v>532</v>
      </c>
    </row>
    <row r="761" spans="1:2">
      <c r="A761" s="2" t="s">
        <v>0</v>
      </c>
      <c r="B761" s="2" t="s">
        <v>1</v>
      </c>
    </row>
    <row r="762" spans="1:2">
      <c r="A762" t="s">
        <v>2960</v>
      </c>
      <c r="B762">
        <v>1</v>
      </c>
    </row>
    <row r="763" spans="1:2">
      <c r="A763" t="s">
        <v>191</v>
      </c>
      <c r="B763">
        <v>4</v>
      </c>
    </row>
    <row r="764" spans="1:2">
      <c r="A764" t="s">
        <v>200</v>
      </c>
      <c r="B764">
        <v>30</v>
      </c>
    </row>
    <row r="765" spans="1:2">
      <c r="A765" t="s">
        <v>103</v>
      </c>
      <c r="B765">
        <v>37</v>
      </c>
    </row>
    <row r="766" spans="1:2">
      <c r="A766" t="s">
        <v>124</v>
      </c>
      <c r="B766">
        <v>42</v>
      </c>
    </row>
    <row r="767" spans="1:2">
      <c r="A767" t="s">
        <v>102</v>
      </c>
      <c r="B767">
        <v>16</v>
      </c>
    </row>
    <row r="768" spans="1:2">
      <c r="A768" t="s">
        <v>198</v>
      </c>
      <c r="B768">
        <v>5</v>
      </c>
    </row>
    <row r="769" spans="1:2">
      <c r="A769" t="s">
        <v>2972</v>
      </c>
      <c r="B769">
        <v>2</v>
      </c>
    </row>
    <row r="770" spans="1:2">
      <c r="A770" t="s">
        <v>97</v>
      </c>
      <c r="B770">
        <v>15</v>
      </c>
    </row>
    <row r="771" spans="1:2">
      <c r="A771" t="s">
        <v>2688</v>
      </c>
      <c r="B771">
        <v>1</v>
      </c>
    </row>
    <row r="772" spans="1:2">
      <c r="A772" t="s">
        <v>703</v>
      </c>
      <c r="B772">
        <v>4</v>
      </c>
    </row>
    <row r="773" spans="1:2">
      <c r="A773" t="s">
        <v>1326</v>
      </c>
      <c r="B773">
        <v>9</v>
      </c>
    </row>
    <row r="774" spans="1:2">
      <c r="A774" t="s">
        <v>1955</v>
      </c>
      <c r="B774">
        <v>3</v>
      </c>
    </row>
    <row r="775" spans="1:2">
      <c r="A775" t="s">
        <v>2218</v>
      </c>
      <c r="B775">
        <v>3</v>
      </c>
    </row>
    <row r="776" spans="1:2">
      <c r="A776" t="s">
        <v>1123</v>
      </c>
      <c r="B776">
        <v>2</v>
      </c>
    </row>
    <row r="777" spans="1:2">
      <c r="A777" t="s">
        <v>880</v>
      </c>
      <c r="B777">
        <v>2</v>
      </c>
    </row>
    <row r="778" spans="1:2">
      <c r="A778" t="s">
        <v>1258</v>
      </c>
      <c r="B778">
        <v>3</v>
      </c>
    </row>
    <row r="779" spans="1:2">
      <c r="A779" t="s">
        <v>729</v>
      </c>
      <c r="B779">
        <v>2</v>
      </c>
    </row>
    <row r="780" spans="1:2">
      <c r="A780" t="s">
        <v>1168</v>
      </c>
      <c r="B780">
        <v>2</v>
      </c>
    </row>
    <row r="781" spans="1:2">
      <c r="A781" t="s">
        <v>99</v>
      </c>
      <c r="B781">
        <v>3</v>
      </c>
    </row>
    <row r="782" spans="1:2">
      <c r="A782" t="s">
        <v>2001</v>
      </c>
      <c r="B782">
        <v>6</v>
      </c>
    </row>
    <row r="783" spans="1:2">
      <c r="A783" t="s">
        <v>304</v>
      </c>
      <c r="B783">
        <v>4</v>
      </c>
    </row>
    <row r="784" spans="1:2">
      <c r="A784" t="s">
        <v>100</v>
      </c>
      <c r="B784">
        <v>1</v>
      </c>
    </row>
    <row r="785" spans="1:2">
      <c r="A785" t="s">
        <v>3001</v>
      </c>
      <c r="B785">
        <v>1</v>
      </c>
    </row>
    <row r="786" spans="1:2">
      <c r="A786" t="s">
        <v>161</v>
      </c>
      <c r="B786">
        <v>6</v>
      </c>
    </row>
    <row r="787" spans="1:2">
      <c r="A787" t="s">
        <v>1370</v>
      </c>
      <c r="B787">
        <v>8</v>
      </c>
    </row>
    <row r="788" spans="1:2">
      <c r="A788" t="s">
        <v>3008</v>
      </c>
      <c r="B788">
        <v>2</v>
      </c>
    </row>
    <row r="789" spans="1:2">
      <c r="A789" t="s">
        <v>881</v>
      </c>
      <c r="B789">
        <v>1</v>
      </c>
    </row>
    <row r="790" spans="1:2">
      <c r="A790" t="s">
        <v>3013</v>
      </c>
      <c r="B790">
        <v>1</v>
      </c>
    </row>
    <row r="791" spans="1:2">
      <c r="A791" t="s">
        <v>3017</v>
      </c>
      <c r="B791">
        <v>1</v>
      </c>
    </row>
    <row r="792" spans="1:2">
      <c r="A792" t="s">
        <v>1558</v>
      </c>
      <c r="B792">
        <v>1</v>
      </c>
    </row>
    <row r="793" spans="1:2">
      <c r="A793" t="s">
        <v>2225</v>
      </c>
      <c r="B793">
        <v>1</v>
      </c>
    </row>
    <row r="794" spans="1:2">
      <c r="A794" t="s">
        <v>781</v>
      </c>
      <c r="B794">
        <v>2</v>
      </c>
    </row>
    <row r="795" spans="1:2">
      <c r="A795" t="s">
        <v>1727</v>
      </c>
      <c r="B795">
        <v>1</v>
      </c>
    </row>
    <row r="796" spans="1:2">
      <c r="A796" t="s">
        <v>767</v>
      </c>
      <c r="B796">
        <v>2</v>
      </c>
    </row>
    <row r="797" spans="1:2">
      <c r="A797" t="s">
        <v>2078</v>
      </c>
      <c r="B797">
        <v>2</v>
      </c>
    </row>
    <row r="798" spans="1:2">
      <c r="A798" t="s">
        <v>1334</v>
      </c>
      <c r="B798">
        <v>1</v>
      </c>
    </row>
    <row r="799" spans="1:2">
      <c r="A799" t="s">
        <v>866</v>
      </c>
      <c r="B799">
        <v>1</v>
      </c>
    </row>
    <row r="800" spans="1:2">
      <c r="A800" t="s">
        <v>2260</v>
      </c>
      <c r="B800">
        <v>1</v>
      </c>
    </row>
    <row r="801" spans="1:2">
      <c r="A801" t="s">
        <v>994</v>
      </c>
      <c r="B801">
        <v>1</v>
      </c>
    </row>
    <row r="802" spans="1:2">
      <c r="A802" t="s">
        <v>1901</v>
      </c>
      <c r="B802">
        <v>1</v>
      </c>
    </row>
    <row r="803" spans="1:2">
      <c r="A803" t="s">
        <v>2036</v>
      </c>
      <c r="B803">
        <v>1</v>
      </c>
    </row>
    <row r="804" spans="1:2">
      <c r="A804" t="s">
        <v>1143</v>
      </c>
      <c r="B804">
        <v>1</v>
      </c>
    </row>
    <row r="805" spans="1:2">
      <c r="A805" t="s">
        <v>755</v>
      </c>
      <c r="B805">
        <v>1</v>
      </c>
    </row>
    <row r="806" spans="1:2">
      <c r="A806" t="s">
        <v>3044</v>
      </c>
      <c r="B806">
        <v>1</v>
      </c>
    </row>
    <row r="807" spans="1:2">
      <c r="A807" t="s">
        <v>2920</v>
      </c>
      <c r="B807">
        <v>1</v>
      </c>
    </row>
    <row r="808" spans="1:2">
      <c r="A808" t="s">
        <v>3045</v>
      </c>
      <c r="B808">
        <v>1</v>
      </c>
    </row>
    <row r="809" spans="1:2">
      <c r="A809" t="s">
        <v>1645</v>
      </c>
      <c r="B809">
        <v>1</v>
      </c>
    </row>
    <row r="810" spans="1:2">
      <c r="A810" t="s">
        <v>3047</v>
      </c>
      <c r="B810">
        <v>1</v>
      </c>
    </row>
    <row r="811" spans="1:2">
      <c r="A811" t="s">
        <v>3048</v>
      </c>
      <c r="B811">
        <v>1</v>
      </c>
    </row>
    <row r="812" spans="1:2">
      <c r="A812" t="s">
        <v>3054</v>
      </c>
      <c r="B812">
        <v>1</v>
      </c>
    </row>
    <row r="813" spans="1:2">
      <c r="A813" t="s">
        <v>559</v>
      </c>
      <c r="B813">
        <v>1</v>
      </c>
    </row>
    <row r="814" spans="1:2">
      <c r="A814" t="s">
        <v>362</v>
      </c>
      <c r="B814">
        <v>1</v>
      </c>
    </row>
    <row r="815" spans="1:2">
      <c r="A815" s="2" t="s">
        <v>9</v>
      </c>
      <c r="B815" s="2">
        <v>243</v>
      </c>
    </row>
    <row r="817" spans="1:2">
      <c r="A817" s="2" t="s">
        <v>95</v>
      </c>
    </row>
    <row r="818" spans="1:2">
      <c r="A818" s="2" t="s">
        <v>0</v>
      </c>
      <c r="B818" s="2" t="s">
        <v>1</v>
      </c>
    </row>
    <row r="819" spans="1:2">
      <c r="A819" t="s">
        <v>965</v>
      </c>
      <c r="B819">
        <v>10</v>
      </c>
    </row>
    <row r="820" spans="1:2">
      <c r="A820" t="s">
        <v>505</v>
      </c>
      <c r="B820">
        <v>6</v>
      </c>
    </row>
    <row r="821" spans="1:2">
      <c r="A821" t="s">
        <v>408</v>
      </c>
      <c r="B821">
        <v>14</v>
      </c>
    </row>
    <row r="822" spans="1:2">
      <c r="A822" t="s">
        <v>163</v>
      </c>
      <c r="B822">
        <v>20</v>
      </c>
    </row>
    <row r="823" spans="1:2">
      <c r="A823" t="s">
        <v>165</v>
      </c>
      <c r="B823">
        <v>5</v>
      </c>
    </row>
    <row r="824" spans="1:2">
      <c r="A824" t="s">
        <v>330</v>
      </c>
      <c r="B824">
        <v>7</v>
      </c>
    </row>
    <row r="825" spans="1:2">
      <c r="A825" t="s">
        <v>692</v>
      </c>
      <c r="B825">
        <v>4</v>
      </c>
    </row>
    <row r="826" spans="1:2">
      <c r="A826" t="s">
        <v>331</v>
      </c>
      <c r="B826">
        <v>15</v>
      </c>
    </row>
    <row r="827" spans="1:2">
      <c r="A827" t="s">
        <v>83</v>
      </c>
      <c r="B827">
        <v>16</v>
      </c>
    </row>
    <row r="828" spans="1:2">
      <c r="A828" t="s">
        <v>90</v>
      </c>
      <c r="B828">
        <v>22</v>
      </c>
    </row>
    <row r="829" spans="1:2">
      <c r="A829" t="s">
        <v>1363</v>
      </c>
      <c r="B829">
        <v>2</v>
      </c>
    </row>
    <row r="830" spans="1:2">
      <c r="A830" t="s">
        <v>463</v>
      </c>
      <c r="B830">
        <v>2</v>
      </c>
    </row>
    <row r="831" spans="1:2">
      <c r="A831" t="s">
        <v>370</v>
      </c>
      <c r="B831">
        <v>9</v>
      </c>
    </row>
    <row r="832" spans="1:2">
      <c r="A832" t="s">
        <v>190</v>
      </c>
      <c r="B832">
        <v>3</v>
      </c>
    </row>
    <row r="833" spans="1:2">
      <c r="A833" t="s">
        <v>756</v>
      </c>
      <c r="B833">
        <v>4</v>
      </c>
    </row>
    <row r="834" spans="1:2">
      <c r="A834" t="s">
        <v>390</v>
      </c>
      <c r="B834">
        <v>5</v>
      </c>
    </row>
    <row r="835" spans="1:2">
      <c r="A835" t="s">
        <v>2014</v>
      </c>
      <c r="B835">
        <v>3</v>
      </c>
    </row>
    <row r="836" spans="1:2">
      <c r="A836" t="s">
        <v>2976</v>
      </c>
      <c r="B836">
        <v>1</v>
      </c>
    </row>
    <row r="837" spans="1:2">
      <c r="A837" t="s">
        <v>1729</v>
      </c>
      <c r="B837">
        <v>6</v>
      </c>
    </row>
    <row r="838" spans="1:2">
      <c r="A838" t="s">
        <v>85</v>
      </c>
      <c r="B838">
        <v>5</v>
      </c>
    </row>
    <row r="839" spans="1:2">
      <c r="A839" t="s">
        <v>2977</v>
      </c>
      <c r="B839">
        <v>6</v>
      </c>
    </row>
    <row r="840" spans="1:2">
      <c r="A840" t="s">
        <v>563</v>
      </c>
      <c r="B840">
        <v>2</v>
      </c>
    </row>
    <row r="841" spans="1:2">
      <c r="A841" t="s">
        <v>2029</v>
      </c>
      <c r="B841">
        <v>3</v>
      </c>
    </row>
    <row r="842" spans="1:2">
      <c r="A842" t="s">
        <v>1354</v>
      </c>
      <c r="B842">
        <v>3</v>
      </c>
    </row>
    <row r="843" spans="1:2">
      <c r="A843" t="s">
        <v>1137</v>
      </c>
      <c r="B843">
        <v>2</v>
      </c>
    </row>
    <row r="844" spans="1:2">
      <c r="A844" t="s">
        <v>2985</v>
      </c>
      <c r="B844">
        <v>1</v>
      </c>
    </row>
    <row r="845" spans="1:2">
      <c r="A845" t="s">
        <v>434</v>
      </c>
      <c r="B845">
        <v>1</v>
      </c>
    </row>
    <row r="846" spans="1:2">
      <c r="A846" t="s">
        <v>1109</v>
      </c>
      <c r="B846">
        <v>3</v>
      </c>
    </row>
    <row r="847" spans="1:2">
      <c r="A847" t="s">
        <v>325</v>
      </c>
      <c r="B847">
        <v>6</v>
      </c>
    </row>
    <row r="848" spans="1:2">
      <c r="A848" t="s">
        <v>2472</v>
      </c>
      <c r="B848">
        <v>1</v>
      </c>
    </row>
    <row r="849" spans="1:2">
      <c r="A849" t="s">
        <v>2993</v>
      </c>
      <c r="B849">
        <v>1</v>
      </c>
    </row>
    <row r="850" spans="1:2">
      <c r="A850" t="s">
        <v>1115</v>
      </c>
      <c r="B850">
        <v>7</v>
      </c>
    </row>
    <row r="851" spans="1:2">
      <c r="A851" t="s">
        <v>1127</v>
      </c>
      <c r="B851">
        <v>2</v>
      </c>
    </row>
    <row r="852" spans="1:2">
      <c r="A852" t="s">
        <v>665</v>
      </c>
      <c r="B852">
        <v>2</v>
      </c>
    </row>
    <row r="853" spans="1:2">
      <c r="A853" t="s">
        <v>735</v>
      </c>
      <c r="B853">
        <v>1</v>
      </c>
    </row>
    <row r="854" spans="1:2">
      <c r="A854" t="s">
        <v>230</v>
      </c>
      <c r="B854">
        <v>8</v>
      </c>
    </row>
    <row r="855" spans="1:2">
      <c r="A855" t="s">
        <v>1971</v>
      </c>
      <c r="B855">
        <v>4</v>
      </c>
    </row>
    <row r="856" spans="1:2">
      <c r="A856" t="s">
        <v>1152</v>
      </c>
      <c r="B856">
        <v>1</v>
      </c>
    </row>
    <row r="857" spans="1:2">
      <c r="A857" t="s">
        <v>458</v>
      </c>
      <c r="B857">
        <v>2</v>
      </c>
    </row>
    <row r="858" spans="1:2">
      <c r="A858" t="s">
        <v>2021</v>
      </c>
      <c r="B858">
        <v>3</v>
      </c>
    </row>
    <row r="859" spans="1:2">
      <c r="A859" t="s">
        <v>87</v>
      </c>
      <c r="B859">
        <v>7</v>
      </c>
    </row>
    <row r="860" spans="1:2">
      <c r="A860" t="s">
        <v>3002</v>
      </c>
      <c r="B860">
        <v>4</v>
      </c>
    </row>
    <row r="861" spans="1:2">
      <c r="A861" t="s">
        <v>2060</v>
      </c>
      <c r="B861">
        <v>5</v>
      </c>
    </row>
    <row r="862" spans="1:2">
      <c r="A862" t="s">
        <v>168</v>
      </c>
      <c r="B862">
        <v>6</v>
      </c>
    </row>
    <row r="863" spans="1:2">
      <c r="A863" t="s">
        <v>1300</v>
      </c>
      <c r="B863">
        <v>2</v>
      </c>
    </row>
    <row r="864" spans="1:2">
      <c r="A864" t="s">
        <v>1476</v>
      </c>
      <c r="B864">
        <v>4</v>
      </c>
    </row>
    <row r="865" spans="1:2">
      <c r="A865" t="s">
        <v>2081</v>
      </c>
      <c r="B865">
        <v>2</v>
      </c>
    </row>
    <row r="866" spans="1:2">
      <c r="A866" t="s">
        <v>388</v>
      </c>
      <c r="B866">
        <v>1</v>
      </c>
    </row>
    <row r="867" spans="1:2">
      <c r="A867" t="s">
        <v>3022</v>
      </c>
      <c r="B867">
        <v>1</v>
      </c>
    </row>
    <row r="868" spans="1:2">
      <c r="A868" t="s">
        <v>238</v>
      </c>
      <c r="B868">
        <v>1</v>
      </c>
    </row>
    <row r="869" spans="1:2">
      <c r="A869" t="s">
        <v>377</v>
      </c>
      <c r="B869">
        <v>3</v>
      </c>
    </row>
    <row r="870" spans="1:2">
      <c r="A870" t="s">
        <v>1538</v>
      </c>
      <c r="B870">
        <v>1</v>
      </c>
    </row>
    <row r="871" spans="1:2">
      <c r="A871" t="s">
        <v>2234</v>
      </c>
      <c r="B871">
        <v>1</v>
      </c>
    </row>
    <row r="872" spans="1:2">
      <c r="A872" t="s">
        <v>1167</v>
      </c>
      <c r="B872">
        <v>2</v>
      </c>
    </row>
    <row r="873" spans="1:2">
      <c r="A873" t="s">
        <v>3034</v>
      </c>
      <c r="B873">
        <v>1</v>
      </c>
    </row>
    <row r="874" spans="1:2">
      <c r="A874" t="s">
        <v>1118</v>
      </c>
      <c r="B874">
        <v>1</v>
      </c>
    </row>
    <row r="875" spans="1:2">
      <c r="A875" t="s">
        <v>395</v>
      </c>
      <c r="B875">
        <v>2</v>
      </c>
    </row>
    <row r="876" spans="1:2">
      <c r="A876" t="s">
        <v>3040</v>
      </c>
      <c r="B876">
        <v>2</v>
      </c>
    </row>
    <row r="877" spans="1:2">
      <c r="A877" t="s">
        <v>1670</v>
      </c>
      <c r="B877">
        <v>1</v>
      </c>
    </row>
    <row r="878" spans="1:2">
      <c r="A878" t="s">
        <v>1184</v>
      </c>
      <c r="B878">
        <v>1</v>
      </c>
    </row>
    <row r="879" spans="1:2">
      <c r="A879" t="s">
        <v>1682</v>
      </c>
      <c r="B879">
        <v>1</v>
      </c>
    </row>
    <row r="880" spans="1:2">
      <c r="A880" t="s">
        <v>284</v>
      </c>
      <c r="B880">
        <v>1</v>
      </c>
    </row>
    <row r="881" spans="1:2">
      <c r="A881" t="s">
        <v>1659</v>
      </c>
      <c r="B881">
        <v>1</v>
      </c>
    </row>
    <row r="882" spans="1:2">
      <c r="A882" t="s">
        <v>2295</v>
      </c>
      <c r="B882">
        <v>1</v>
      </c>
    </row>
    <row r="883" spans="1:2">
      <c r="A883" t="s">
        <v>1595</v>
      </c>
      <c r="B883">
        <v>1</v>
      </c>
    </row>
    <row r="884" spans="1:2">
      <c r="A884" t="s">
        <v>2707</v>
      </c>
      <c r="B884">
        <v>1</v>
      </c>
    </row>
    <row r="885" spans="1:2">
      <c r="A885" t="s">
        <v>384</v>
      </c>
      <c r="B885">
        <v>1</v>
      </c>
    </row>
    <row r="886" spans="1:2">
      <c r="A886" t="s">
        <v>247</v>
      </c>
      <c r="B886">
        <v>1</v>
      </c>
    </row>
    <row r="887" spans="1:2">
      <c r="A887" t="s">
        <v>1244</v>
      </c>
      <c r="B887">
        <v>1</v>
      </c>
    </row>
    <row r="888" spans="1:2">
      <c r="A888" t="s">
        <v>2368</v>
      </c>
      <c r="B888">
        <v>1</v>
      </c>
    </row>
    <row r="889" spans="1:2">
      <c r="A889" t="s">
        <v>2378</v>
      </c>
      <c r="B889">
        <v>1</v>
      </c>
    </row>
    <row r="890" spans="1:2">
      <c r="A890" t="s">
        <v>1712</v>
      </c>
      <c r="B890">
        <v>1</v>
      </c>
    </row>
    <row r="891" spans="1:2">
      <c r="A891" s="2" t="s">
        <v>9</v>
      </c>
      <c r="B891" s="2">
        <v>278</v>
      </c>
    </row>
    <row r="893" spans="1:2">
      <c r="A893" s="2" t="s">
        <v>53</v>
      </c>
    </row>
    <row r="894" spans="1:2">
      <c r="A894" s="2" t="s">
        <v>0</v>
      </c>
      <c r="B894" s="2" t="s">
        <v>1</v>
      </c>
    </row>
    <row r="895" spans="1:2">
      <c r="A895" t="s">
        <v>253</v>
      </c>
      <c r="B895">
        <v>13</v>
      </c>
    </row>
    <row r="896" spans="1:2">
      <c r="A896" t="s">
        <v>931</v>
      </c>
      <c r="B896">
        <v>12</v>
      </c>
    </row>
    <row r="897" spans="1:2">
      <c r="A897" t="s">
        <v>628</v>
      </c>
      <c r="B897">
        <v>9</v>
      </c>
    </row>
    <row r="898" spans="1:2">
      <c r="A898" t="s">
        <v>1241</v>
      </c>
      <c r="B898">
        <v>2</v>
      </c>
    </row>
    <row r="899" spans="1:2">
      <c r="A899" t="s">
        <v>2734</v>
      </c>
      <c r="B899">
        <v>3</v>
      </c>
    </row>
    <row r="900" spans="1:2">
      <c r="A900" t="s">
        <v>1092</v>
      </c>
      <c r="B900">
        <v>2</v>
      </c>
    </row>
    <row r="901" spans="1:2">
      <c r="A901" t="s">
        <v>2974</v>
      </c>
      <c r="B901">
        <v>2</v>
      </c>
    </row>
    <row r="902" spans="1:2">
      <c r="A902" t="s">
        <v>2822</v>
      </c>
      <c r="B902">
        <v>2</v>
      </c>
    </row>
    <row r="903" spans="1:2">
      <c r="A903" t="s">
        <v>698</v>
      </c>
      <c r="B903">
        <v>5</v>
      </c>
    </row>
    <row r="904" spans="1:2">
      <c r="A904" t="s">
        <v>1773</v>
      </c>
      <c r="B904">
        <v>4</v>
      </c>
    </row>
    <row r="905" spans="1:2">
      <c r="A905" t="s">
        <v>2607</v>
      </c>
      <c r="B905">
        <v>1</v>
      </c>
    </row>
    <row r="906" spans="1:2">
      <c r="A906" t="s">
        <v>1245</v>
      </c>
      <c r="B906">
        <v>1</v>
      </c>
    </row>
    <row r="907" spans="1:2">
      <c r="A907" t="s">
        <v>666</v>
      </c>
      <c r="B907">
        <v>1</v>
      </c>
    </row>
    <row r="908" spans="1:2">
      <c r="A908" t="s">
        <v>2367</v>
      </c>
      <c r="B908">
        <v>4</v>
      </c>
    </row>
    <row r="909" spans="1:2">
      <c r="A909" t="s">
        <v>504</v>
      </c>
      <c r="B909">
        <v>1</v>
      </c>
    </row>
    <row r="910" spans="1:2">
      <c r="A910" t="s">
        <v>1304</v>
      </c>
      <c r="B910">
        <v>5</v>
      </c>
    </row>
    <row r="911" spans="1:2">
      <c r="A911" t="s">
        <v>36</v>
      </c>
      <c r="B911">
        <v>3</v>
      </c>
    </row>
    <row r="912" spans="1:2">
      <c r="A912" t="s">
        <v>248</v>
      </c>
      <c r="B912">
        <v>1</v>
      </c>
    </row>
    <row r="913" spans="1:2">
      <c r="A913" t="s">
        <v>1429</v>
      </c>
      <c r="B913">
        <v>1</v>
      </c>
    </row>
    <row r="914" spans="1:2">
      <c r="A914" t="s">
        <v>3041</v>
      </c>
      <c r="B914">
        <v>1</v>
      </c>
    </row>
    <row r="915" spans="1:2">
      <c r="A915" t="s">
        <v>997</v>
      </c>
      <c r="B915">
        <v>1</v>
      </c>
    </row>
    <row r="916" spans="1:2">
      <c r="A916" t="s">
        <v>2911</v>
      </c>
      <c r="B916">
        <v>1</v>
      </c>
    </row>
    <row r="917" spans="1:2">
      <c r="A917" s="2" t="s">
        <v>9</v>
      </c>
      <c r="B917" s="2">
        <v>75</v>
      </c>
    </row>
    <row r="919" spans="1:2">
      <c r="A919" s="2" t="s">
        <v>2930</v>
      </c>
    </row>
    <row r="920" spans="1:2">
      <c r="A920" s="2" t="s">
        <v>0</v>
      </c>
      <c r="B920" s="2" t="s">
        <v>1</v>
      </c>
    </row>
    <row r="921" spans="1:2">
      <c r="A921" t="s">
        <v>1362</v>
      </c>
      <c r="B921">
        <v>2</v>
      </c>
    </row>
    <row r="922" spans="1:2">
      <c r="A922" t="s">
        <v>1391</v>
      </c>
      <c r="B922">
        <v>2</v>
      </c>
    </row>
    <row r="923" spans="1:2">
      <c r="A923" t="s">
        <v>1747</v>
      </c>
      <c r="B923">
        <v>2</v>
      </c>
    </row>
    <row r="924" spans="1:2">
      <c r="A924" t="s">
        <v>2709</v>
      </c>
      <c r="B924">
        <v>3</v>
      </c>
    </row>
    <row r="925" spans="1:2">
      <c r="A925" t="s">
        <v>192</v>
      </c>
      <c r="B925">
        <v>9</v>
      </c>
    </row>
    <row r="926" spans="1:2">
      <c r="A926" t="s">
        <v>651</v>
      </c>
      <c r="B926">
        <v>3</v>
      </c>
    </row>
    <row r="927" spans="1:2">
      <c r="A927" t="s">
        <v>132</v>
      </c>
      <c r="B927">
        <v>30</v>
      </c>
    </row>
    <row r="928" spans="1:2">
      <c r="A928" t="s">
        <v>203</v>
      </c>
      <c r="B928">
        <v>9</v>
      </c>
    </row>
    <row r="929" spans="1:2">
      <c r="A929" t="s">
        <v>167</v>
      </c>
      <c r="B929">
        <v>46</v>
      </c>
    </row>
    <row r="930" spans="1:2">
      <c r="A930" t="s">
        <v>133</v>
      </c>
      <c r="B930">
        <v>48</v>
      </c>
    </row>
    <row r="931" spans="1:2">
      <c r="A931" t="s">
        <v>2337</v>
      </c>
      <c r="B931">
        <v>2</v>
      </c>
    </row>
    <row r="932" spans="1:2">
      <c r="A932" t="s">
        <v>92</v>
      </c>
      <c r="B932">
        <v>13</v>
      </c>
    </row>
    <row r="933" spans="1:2">
      <c r="A933" t="s">
        <v>169</v>
      </c>
      <c r="B933">
        <v>4</v>
      </c>
    </row>
    <row r="934" spans="1:2">
      <c r="A934" t="s">
        <v>201</v>
      </c>
      <c r="B934">
        <v>18</v>
      </c>
    </row>
    <row r="935" spans="1:2">
      <c r="A935" t="s">
        <v>179</v>
      </c>
      <c r="B935">
        <v>8</v>
      </c>
    </row>
    <row r="936" spans="1:2">
      <c r="A936" t="s">
        <v>2967</v>
      </c>
      <c r="B936">
        <v>2</v>
      </c>
    </row>
    <row r="937" spans="1:2">
      <c r="A937" t="s">
        <v>1865</v>
      </c>
      <c r="B937">
        <v>2</v>
      </c>
    </row>
    <row r="938" spans="1:2">
      <c r="A938" t="s">
        <v>679</v>
      </c>
      <c r="B938">
        <v>14</v>
      </c>
    </row>
    <row r="939" spans="1:2">
      <c r="A939" t="s">
        <v>151</v>
      </c>
      <c r="B939">
        <v>4</v>
      </c>
    </row>
    <row r="940" spans="1:2">
      <c r="A940" t="s">
        <v>827</v>
      </c>
      <c r="B940">
        <v>4</v>
      </c>
    </row>
    <row r="941" spans="1:2">
      <c r="A941" t="s">
        <v>35</v>
      </c>
      <c r="B941">
        <v>9</v>
      </c>
    </row>
    <row r="942" spans="1:2">
      <c r="A942" t="s">
        <v>152</v>
      </c>
      <c r="B942">
        <v>4</v>
      </c>
    </row>
    <row r="943" spans="1:2">
      <c r="A943" t="s">
        <v>153</v>
      </c>
      <c r="B943">
        <v>2</v>
      </c>
    </row>
    <row r="944" spans="1:2">
      <c r="A944" t="s">
        <v>231</v>
      </c>
      <c r="B944">
        <v>3</v>
      </c>
    </row>
    <row r="945" spans="1:2">
      <c r="A945" t="s">
        <v>653</v>
      </c>
      <c r="B945">
        <v>4</v>
      </c>
    </row>
    <row r="946" spans="1:2">
      <c r="A946" t="s">
        <v>2980</v>
      </c>
      <c r="B946">
        <v>7</v>
      </c>
    </row>
    <row r="947" spans="1:2">
      <c r="A947" t="s">
        <v>2981</v>
      </c>
      <c r="B947">
        <v>6</v>
      </c>
    </row>
    <row r="948" spans="1:2">
      <c r="A948" t="s">
        <v>107</v>
      </c>
      <c r="B948">
        <v>6</v>
      </c>
    </row>
    <row r="949" spans="1:2">
      <c r="A949" t="s">
        <v>1027</v>
      </c>
      <c r="B949">
        <v>6</v>
      </c>
    </row>
    <row r="950" spans="1:2">
      <c r="A950" t="s">
        <v>1325</v>
      </c>
      <c r="B950">
        <v>6</v>
      </c>
    </row>
    <row r="951" spans="1:2">
      <c r="A951" t="s">
        <v>2983</v>
      </c>
      <c r="B951">
        <v>1</v>
      </c>
    </row>
    <row r="952" spans="1:2">
      <c r="A952" t="s">
        <v>305</v>
      </c>
      <c r="B952">
        <v>5</v>
      </c>
    </row>
    <row r="953" spans="1:2">
      <c r="A953" t="s">
        <v>800</v>
      </c>
      <c r="B953">
        <v>6</v>
      </c>
    </row>
    <row r="954" spans="1:2">
      <c r="A954" t="s">
        <v>1246</v>
      </c>
      <c r="B954">
        <v>1</v>
      </c>
    </row>
    <row r="955" spans="1:2">
      <c r="A955" t="s">
        <v>2455</v>
      </c>
      <c r="B955">
        <v>6</v>
      </c>
    </row>
    <row r="956" spans="1:2">
      <c r="A956" t="s">
        <v>605</v>
      </c>
      <c r="B956">
        <v>11</v>
      </c>
    </row>
    <row r="957" spans="1:2">
      <c r="A957" t="s">
        <v>430</v>
      </c>
      <c r="B957">
        <v>6</v>
      </c>
    </row>
    <row r="958" spans="1:2">
      <c r="A958" t="s">
        <v>74</v>
      </c>
      <c r="B958">
        <v>16</v>
      </c>
    </row>
    <row r="959" spans="1:2">
      <c r="A959" t="s">
        <v>977</v>
      </c>
      <c r="B959">
        <v>5</v>
      </c>
    </row>
    <row r="960" spans="1:2">
      <c r="A960" t="s">
        <v>837</v>
      </c>
      <c r="B960">
        <v>1</v>
      </c>
    </row>
    <row r="961" spans="1:2">
      <c r="A961" t="s">
        <v>618</v>
      </c>
      <c r="B961">
        <v>3</v>
      </c>
    </row>
    <row r="962" spans="1:2">
      <c r="A962" t="s">
        <v>815</v>
      </c>
      <c r="B962">
        <v>2</v>
      </c>
    </row>
    <row r="963" spans="1:2">
      <c r="A963" t="s">
        <v>604</v>
      </c>
      <c r="B963">
        <v>3</v>
      </c>
    </row>
    <row r="964" spans="1:2">
      <c r="A964" t="s">
        <v>557</v>
      </c>
      <c r="B964">
        <v>5</v>
      </c>
    </row>
    <row r="965" spans="1:2">
      <c r="A965" t="s">
        <v>3004</v>
      </c>
      <c r="B965">
        <v>1</v>
      </c>
    </row>
    <row r="966" spans="1:2">
      <c r="A966" t="s">
        <v>863</v>
      </c>
      <c r="B966">
        <v>1</v>
      </c>
    </row>
    <row r="967" spans="1:2">
      <c r="A967" t="s">
        <v>667</v>
      </c>
      <c r="B967">
        <v>1</v>
      </c>
    </row>
    <row r="968" spans="1:2">
      <c r="A968" t="s">
        <v>2114</v>
      </c>
      <c r="B968">
        <v>2</v>
      </c>
    </row>
    <row r="969" spans="1:2">
      <c r="A969" t="s">
        <v>784</v>
      </c>
      <c r="B969">
        <v>6</v>
      </c>
    </row>
    <row r="970" spans="1:2">
      <c r="A970" t="s">
        <v>2690</v>
      </c>
      <c r="B970">
        <v>2</v>
      </c>
    </row>
    <row r="971" spans="1:2">
      <c r="A971" t="s">
        <v>119</v>
      </c>
      <c r="B971">
        <v>1</v>
      </c>
    </row>
    <row r="972" spans="1:2">
      <c r="A972" t="s">
        <v>725</v>
      </c>
      <c r="B972">
        <v>2</v>
      </c>
    </row>
    <row r="973" spans="1:2">
      <c r="A973" t="s">
        <v>689</v>
      </c>
      <c r="B973">
        <v>1</v>
      </c>
    </row>
    <row r="974" spans="1:2">
      <c r="A974" t="s">
        <v>737</v>
      </c>
      <c r="B974">
        <v>1</v>
      </c>
    </row>
    <row r="975" spans="1:2">
      <c r="A975" t="s">
        <v>1721</v>
      </c>
      <c r="B975">
        <v>1</v>
      </c>
    </row>
    <row r="976" spans="1:2">
      <c r="A976" t="s">
        <v>166</v>
      </c>
      <c r="B976">
        <v>2</v>
      </c>
    </row>
    <row r="977" spans="1:2">
      <c r="A977" t="s">
        <v>187</v>
      </c>
      <c r="B977">
        <v>1</v>
      </c>
    </row>
    <row r="978" spans="1:2">
      <c r="A978" t="s">
        <v>2085</v>
      </c>
      <c r="B978">
        <v>1</v>
      </c>
    </row>
    <row r="979" spans="1:2">
      <c r="A979" t="s">
        <v>267</v>
      </c>
      <c r="B979">
        <v>1</v>
      </c>
    </row>
    <row r="980" spans="1:2">
      <c r="A980" t="s">
        <v>910</v>
      </c>
      <c r="B980">
        <v>2</v>
      </c>
    </row>
    <row r="981" spans="1:2">
      <c r="A981" t="s">
        <v>181</v>
      </c>
      <c r="B981">
        <v>2</v>
      </c>
    </row>
    <row r="982" spans="1:2">
      <c r="A982" t="s">
        <v>1916</v>
      </c>
      <c r="B982">
        <v>2</v>
      </c>
    </row>
    <row r="983" spans="1:2">
      <c r="A983" t="s">
        <v>65</v>
      </c>
      <c r="B983">
        <v>2</v>
      </c>
    </row>
    <row r="984" spans="1:2">
      <c r="A984" t="s">
        <v>1745</v>
      </c>
      <c r="B984">
        <v>1</v>
      </c>
    </row>
    <row r="985" spans="1:2">
      <c r="A985" t="s">
        <v>2504</v>
      </c>
      <c r="B985">
        <v>1</v>
      </c>
    </row>
    <row r="986" spans="1:2">
      <c r="A986" t="s">
        <v>487</v>
      </c>
      <c r="B986">
        <v>1</v>
      </c>
    </row>
    <row r="987" spans="1:2">
      <c r="A987" t="s">
        <v>1746</v>
      </c>
      <c r="B987">
        <v>1</v>
      </c>
    </row>
    <row r="988" spans="1:2">
      <c r="A988" t="s">
        <v>2296</v>
      </c>
      <c r="B988">
        <v>1</v>
      </c>
    </row>
    <row r="989" spans="1:2">
      <c r="A989" t="s">
        <v>854</v>
      </c>
      <c r="B989">
        <v>1</v>
      </c>
    </row>
    <row r="990" spans="1:2">
      <c r="A990" t="s">
        <v>3050</v>
      </c>
      <c r="B990">
        <v>1</v>
      </c>
    </row>
    <row r="991" spans="1:2">
      <c r="A991" t="s">
        <v>1174</v>
      </c>
      <c r="B991">
        <v>1</v>
      </c>
    </row>
    <row r="992" spans="1:2">
      <c r="A992" t="s">
        <v>1261</v>
      </c>
      <c r="B992">
        <v>1</v>
      </c>
    </row>
    <row r="993" spans="1:2">
      <c r="A993" t="s">
        <v>1907</v>
      </c>
      <c r="B993">
        <v>1</v>
      </c>
    </row>
    <row r="994" spans="1:2">
      <c r="A994" s="2" t="s">
        <v>9</v>
      </c>
      <c r="B994" s="2">
        <v>391</v>
      </c>
    </row>
    <row r="996" spans="1:2">
      <c r="A996" s="2" t="s">
        <v>49</v>
      </c>
    </row>
    <row r="997" spans="1:2">
      <c r="A997" s="2" t="s">
        <v>0</v>
      </c>
      <c r="B997" s="2" t="s">
        <v>1</v>
      </c>
    </row>
    <row r="998" spans="1:2">
      <c r="A998" t="s">
        <v>555</v>
      </c>
      <c r="B998">
        <v>15</v>
      </c>
    </row>
    <row r="999" spans="1:2">
      <c r="A999" t="s">
        <v>148</v>
      </c>
      <c r="B999">
        <v>16</v>
      </c>
    </row>
    <row r="1000" spans="1:2">
      <c r="A1000" t="s">
        <v>154</v>
      </c>
      <c r="B1000">
        <v>23</v>
      </c>
    </row>
    <row r="1001" spans="1:2">
      <c r="A1001" t="s">
        <v>1991</v>
      </c>
      <c r="B1001">
        <v>3</v>
      </c>
    </row>
    <row r="1002" spans="1:2">
      <c r="A1002" t="s">
        <v>117</v>
      </c>
      <c r="B1002">
        <v>8</v>
      </c>
    </row>
    <row r="1003" spans="1:2">
      <c r="A1003" t="s">
        <v>307</v>
      </c>
      <c r="B1003">
        <v>3</v>
      </c>
    </row>
    <row r="1004" spans="1:2">
      <c r="A1004" t="s">
        <v>672</v>
      </c>
      <c r="B1004">
        <v>9</v>
      </c>
    </row>
    <row r="1005" spans="1:2">
      <c r="A1005" t="s">
        <v>295</v>
      </c>
      <c r="B1005">
        <v>2</v>
      </c>
    </row>
    <row r="1006" spans="1:2">
      <c r="A1006" t="s">
        <v>1890</v>
      </c>
      <c r="B1006">
        <v>1</v>
      </c>
    </row>
    <row r="1007" spans="1:2">
      <c r="A1007" t="s">
        <v>1375</v>
      </c>
      <c r="B1007">
        <v>1</v>
      </c>
    </row>
    <row r="1008" spans="1:2">
      <c r="A1008" t="s">
        <v>1031</v>
      </c>
      <c r="B1008">
        <v>2</v>
      </c>
    </row>
    <row r="1009" spans="1:2">
      <c r="A1009" t="s">
        <v>282</v>
      </c>
      <c r="B1009">
        <v>3</v>
      </c>
    </row>
    <row r="1010" spans="1:2">
      <c r="A1010" t="s">
        <v>1136</v>
      </c>
      <c r="B1010">
        <v>1</v>
      </c>
    </row>
    <row r="1011" spans="1:2">
      <c r="A1011" t="s">
        <v>2155</v>
      </c>
      <c r="B1011">
        <v>1</v>
      </c>
    </row>
    <row r="1012" spans="1:2">
      <c r="A1012" t="s">
        <v>963</v>
      </c>
      <c r="B1012">
        <v>1</v>
      </c>
    </row>
    <row r="1013" spans="1:2">
      <c r="A1013" t="s">
        <v>861</v>
      </c>
      <c r="B1013">
        <v>2</v>
      </c>
    </row>
    <row r="1014" spans="1:2">
      <c r="A1014" t="s">
        <v>569</v>
      </c>
      <c r="B1014">
        <v>10</v>
      </c>
    </row>
    <row r="1015" spans="1:2">
      <c r="A1015" t="s">
        <v>759</v>
      </c>
      <c r="B1015">
        <v>2</v>
      </c>
    </row>
    <row r="1016" spans="1:2">
      <c r="A1016" t="s">
        <v>2990</v>
      </c>
      <c r="B1016">
        <v>1</v>
      </c>
    </row>
    <row r="1017" spans="1:2">
      <c r="A1017" t="s">
        <v>1953</v>
      </c>
      <c r="B1017">
        <v>1</v>
      </c>
    </row>
    <row r="1018" spans="1:2">
      <c r="A1018" t="s">
        <v>2991</v>
      </c>
      <c r="B1018">
        <v>1</v>
      </c>
    </row>
    <row r="1019" spans="1:2">
      <c r="A1019" t="s">
        <v>2992</v>
      </c>
      <c r="B1019">
        <v>1</v>
      </c>
    </row>
    <row r="1020" spans="1:2">
      <c r="A1020" t="s">
        <v>28</v>
      </c>
      <c r="B1020">
        <v>4</v>
      </c>
    </row>
    <row r="1021" spans="1:2">
      <c r="A1021" t="s">
        <v>2996</v>
      </c>
      <c r="B1021">
        <v>1</v>
      </c>
    </row>
    <row r="1022" spans="1:2">
      <c r="A1022" t="s">
        <v>2230</v>
      </c>
      <c r="B1022">
        <v>1</v>
      </c>
    </row>
    <row r="1023" spans="1:2">
      <c r="A1023" t="s">
        <v>2286</v>
      </c>
      <c r="B1023">
        <v>2</v>
      </c>
    </row>
    <row r="1024" spans="1:2">
      <c r="A1024" t="s">
        <v>3003</v>
      </c>
      <c r="B1024">
        <v>4</v>
      </c>
    </row>
    <row r="1025" spans="1:2">
      <c r="A1025" t="s">
        <v>23</v>
      </c>
      <c r="B1025">
        <v>2</v>
      </c>
    </row>
    <row r="1026" spans="1:2">
      <c r="A1026" t="s">
        <v>955</v>
      </c>
      <c r="B1026">
        <v>3</v>
      </c>
    </row>
    <row r="1027" spans="1:2">
      <c r="A1027" t="s">
        <v>3012</v>
      </c>
      <c r="B1027">
        <v>6</v>
      </c>
    </row>
    <row r="1028" spans="1:2">
      <c r="A1028" t="s">
        <v>699</v>
      </c>
      <c r="B1028">
        <v>5</v>
      </c>
    </row>
    <row r="1029" spans="1:2">
      <c r="A1029" t="s">
        <v>2183</v>
      </c>
      <c r="B1029">
        <v>1</v>
      </c>
    </row>
    <row r="1030" spans="1:2">
      <c r="A1030" t="s">
        <v>1974</v>
      </c>
      <c r="B1030">
        <v>1</v>
      </c>
    </row>
    <row r="1031" spans="1:2">
      <c r="A1031" t="s">
        <v>2182</v>
      </c>
      <c r="B1031">
        <v>1</v>
      </c>
    </row>
    <row r="1032" spans="1:2">
      <c r="A1032" t="s">
        <v>823</v>
      </c>
      <c r="B1032">
        <v>2</v>
      </c>
    </row>
    <row r="1033" spans="1:2">
      <c r="A1033" t="s">
        <v>1175</v>
      </c>
      <c r="B1033">
        <v>1</v>
      </c>
    </row>
    <row r="1034" spans="1:2">
      <c r="A1034" t="s">
        <v>754</v>
      </c>
      <c r="B1034">
        <v>1</v>
      </c>
    </row>
    <row r="1035" spans="1:2">
      <c r="A1035" t="s">
        <v>293</v>
      </c>
      <c r="B1035">
        <v>1</v>
      </c>
    </row>
    <row r="1036" spans="1:2">
      <c r="A1036" t="s">
        <v>3037</v>
      </c>
      <c r="B1036">
        <v>1</v>
      </c>
    </row>
    <row r="1037" spans="1:2">
      <c r="A1037" t="s">
        <v>1439</v>
      </c>
      <c r="B1037">
        <v>1</v>
      </c>
    </row>
    <row r="1038" spans="1:2">
      <c r="A1038" t="s">
        <v>709</v>
      </c>
      <c r="B1038">
        <v>2</v>
      </c>
    </row>
    <row r="1039" spans="1:2">
      <c r="A1039" s="2" t="s">
        <v>9</v>
      </c>
      <c r="B1039" s="2">
        <v>147</v>
      </c>
    </row>
    <row r="1041" spans="1:2">
      <c r="A1041" s="2" t="s">
        <v>2943</v>
      </c>
    </row>
    <row r="1042" spans="1:2">
      <c r="A1042" s="2" t="s">
        <v>0</v>
      </c>
      <c r="B1042" s="2" t="s">
        <v>1</v>
      </c>
    </row>
    <row r="1043" spans="1:2">
      <c r="A1043" t="s">
        <v>177</v>
      </c>
      <c r="B1043">
        <v>28</v>
      </c>
    </row>
    <row r="1044" spans="1:2">
      <c r="A1044" t="s">
        <v>1273</v>
      </c>
      <c r="B1044">
        <v>5</v>
      </c>
    </row>
    <row r="1045" spans="1:2">
      <c r="A1045" t="s">
        <v>1948</v>
      </c>
      <c r="B1045">
        <v>7</v>
      </c>
    </row>
    <row r="1046" spans="1:2">
      <c r="A1046" t="s">
        <v>336</v>
      </c>
      <c r="B1046">
        <v>17</v>
      </c>
    </row>
    <row r="1047" spans="1:2">
      <c r="A1047" t="s">
        <v>58</v>
      </c>
      <c r="B1047">
        <v>1</v>
      </c>
    </row>
    <row r="1048" spans="1:2">
      <c r="A1048" t="s">
        <v>817</v>
      </c>
      <c r="B1048">
        <v>1</v>
      </c>
    </row>
    <row r="1049" spans="1:2">
      <c r="A1049" t="s">
        <v>294</v>
      </c>
      <c r="B1049">
        <v>19</v>
      </c>
    </row>
    <row r="1050" spans="1:2">
      <c r="A1050" t="s">
        <v>678</v>
      </c>
      <c r="B1050">
        <v>6</v>
      </c>
    </row>
    <row r="1051" spans="1:2">
      <c r="A1051" t="s">
        <v>2971</v>
      </c>
      <c r="B1051">
        <v>1</v>
      </c>
    </row>
    <row r="1052" spans="1:2">
      <c r="A1052" t="s">
        <v>355</v>
      </c>
      <c r="B1052">
        <v>1</v>
      </c>
    </row>
    <row r="1053" spans="1:2">
      <c r="A1053" t="s">
        <v>920</v>
      </c>
      <c r="B1053">
        <v>2</v>
      </c>
    </row>
    <row r="1054" spans="1:2">
      <c r="A1054" t="s">
        <v>573</v>
      </c>
      <c r="B1054">
        <v>2</v>
      </c>
    </row>
    <row r="1055" spans="1:2">
      <c r="A1055" t="s">
        <v>501</v>
      </c>
      <c r="B1055">
        <v>6</v>
      </c>
    </row>
    <row r="1056" spans="1:2">
      <c r="A1056" t="s">
        <v>805</v>
      </c>
      <c r="B1056">
        <v>4</v>
      </c>
    </row>
    <row r="1057" spans="1:2">
      <c r="A1057" t="s">
        <v>212</v>
      </c>
      <c r="B1057">
        <v>15</v>
      </c>
    </row>
    <row r="1058" spans="1:2">
      <c r="A1058" t="s">
        <v>583</v>
      </c>
      <c r="B1058">
        <v>15</v>
      </c>
    </row>
    <row r="1059" spans="1:2">
      <c r="A1059" t="s">
        <v>607</v>
      </c>
      <c r="B1059">
        <v>4</v>
      </c>
    </row>
    <row r="1060" spans="1:2">
      <c r="A1060" t="s">
        <v>477</v>
      </c>
      <c r="B1060">
        <v>10</v>
      </c>
    </row>
    <row r="1061" spans="1:2">
      <c r="A1061" t="s">
        <v>17</v>
      </c>
      <c r="B1061">
        <v>5</v>
      </c>
    </row>
    <row r="1062" spans="1:2">
      <c r="A1062" t="s">
        <v>1930</v>
      </c>
      <c r="B1062">
        <v>3</v>
      </c>
    </row>
    <row r="1063" spans="1:2">
      <c r="A1063" t="s">
        <v>106</v>
      </c>
      <c r="B1063">
        <v>7</v>
      </c>
    </row>
    <row r="1064" spans="1:2">
      <c r="A1064" t="s">
        <v>571</v>
      </c>
      <c r="B1064">
        <v>2</v>
      </c>
    </row>
    <row r="1065" spans="1:2">
      <c r="A1065" t="s">
        <v>2982</v>
      </c>
      <c r="B1065">
        <v>1</v>
      </c>
    </row>
    <row r="1066" spans="1:2">
      <c r="A1066" t="s">
        <v>394</v>
      </c>
      <c r="B1066">
        <v>4</v>
      </c>
    </row>
    <row r="1067" spans="1:2">
      <c r="A1067" t="s">
        <v>2023</v>
      </c>
      <c r="B1067">
        <v>2</v>
      </c>
    </row>
    <row r="1068" spans="1:2">
      <c r="A1068" t="s">
        <v>2371</v>
      </c>
      <c r="B1068">
        <v>2</v>
      </c>
    </row>
    <row r="1069" spans="1:2">
      <c r="A1069" t="s">
        <v>728</v>
      </c>
      <c r="B1069">
        <v>3</v>
      </c>
    </row>
    <row r="1070" spans="1:2">
      <c r="A1070" t="s">
        <v>2986</v>
      </c>
      <c r="B1070">
        <v>4</v>
      </c>
    </row>
    <row r="1071" spans="1:2">
      <c r="A1071" t="s">
        <v>2989</v>
      </c>
      <c r="B1071">
        <v>2</v>
      </c>
    </row>
    <row r="1072" spans="1:2">
      <c r="A1072" t="s">
        <v>2079</v>
      </c>
      <c r="B1072">
        <v>1</v>
      </c>
    </row>
    <row r="1073" spans="1:2">
      <c r="A1073" t="s">
        <v>2092</v>
      </c>
      <c r="B1073">
        <v>3</v>
      </c>
    </row>
    <row r="1074" spans="1:2">
      <c r="A1074" t="s">
        <v>2017</v>
      </c>
      <c r="B1074">
        <v>2</v>
      </c>
    </row>
    <row r="1075" spans="1:2">
      <c r="A1075" t="s">
        <v>2999</v>
      </c>
      <c r="B1075">
        <v>1</v>
      </c>
    </row>
    <row r="1076" spans="1:2">
      <c r="A1076" t="s">
        <v>1893</v>
      </c>
      <c r="B1076">
        <v>1</v>
      </c>
    </row>
    <row r="1077" spans="1:2">
      <c r="A1077" t="s">
        <v>991</v>
      </c>
      <c r="B1077">
        <v>2</v>
      </c>
    </row>
    <row r="1078" spans="1:2">
      <c r="A1078" t="s">
        <v>961</v>
      </c>
      <c r="B1078">
        <v>1</v>
      </c>
    </row>
    <row r="1079" spans="1:2">
      <c r="A1079" t="s">
        <v>731</v>
      </c>
      <c r="B1079">
        <v>1</v>
      </c>
    </row>
    <row r="1080" spans="1:2">
      <c r="A1080" t="s">
        <v>1281</v>
      </c>
      <c r="B1080">
        <v>2</v>
      </c>
    </row>
    <row r="1081" spans="1:2">
      <c r="A1081" t="s">
        <v>1131</v>
      </c>
      <c r="B1081">
        <v>1</v>
      </c>
    </row>
    <row r="1082" spans="1:2">
      <c r="A1082" t="s">
        <v>322</v>
      </c>
      <c r="B1082">
        <v>2</v>
      </c>
    </row>
    <row r="1083" spans="1:2">
      <c r="A1083" t="s">
        <v>436</v>
      </c>
      <c r="B1083">
        <v>2</v>
      </c>
    </row>
    <row r="1084" spans="1:2">
      <c r="A1084" t="s">
        <v>432</v>
      </c>
      <c r="B1084">
        <v>4</v>
      </c>
    </row>
    <row r="1085" spans="1:2">
      <c r="A1085" t="s">
        <v>46</v>
      </c>
      <c r="B1085">
        <v>3</v>
      </c>
    </row>
    <row r="1086" spans="1:2">
      <c r="A1086" t="s">
        <v>3005</v>
      </c>
      <c r="B1086">
        <v>1</v>
      </c>
    </row>
    <row r="1087" spans="1:2">
      <c r="A1087" t="s">
        <v>1733</v>
      </c>
      <c r="B1087">
        <v>2</v>
      </c>
    </row>
    <row r="1088" spans="1:2">
      <c r="A1088" t="s">
        <v>3006</v>
      </c>
      <c r="B1088">
        <v>1</v>
      </c>
    </row>
    <row r="1089" spans="1:2">
      <c r="A1089" t="s">
        <v>3009</v>
      </c>
      <c r="B1089">
        <v>1</v>
      </c>
    </row>
    <row r="1090" spans="1:2">
      <c r="A1090" t="s">
        <v>936</v>
      </c>
      <c r="B1090">
        <v>2</v>
      </c>
    </row>
    <row r="1091" spans="1:2">
      <c r="A1091" t="s">
        <v>708</v>
      </c>
      <c r="B1091">
        <v>8</v>
      </c>
    </row>
    <row r="1092" spans="1:2">
      <c r="A1092" t="s">
        <v>2042</v>
      </c>
      <c r="B1092">
        <v>1</v>
      </c>
    </row>
    <row r="1093" spans="1:2">
      <c r="A1093" t="s">
        <v>1385</v>
      </c>
      <c r="B1093">
        <v>1</v>
      </c>
    </row>
    <row r="1094" spans="1:2">
      <c r="A1094" t="s">
        <v>904</v>
      </c>
      <c r="B1094">
        <v>1</v>
      </c>
    </row>
    <row r="1095" spans="1:2">
      <c r="A1095" t="s">
        <v>650</v>
      </c>
      <c r="B1095">
        <v>2</v>
      </c>
    </row>
    <row r="1096" spans="1:2">
      <c r="A1096" t="s">
        <v>380</v>
      </c>
      <c r="B1096">
        <v>1</v>
      </c>
    </row>
    <row r="1097" spans="1:2">
      <c r="A1097" t="s">
        <v>970</v>
      </c>
      <c r="B1097">
        <v>1</v>
      </c>
    </row>
    <row r="1098" spans="1:2">
      <c r="A1098" t="s">
        <v>360</v>
      </c>
      <c r="B1098">
        <v>1</v>
      </c>
    </row>
    <row r="1099" spans="1:2">
      <c r="A1099" t="s">
        <v>56</v>
      </c>
      <c r="B1099">
        <v>1</v>
      </c>
    </row>
    <row r="1100" spans="1:2">
      <c r="A1100" t="s">
        <v>495</v>
      </c>
      <c r="B1100">
        <v>2</v>
      </c>
    </row>
    <row r="1101" spans="1:2">
      <c r="A1101" t="s">
        <v>2255</v>
      </c>
      <c r="B1101">
        <v>1</v>
      </c>
    </row>
    <row r="1102" spans="1:2">
      <c r="A1102" t="s">
        <v>3049</v>
      </c>
      <c r="B1102">
        <v>1</v>
      </c>
    </row>
    <row r="1103" spans="1:2">
      <c r="A1103" t="s">
        <v>3051</v>
      </c>
      <c r="B1103">
        <v>1</v>
      </c>
    </row>
    <row r="1104" spans="1:2">
      <c r="A1104" t="s">
        <v>3053</v>
      </c>
      <c r="B1104">
        <v>1</v>
      </c>
    </row>
    <row r="1105" spans="1:2">
      <c r="A1105" t="s">
        <v>2875</v>
      </c>
      <c r="B1105">
        <v>1</v>
      </c>
    </row>
    <row r="1106" spans="1:2">
      <c r="A1106" t="s">
        <v>431</v>
      </c>
      <c r="B1106">
        <v>1</v>
      </c>
    </row>
    <row r="1107" spans="1:2">
      <c r="A1107" s="2" t="s">
        <v>9</v>
      </c>
      <c r="B1107" s="2">
        <v>237</v>
      </c>
    </row>
    <row r="1109" spans="1:2">
      <c r="A1109" s="2" t="s">
        <v>48</v>
      </c>
    </row>
    <row r="1110" spans="1:2">
      <c r="A1110" s="2" t="s">
        <v>0</v>
      </c>
      <c r="B1110" s="2" t="s">
        <v>1</v>
      </c>
    </row>
    <row r="1111" spans="1:2">
      <c r="A1111" t="s">
        <v>609</v>
      </c>
      <c r="B1111">
        <v>13</v>
      </c>
    </row>
    <row r="1112" spans="1:2">
      <c r="A1112" t="s">
        <v>27</v>
      </c>
      <c r="B1112">
        <v>4</v>
      </c>
    </row>
    <row r="1113" spans="1:2">
      <c r="A1113" t="s">
        <v>438</v>
      </c>
      <c r="B1113">
        <v>1</v>
      </c>
    </row>
    <row r="1114" spans="1:2">
      <c r="A1114" t="s">
        <v>219</v>
      </c>
      <c r="B1114">
        <v>21</v>
      </c>
    </row>
    <row r="1115" spans="1:2">
      <c r="A1115" t="s">
        <v>328</v>
      </c>
      <c r="B1115">
        <v>39</v>
      </c>
    </row>
    <row r="1116" spans="1:2">
      <c r="A1116" t="s">
        <v>233</v>
      </c>
      <c r="B1116">
        <v>71</v>
      </c>
    </row>
    <row r="1117" spans="1:2">
      <c r="A1117" t="s">
        <v>570</v>
      </c>
      <c r="B1117">
        <v>48</v>
      </c>
    </row>
    <row r="1118" spans="1:2">
      <c r="A1118" t="s">
        <v>342</v>
      </c>
      <c r="B1118">
        <v>35</v>
      </c>
    </row>
    <row r="1119" spans="1:2">
      <c r="A1119" t="s">
        <v>594</v>
      </c>
      <c r="B1119">
        <v>11</v>
      </c>
    </row>
    <row r="1120" spans="1:2">
      <c r="A1120" t="s">
        <v>1333</v>
      </c>
      <c r="B1120">
        <v>3</v>
      </c>
    </row>
    <row r="1121" spans="1:2">
      <c r="A1121" t="s">
        <v>218</v>
      </c>
      <c r="B1121">
        <v>5</v>
      </c>
    </row>
    <row r="1122" spans="1:2">
      <c r="A1122" t="s">
        <v>590</v>
      </c>
      <c r="B1122">
        <v>8</v>
      </c>
    </row>
    <row r="1123" spans="1:2">
      <c r="A1123" t="s">
        <v>675</v>
      </c>
      <c r="B1123">
        <v>12</v>
      </c>
    </row>
    <row r="1124" spans="1:2">
      <c r="A1124" t="s">
        <v>1876</v>
      </c>
      <c r="B1124">
        <v>2</v>
      </c>
    </row>
    <row r="1125" spans="1:2">
      <c r="A1125" t="s">
        <v>440</v>
      </c>
      <c r="B1125">
        <v>3</v>
      </c>
    </row>
    <row r="1126" spans="1:2">
      <c r="A1126" t="s">
        <v>381</v>
      </c>
      <c r="B1126">
        <v>14</v>
      </c>
    </row>
    <row r="1127" spans="1:2">
      <c r="A1127" t="s">
        <v>216</v>
      </c>
      <c r="B1127">
        <v>3</v>
      </c>
    </row>
    <row r="1128" spans="1:2">
      <c r="A1128" t="s">
        <v>18</v>
      </c>
      <c r="B1128">
        <v>1</v>
      </c>
    </row>
    <row r="1129" spans="1:2">
      <c r="A1129" t="s">
        <v>937</v>
      </c>
      <c r="B1129">
        <v>1</v>
      </c>
    </row>
    <row r="1130" spans="1:2">
      <c r="A1130" t="s">
        <v>853</v>
      </c>
      <c r="B1130">
        <v>4</v>
      </c>
    </row>
    <row r="1131" spans="1:2">
      <c r="A1131" t="s">
        <v>39</v>
      </c>
      <c r="B1131">
        <v>1</v>
      </c>
    </row>
    <row r="1132" spans="1:2">
      <c r="A1132" t="s">
        <v>1157</v>
      </c>
      <c r="B1132">
        <v>1</v>
      </c>
    </row>
    <row r="1133" spans="1:2">
      <c r="A1133" t="s">
        <v>593</v>
      </c>
      <c r="B1133">
        <v>14</v>
      </c>
    </row>
    <row r="1134" spans="1:2">
      <c r="A1134" t="s">
        <v>249</v>
      </c>
      <c r="B1134">
        <v>1</v>
      </c>
    </row>
    <row r="1135" spans="1:2">
      <c r="A1135" t="s">
        <v>1154</v>
      </c>
      <c r="B1135">
        <v>6</v>
      </c>
    </row>
    <row r="1136" spans="1:2">
      <c r="A1136" t="s">
        <v>1739</v>
      </c>
      <c r="B1136">
        <v>3</v>
      </c>
    </row>
    <row r="1137" spans="1:2">
      <c r="A1137" t="s">
        <v>2994</v>
      </c>
      <c r="B1137">
        <v>1</v>
      </c>
    </row>
    <row r="1138" spans="1:2">
      <c r="A1138" t="s">
        <v>582</v>
      </c>
      <c r="B1138">
        <v>1</v>
      </c>
    </row>
    <row r="1139" spans="1:2">
      <c r="A1139" t="s">
        <v>572</v>
      </c>
      <c r="B1139">
        <v>2</v>
      </c>
    </row>
    <row r="1140" spans="1:2">
      <c r="A1140" t="s">
        <v>3014</v>
      </c>
      <c r="B1140">
        <v>1</v>
      </c>
    </row>
    <row r="1141" spans="1:2">
      <c r="A1141" t="s">
        <v>1949</v>
      </c>
      <c r="B1141">
        <v>1</v>
      </c>
    </row>
    <row r="1142" spans="1:2">
      <c r="A1142" t="s">
        <v>283</v>
      </c>
      <c r="B1142">
        <v>1</v>
      </c>
    </row>
    <row r="1143" spans="1:2">
      <c r="A1143" t="s">
        <v>40</v>
      </c>
      <c r="B1143">
        <v>1</v>
      </c>
    </row>
    <row r="1144" spans="1:2">
      <c r="A1144" t="s">
        <v>2429</v>
      </c>
      <c r="B1144">
        <v>1</v>
      </c>
    </row>
    <row r="1145" spans="1:2">
      <c r="A1145" t="s">
        <v>3026</v>
      </c>
      <c r="B1145">
        <v>1</v>
      </c>
    </row>
    <row r="1146" spans="1:2">
      <c r="A1146" t="s">
        <v>411</v>
      </c>
      <c r="B1146">
        <v>1</v>
      </c>
    </row>
    <row r="1147" spans="1:2">
      <c r="A1147" t="s">
        <v>1407</v>
      </c>
      <c r="B1147">
        <v>2</v>
      </c>
    </row>
    <row r="1148" spans="1:2">
      <c r="A1148" t="s">
        <v>3038</v>
      </c>
      <c r="B1148">
        <v>1</v>
      </c>
    </row>
    <row r="1149" spans="1:2">
      <c r="A1149" t="s">
        <v>614</v>
      </c>
      <c r="B1149">
        <v>1</v>
      </c>
    </row>
    <row r="1150" spans="1:2">
      <c r="A1150" t="s">
        <v>2859</v>
      </c>
      <c r="B1150">
        <v>1</v>
      </c>
    </row>
    <row r="1151" spans="1:2">
      <c r="A1151" s="2" t="s">
        <v>9</v>
      </c>
      <c r="B1151" s="2">
        <v>341</v>
      </c>
    </row>
    <row r="1153" spans="1:2">
      <c r="A1153" s="2" t="s">
        <v>2939</v>
      </c>
    </row>
    <row r="1154" spans="1:2">
      <c r="A1154" s="2" t="s">
        <v>0</v>
      </c>
      <c r="B1154" s="2" t="s">
        <v>1</v>
      </c>
    </row>
    <row r="1155" spans="1:2">
      <c r="A1155" t="s">
        <v>2961</v>
      </c>
      <c r="B1155">
        <v>1</v>
      </c>
    </row>
    <row r="1156" spans="1:2">
      <c r="A1156" t="s">
        <v>174</v>
      </c>
      <c r="B1156">
        <v>1</v>
      </c>
    </row>
    <row r="1157" spans="1:2">
      <c r="A1157" t="s">
        <v>2962</v>
      </c>
      <c r="B1157">
        <v>1</v>
      </c>
    </row>
    <row r="1158" spans="1:2">
      <c r="A1158" t="s">
        <v>135</v>
      </c>
      <c r="B1158">
        <v>5</v>
      </c>
    </row>
    <row r="1159" spans="1:2">
      <c r="A1159" t="s">
        <v>146</v>
      </c>
      <c r="B1159">
        <v>10</v>
      </c>
    </row>
    <row r="1160" spans="1:2">
      <c r="A1160" t="s">
        <v>127</v>
      </c>
      <c r="B1160">
        <v>21</v>
      </c>
    </row>
    <row r="1161" spans="1:2">
      <c r="A1161" t="s">
        <v>1926</v>
      </c>
      <c r="B1161">
        <v>3</v>
      </c>
    </row>
    <row r="1162" spans="1:2">
      <c r="A1162" t="s">
        <v>1417</v>
      </c>
      <c r="B1162">
        <v>5</v>
      </c>
    </row>
    <row r="1163" spans="1:2">
      <c r="A1163" t="s">
        <v>2968</v>
      </c>
      <c r="B1163">
        <v>2</v>
      </c>
    </row>
    <row r="1164" spans="1:2">
      <c r="A1164" t="s">
        <v>888</v>
      </c>
      <c r="B1164">
        <v>9</v>
      </c>
    </row>
    <row r="1165" spans="1:2">
      <c r="A1165" t="s">
        <v>456</v>
      </c>
      <c r="B1165">
        <v>4</v>
      </c>
    </row>
    <row r="1166" spans="1:2">
      <c r="A1166" t="s">
        <v>2281</v>
      </c>
      <c r="B1166">
        <v>2</v>
      </c>
    </row>
    <row r="1167" spans="1:2">
      <c r="A1167" t="s">
        <v>130</v>
      </c>
      <c r="B1167">
        <v>35</v>
      </c>
    </row>
    <row r="1168" spans="1:2">
      <c r="A1168" t="s">
        <v>704</v>
      </c>
      <c r="B1168">
        <v>10</v>
      </c>
    </row>
    <row r="1169" spans="1:2">
      <c r="A1169" t="s">
        <v>366</v>
      </c>
      <c r="B1169">
        <v>4</v>
      </c>
    </row>
    <row r="1170" spans="1:2">
      <c r="A1170" t="s">
        <v>562</v>
      </c>
      <c r="B1170">
        <v>4</v>
      </c>
    </row>
    <row r="1171" spans="1:2">
      <c r="A1171" t="s">
        <v>2979</v>
      </c>
      <c r="B1171">
        <v>1</v>
      </c>
    </row>
    <row r="1172" spans="1:2">
      <c r="A1172" t="s">
        <v>162</v>
      </c>
      <c r="B1172">
        <v>9</v>
      </c>
    </row>
    <row r="1173" spans="1:2">
      <c r="A1173" t="s">
        <v>824</v>
      </c>
      <c r="B1173">
        <v>2</v>
      </c>
    </row>
    <row r="1174" spans="1:2">
      <c r="A1174" t="s">
        <v>851</v>
      </c>
      <c r="B1174">
        <v>3</v>
      </c>
    </row>
    <row r="1175" spans="1:2">
      <c r="A1175" t="s">
        <v>2552</v>
      </c>
      <c r="B1175">
        <v>2</v>
      </c>
    </row>
    <row r="1176" spans="1:2">
      <c r="A1176" t="s">
        <v>1086</v>
      </c>
      <c r="B1176">
        <v>9</v>
      </c>
    </row>
    <row r="1177" spans="1:2">
      <c r="A1177" t="s">
        <v>1164</v>
      </c>
      <c r="B1177">
        <v>3</v>
      </c>
    </row>
    <row r="1178" spans="1:2">
      <c r="A1178" t="s">
        <v>719</v>
      </c>
      <c r="B1178">
        <v>3</v>
      </c>
    </row>
    <row r="1179" spans="1:2">
      <c r="A1179" t="s">
        <v>746</v>
      </c>
      <c r="B1179">
        <v>3</v>
      </c>
    </row>
    <row r="1180" spans="1:2">
      <c r="A1180" t="s">
        <v>769</v>
      </c>
      <c r="B1180">
        <v>3</v>
      </c>
    </row>
    <row r="1181" spans="1:2">
      <c r="A1181" t="s">
        <v>1412</v>
      </c>
      <c r="B1181">
        <v>2</v>
      </c>
    </row>
    <row r="1182" spans="1:2">
      <c r="A1182" t="s">
        <v>1578</v>
      </c>
      <c r="B1182">
        <v>2</v>
      </c>
    </row>
    <row r="1183" spans="1:2">
      <c r="A1183" t="s">
        <v>943</v>
      </c>
      <c r="B1183">
        <v>3</v>
      </c>
    </row>
    <row r="1184" spans="1:2">
      <c r="A1184" t="s">
        <v>2055</v>
      </c>
      <c r="B1184">
        <v>1</v>
      </c>
    </row>
    <row r="1185" spans="1:2">
      <c r="A1185" t="s">
        <v>2987</v>
      </c>
      <c r="B1185">
        <v>1</v>
      </c>
    </row>
    <row r="1186" spans="1:2">
      <c r="A1186" t="s">
        <v>2988</v>
      </c>
      <c r="B1186">
        <v>1</v>
      </c>
    </row>
    <row r="1187" spans="1:2">
      <c r="A1187" t="s">
        <v>2467</v>
      </c>
      <c r="B1187">
        <v>1</v>
      </c>
    </row>
    <row r="1188" spans="1:2">
      <c r="A1188" t="s">
        <v>311</v>
      </c>
      <c r="B1188">
        <v>1</v>
      </c>
    </row>
    <row r="1189" spans="1:2">
      <c r="A1189" t="s">
        <v>1767</v>
      </c>
      <c r="B1189">
        <v>2</v>
      </c>
    </row>
    <row r="1190" spans="1:2">
      <c r="A1190" t="s">
        <v>2998</v>
      </c>
      <c r="B1190">
        <v>7</v>
      </c>
    </row>
    <row r="1191" spans="1:2">
      <c r="A1191" t="s">
        <v>1565</v>
      </c>
      <c r="B1191">
        <v>1</v>
      </c>
    </row>
    <row r="1192" spans="1:2">
      <c r="A1192" t="s">
        <v>1588</v>
      </c>
      <c r="B1192">
        <v>3</v>
      </c>
    </row>
    <row r="1193" spans="1:2">
      <c r="A1193" t="s">
        <v>621</v>
      </c>
      <c r="B1193">
        <v>2</v>
      </c>
    </row>
    <row r="1194" spans="1:2">
      <c r="A1194" t="s">
        <v>2979</v>
      </c>
      <c r="B1194">
        <v>1</v>
      </c>
    </row>
    <row r="1195" spans="1:2">
      <c r="A1195" t="s">
        <v>80</v>
      </c>
      <c r="B1195">
        <v>2</v>
      </c>
    </row>
    <row r="1196" spans="1:2">
      <c r="A1196" t="s">
        <v>1091</v>
      </c>
      <c r="B1196">
        <v>3</v>
      </c>
    </row>
    <row r="1197" spans="1:2">
      <c r="A1197" t="s">
        <v>81</v>
      </c>
      <c r="B1197">
        <v>1</v>
      </c>
    </row>
    <row r="1198" spans="1:2">
      <c r="A1198" t="s">
        <v>3007</v>
      </c>
      <c r="B1198">
        <v>1</v>
      </c>
    </row>
    <row r="1199" spans="1:2">
      <c r="A1199" t="s">
        <v>67</v>
      </c>
      <c r="B1199">
        <v>3</v>
      </c>
    </row>
    <row r="1200" spans="1:2">
      <c r="A1200" t="s">
        <v>3010</v>
      </c>
      <c r="B1200">
        <v>2</v>
      </c>
    </row>
    <row r="1201" spans="1:2">
      <c r="A1201" t="s">
        <v>707</v>
      </c>
      <c r="B1201">
        <v>2</v>
      </c>
    </row>
    <row r="1202" spans="1:2">
      <c r="A1202" t="s">
        <v>2614</v>
      </c>
      <c r="B1202">
        <v>1</v>
      </c>
    </row>
    <row r="1203" spans="1:2">
      <c r="A1203" t="s">
        <v>207</v>
      </c>
      <c r="B1203">
        <v>3</v>
      </c>
    </row>
    <row r="1204" spans="1:2">
      <c r="A1204" t="s">
        <v>3023</v>
      </c>
      <c r="B1204">
        <v>1</v>
      </c>
    </row>
    <row r="1205" spans="1:2">
      <c r="A1205" t="s">
        <v>2082</v>
      </c>
      <c r="B1205">
        <v>1</v>
      </c>
    </row>
    <row r="1206" spans="1:2">
      <c r="A1206" t="s">
        <v>1465</v>
      </c>
      <c r="B1206">
        <v>1</v>
      </c>
    </row>
    <row r="1207" spans="1:2">
      <c r="A1207" t="s">
        <v>367</v>
      </c>
      <c r="B1207">
        <v>1</v>
      </c>
    </row>
    <row r="1208" spans="1:2">
      <c r="A1208" t="s">
        <v>475</v>
      </c>
      <c r="B1208">
        <v>1</v>
      </c>
    </row>
    <row r="1209" spans="1:2">
      <c r="A1209" t="s">
        <v>3039</v>
      </c>
      <c r="B1209">
        <v>1</v>
      </c>
    </row>
    <row r="1210" spans="1:2">
      <c r="A1210" s="2" t="s">
        <v>9</v>
      </c>
      <c r="B1210" s="2">
        <v>207</v>
      </c>
    </row>
    <row r="1212" spans="1:2">
      <c r="A1212" s="2" t="s">
        <v>50</v>
      </c>
    </row>
    <row r="1213" spans="1:2">
      <c r="A1213" s="2" t="s">
        <v>0</v>
      </c>
      <c r="B1213" s="2" t="s">
        <v>1</v>
      </c>
    </row>
    <row r="1214" spans="1:2">
      <c r="A1214" t="s">
        <v>157</v>
      </c>
      <c r="B1214">
        <v>10</v>
      </c>
    </row>
    <row r="1215" spans="1:2">
      <c r="A1215" t="s">
        <v>25</v>
      </c>
      <c r="B1215">
        <v>33</v>
      </c>
    </row>
    <row r="1216" spans="1:2">
      <c r="A1216" t="s">
        <v>2963</v>
      </c>
      <c r="B1216">
        <v>1</v>
      </c>
    </row>
    <row r="1217" spans="1:2">
      <c r="A1217" t="s">
        <v>455</v>
      </c>
      <c r="B1217">
        <v>27</v>
      </c>
    </row>
    <row r="1218" spans="1:2">
      <c r="A1218" t="s">
        <v>170</v>
      </c>
      <c r="B1218">
        <v>6</v>
      </c>
    </row>
    <row r="1219" spans="1:2">
      <c r="A1219" t="s">
        <v>433</v>
      </c>
      <c r="B1219">
        <v>2</v>
      </c>
    </row>
    <row r="1220" spans="1:2">
      <c r="A1220" t="s">
        <v>1277</v>
      </c>
      <c r="B1220">
        <v>8</v>
      </c>
    </row>
    <row r="1221" spans="1:2">
      <c r="A1221" t="s">
        <v>237</v>
      </c>
      <c r="B1221">
        <v>6</v>
      </c>
    </row>
    <row r="1222" spans="1:2">
      <c r="A1222" t="s">
        <v>983</v>
      </c>
      <c r="B1222">
        <v>7</v>
      </c>
    </row>
    <row r="1223" spans="1:2">
      <c r="A1223" t="s">
        <v>830</v>
      </c>
      <c r="B1223">
        <v>9</v>
      </c>
    </row>
    <row r="1224" spans="1:2">
      <c r="A1224" t="s">
        <v>492</v>
      </c>
      <c r="B1224">
        <v>1</v>
      </c>
    </row>
    <row r="1225" spans="1:2">
      <c r="A1225" t="s">
        <v>68</v>
      </c>
      <c r="B1225">
        <v>9</v>
      </c>
    </row>
    <row r="1226" spans="1:2">
      <c r="A1226" t="s">
        <v>1576</v>
      </c>
      <c r="B1226">
        <v>6</v>
      </c>
    </row>
    <row r="1227" spans="1:2">
      <c r="A1227" t="s">
        <v>454</v>
      </c>
      <c r="B1227">
        <v>8</v>
      </c>
    </row>
    <row r="1228" spans="1:2">
      <c r="A1228" t="s">
        <v>1846</v>
      </c>
      <c r="B1228">
        <v>7</v>
      </c>
    </row>
    <row r="1229" spans="1:2">
      <c r="A1229" t="s">
        <v>354</v>
      </c>
      <c r="B1229">
        <v>3</v>
      </c>
    </row>
    <row r="1230" spans="1:2">
      <c r="A1230" t="s">
        <v>474</v>
      </c>
      <c r="B1230">
        <v>4</v>
      </c>
    </row>
    <row r="1231" spans="1:2">
      <c r="A1231" t="s">
        <v>2506</v>
      </c>
      <c r="B1231">
        <v>2</v>
      </c>
    </row>
    <row r="1232" spans="1:2">
      <c r="A1232" t="s">
        <v>86</v>
      </c>
      <c r="B1232">
        <v>19</v>
      </c>
    </row>
    <row r="1233" spans="1:2">
      <c r="A1233" t="s">
        <v>1076</v>
      </c>
      <c r="B1233">
        <v>2</v>
      </c>
    </row>
    <row r="1234" spans="1:2">
      <c r="A1234" t="s">
        <v>1546</v>
      </c>
      <c r="B1234">
        <v>2</v>
      </c>
    </row>
    <row r="1235" spans="1:2">
      <c r="A1235" t="s">
        <v>1821</v>
      </c>
      <c r="B1235">
        <v>7</v>
      </c>
    </row>
    <row r="1236" spans="1:2">
      <c r="A1236" t="s">
        <v>2975</v>
      </c>
      <c r="B1236">
        <v>1</v>
      </c>
    </row>
    <row r="1237" spans="1:2">
      <c r="A1237" t="s">
        <v>262</v>
      </c>
      <c r="B1237">
        <v>4</v>
      </c>
    </row>
    <row r="1238" spans="1:2">
      <c r="A1238" t="s">
        <v>447</v>
      </c>
      <c r="B1238">
        <v>5</v>
      </c>
    </row>
    <row r="1239" spans="1:2">
      <c r="A1239" t="s">
        <v>839</v>
      </c>
      <c r="B1239">
        <v>6</v>
      </c>
    </row>
    <row r="1240" spans="1:2">
      <c r="A1240" t="s">
        <v>2038</v>
      </c>
      <c r="B1240">
        <v>4</v>
      </c>
    </row>
    <row r="1241" spans="1:2">
      <c r="A1241" t="s">
        <v>143</v>
      </c>
      <c r="B1241">
        <v>7</v>
      </c>
    </row>
    <row r="1242" spans="1:2">
      <c r="A1242" t="s">
        <v>484</v>
      </c>
      <c r="B1242">
        <v>6</v>
      </c>
    </row>
    <row r="1243" spans="1:2">
      <c r="A1243" t="s">
        <v>953</v>
      </c>
      <c r="B1243">
        <v>3</v>
      </c>
    </row>
    <row r="1244" spans="1:2">
      <c r="A1244" t="s">
        <v>348</v>
      </c>
      <c r="B1244">
        <v>1</v>
      </c>
    </row>
    <row r="1245" spans="1:2">
      <c r="A1245" t="s">
        <v>461</v>
      </c>
      <c r="B1245">
        <v>6</v>
      </c>
    </row>
    <row r="1246" spans="1:2">
      <c r="A1246" t="s">
        <v>1215</v>
      </c>
      <c r="B1246">
        <v>1</v>
      </c>
    </row>
    <row r="1247" spans="1:2">
      <c r="A1247" t="s">
        <v>175</v>
      </c>
      <c r="B1247">
        <v>8</v>
      </c>
    </row>
    <row r="1248" spans="1:2">
      <c r="A1248" t="s">
        <v>1858</v>
      </c>
      <c r="B1248">
        <v>1</v>
      </c>
    </row>
    <row r="1249" spans="1:2">
      <c r="A1249" t="s">
        <v>209</v>
      </c>
      <c r="B1249">
        <v>3</v>
      </c>
    </row>
    <row r="1250" spans="1:2">
      <c r="A1250" t="s">
        <v>1033</v>
      </c>
      <c r="B1250">
        <v>2</v>
      </c>
    </row>
    <row r="1251" spans="1:2">
      <c r="A1251" t="s">
        <v>819</v>
      </c>
      <c r="B1251">
        <v>2</v>
      </c>
    </row>
    <row r="1252" spans="1:2">
      <c r="A1252" t="s">
        <v>2425</v>
      </c>
      <c r="B1252">
        <v>3</v>
      </c>
    </row>
    <row r="1253" spans="1:2">
      <c r="A1253" t="s">
        <v>723</v>
      </c>
      <c r="B1253">
        <v>3</v>
      </c>
    </row>
    <row r="1254" spans="1:2">
      <c r="A1254" t="s">
        <v>413</v>
      </c>
      <c r="B1254">
        <v>1</v>
      </c>
    </row>
    <row r="1255" spans="1:2">
      <c r="A1255" t="s">
        <v>3021</v>
      </c>
      <c r="B1255">
        <v>1</v>
      </c>
    </row>
    <row r="1256" spans="1:2">
      <c r="A1256" t="s">
        <v>1815</v>
      </c>
      <c r="B1256">
        <v>2</v>
      </c>
    </row>
    <row r="1257" spans="1:2">
      <c r="A1257" t="s">
        <v>1453</v>
      </c>
      <c r="B1257">
        <v>1</v>
      </c>
    </row>
    <row r="1258" spans="1:2">
      <c r="A1258" t="s">
        <v>3024</v>
      </c>
      <c r="B1258">
        <v>1</v>
      </c>
    </row>
    <row r="1259" spans="1:2">
      <c r="A1259" t="s">
        <v>3025</v>
      </c>
      <c r="B1259">
        <v>1</v>
      </c>
    </row>
    <row r="1260" spans="1:2">
      <c r="A1260" t="s">
        <v>1106</v>
      </c>
      <c r="B1260">
        <v>1</v>
      </c>
    </row>
    <row r="1261" spans="1:2">
      <c r="A1261" t="s">
        <v>1574</v>
      </c>
      <c r="B1261">
        <v>1</v>
      </c>
    </row>
    <row r="1262" spans="1:2">
      <c r="A1262" t="s">
        <v>1869</v>
      </c>
      <c r="B1262">
        <v>2</v>
      </c>
    </row>
    <row r="1263" spans="1:2">
      <c r="A1263" t="s">
        <v>3032</v>
      </c>
      <c r="B1263">
        <v>1</v>
      </c>
    </row>
    <row r="1264" spans="1:2">
      <c r="A1264" t="s">
        <v>3033</v>
      </c>
      <c r="B1264">
        <v>1</v>
      </c>
    </row>
    <row r="1265" spans="1:2">
      <c r="A1265" t="s">
        <v>3036</v>
      </c>
      <c r="B1265">
        <v>1</v>
      </c>
    </row>
    <row r="1266" spans="1:2">
      <c r="A1266" t="s">
        <v>956</v>
      </c>
      <c r="B1266">
        <v>1</v>
      </c>
    </row>
    <row r="1267" spans="1:2">
      <c r="A1267" t="s">
        <v>2780</v>
      </c>
      <c r="B1267">
        <v>1</v>
      </c>
    </row>
    <row r="1268" spans="1:2">
      <c r="A1268" t="s">
        <v>400</v>
      </c>
      <c r="B1268">
        <v>1</v>
      </c>
    </row>
    <row r="1269" spans="1:2">
      <c r="A1269" t="s">
        <v>999</v>
      </c>
      <c r="B1269">
        <v>1</v>
      </c>
    </row>
    <row r="1270" spans="1:2">
      <c r="A1270" t="s">
        <v>2067</v>
      </c>
      <c r="B1270">
        <v>1</v>
      </c>
    </row>
    <row r="1271" spans="1:2">
      <c r="A1271" t="s">
        <v>1620</v>
      </c>
      <c r="B1271">
        <v>1</v>
      </c>
    </row>
    <row r="1272" spans="1:2">
      <c r="A1272" t="s">
        <v>987</v>
      </c>
      <c r="B1272">
        <v>2</v>
      </c>
    </row>
    <row r="1273" spans="1:2">
      <c r="A1273" t="s">
        <v>445</v>
      </c>
      <c r="B1273">
        <v>1</v>
      </c>
    </row>
    <row r="1274" spans="1:2">
      <c r="A1274" t="s">
        <v>1621</v>
      </c>
      <c r="B1274">
        <v>1</v>
      </c>
    </row>
    <row r="1275" spans="1:2">
      <c r="A1275" t="s">
        <v>464</v>
      </c>
      <c r="B1275">
        <v>1</v>
      </c>
    </row>
    <row r="1276" spans="1:2">
      <c r="A1276" t="s">
        <v>1080</v>
      </c>
      <c r="B1276">
        <v>1</v>
      </c>
    </row>
    <row r="1277" spans="1:2">
      <c r="A1277" t="s">
        <v>1941</v>
      </c>
      <c r="B1277">
        <v>1</v>
      </c>
    </row>
    <row r="1278" spans="1:2">
      <c r="A1278" t="s">
        <v>1736</v>
      </c>
      <c r="B1278">
        <v>1</v>
      </c>
    </row>
    <row r="1279" spans="1:2">
      <c r="A1279" t="s">
        <v>1271</v>
      </c>
      <c r="B1279">
        <v>1</v>
      </c>
    </row>
    <row r="1280" spans="1:2">
      <c r="A1280" s="2" t="s">
        <v>9</v>
      </c>
      <c r="B1280" s="2">
        <v>274</v>
      </c>
    </row>
    <row r="1282" spans="1:2">
      <c r="A1282" s="2" t="s">
        <v>529</v>
      </c>
    </row>
    <row r="1283" spans="1:2">
      <c r="A1283" s="2" t="s">
        <v>0</v>
      </c>
      <c r="B1283" s="2" t="s">
        <v>1</v>
      </c>
    </row>
    <row r="1284" spans="1:2">
      <c r="A1284" t="s">
        <v>313</v>
      </c>
      <c r="B1284">
        <v>3</v>
      </c>
    </row>
    <row r="1285" spans="1:2">
      <c r="A1285" t="s">
        <v>215</v>
      </c>
      <c r="B1285">
        <v>2</v>
      </c>
    </row>
    <row r="1286" spans="1:2">
      <c r="A1286" t="s">
        <v>798</v>
      </c>
      <c r="B1286">
        <v>2</v>
      </c>
    </row>
    <row r="1287" spans="1:2">
      <c r="A1287" t="s">
        <v>422</v>
      </c>
      <c r="B1287">
        <v>7</v>
      </c>
    </row>
    <row r="1288" spans="1:2">
      <c r="A1288" t="s">
        <v>1327</v>
      </c>
      <c r="B1288">
        <v>1</v>
      </c>
    </row>
    <row r="1289" spans="1:2">
      <c r="A1289" t="s">
        <v>914</v>
      </c>
      <c r="B1289">
        <v>1</v>
      </c>
    </row>
    <row r="1290" spans="1:2">
      <c r="A1290" t="s">
        <v>2892</v>
      </c>
      <c r="B1290">
        <v>1</v>
      </c>
    </row>
    <row r="1291" spans="1:2">
      <c r="A1291" t="s">
        <v>2008</v>
      </c>
      <c r="B1291">
        <v>1</v>
      </c>
    </row>
    <row r="1292" spans="1:2">
      <c r="A1292" t="s">
        <v>3020</v>
      </c>
      <c r="B1292">
        <v>1</v>
      </c>
    </row>
    <row r="1293" spans="1:2">
      <c r="A1293" t="s">
        <v>2195</v>
      </c>
      <c r="B1293">
        <v>1</v>
      </c>
    </row>
    <row r="1294" spans="1:2">
      <c r="A1294" t="s">
        <v>490</v>
      </c>
      <c r="B1294">
        <v>2</v>
      </c>
    </row>
    <row r="1295" spans="1:2">
      <c r="A1295" t="s">
        <v>1307</v>
      </c>
      <c r="B1295">
        <v>1</v>
      </c>
    </row>
    <row r="1296" spans="1:2">
      <c r="A1296" t="s">
        <v>1202</v>
      </c>
      <c r="B1296">
        <v>1</v>
      </c>
    </row>
    <row r="1297" spans="1:2">
      <c r="A1297" t="s">
        <v>926</v>
      </c>
      <c r="B1297">
        <v>1</v>
      </c>
    </row>
    <row r="1298" spans="1:2">
      <c r="A1298" t="s">
        <v>1552</v>
      </c>
      <c r="B1298">
        <v>1</v>
      </c>
    </row>
    <row r="1299" spans="1:2">
      <c r="A1299" s="2" t="s">
        <v>9</v>
      </c>
      <c r="B1299" s="2">
        <v>26</v>
      </c>
    </row>
    <row r="1301" spans="1:2">
      <c r="A1301" s="2" t="s">
        <v>2952</v>
      </c>
    </row>
    <row r="1302" spans="1:2">
      <c r="A1302" s="2" t="s">
        <v>0</v>
      </c>
      <c r="B1302" s="2" t="s">
        <v>1</v>
      </c>
    </row>
    <row r="1303" spans="1:2">
      <c r="A1303" t="s">
        <v>57</v>
      </c>
      <c r="B1303">
        <v>2</v>
      </c>
    </row>
    <row r="1304" spans="1:2">
      <c r="A1304" s="2" t="s">
        <v>9</v>
      </c>
      <c r="B1304" s="2">
        <v>2</v>
      </c>
    </row>
    <row r="1306" spans="1:2">
      <c r="A1306" s="2" t="s">
        <v>2947</v>
      </c>
    </row>
    <row r="1307" spans="1:2">
      <c r="A1307" s="2" t="s">
        <v>0</v>
      </c>
      <c r="B1307" s="2" t="s">
        <v>1</v>
      </c>
    </row>
    <row r="1308" spans="1:2">
      <c r="A1308" t="s">
        <v>1416</v>
      </c>
      <c r="B1308">
        <v>4</v>
      </c>
    </row>
    <row r="1309" spans="1:2">
      <c r="A1309" t="s">
        <v>241</v>
      </c>
      <c r="B1309">
        <v>3</v>
      </c>
    </row>
    <row r="1310" spans="1:2">
      <c r="A1310" s="2" t="s">
        <v>9</v>
      </c>
      <c r="B1310" s="2">
        <v>7</v>
      </c>
    </row>
    <row r="1312" spans="1:2">
      <c r="A1312" s="2" t="s">
        <v>2948</v>
      </c>
    </row>
    <row r="1313" spans="1:2">
      <c r="A1313" s="2" t="s">
        <v>0</v>
      </c>
      <c r="B1313" s="2" t="s">
        <v>1</v>
      </c>
    </row>
    <row r="1314" spans="1:2">
      <c r="A1314" t="s">
        <v>214</v>
      </c>
      <c r="B1314">
        <v>1</v>
      </c>
    </row>
    <row r="1315" spans="1:2">
      <c r="A1315" t="s">
        <v>498</v>
      </c>
      <c r="B1315">
        <v>8</v>
      </c>
    </row>
    <row r="1316" spans="1:2">
      <c r="A1316" t="s">
        <v>460</v>
      </c>
      <c r="B1316">
        <v>3</v>
      </c>
    </row>
    <row r="1317" spans="1:2">
      <c r="A1317" t="s">
        <v>112</v>
      </c>
      <c r="B1317">
        <v>4</v>
      </c>
    </row>
    <row r="1318" spans="1:2">
      <c r="A1318" t="s">
        <v>122</v>
      </c>
      <c r="B1318">
        <v>5</v>
      </c>
    </row>
    <row r="1319" spans="1:2">
      <c r="A1319" t="s">
        <v>184</v>
      </c>
      <c r="B1319">
        <v>5</v>
      </c>
    </row>
    <row r="1320" spans="1:2">
      <c r="A1320" t="s">
        <v>643</v>
      </c>
      <c r="B1320">
        <v>5</v>
      </c>
    </row>
    <row r="1321" spans="1:2">
      <c r="A1321" t="s">
        <v>1161</v>
      </c>
      <c r="B1321">
        <v>1</v>
      </c>
    </row>
    <row r="1322" spans="1:2">
      <c r="A1322" t="s">
        <v>459</v>
      </c>
      <c r="B1322">
        <v>3</v>
      </c>
    </row>
    <row r="1323" spans="1:2">
      <c r="A1323" t="s">
        <v>3000</v>
      </c>
      <c r="B1323">
        <v>1</v>
      </c>
    </row>
    <row r="1324" spans="1:2">
      <c r="A1324" t="s">
        <v>706</v>
      </c>
      <c r="B1324">
        <v>5</v>
      </c>
    </row>
    <row r="1325" spans="1:2">
      <c r="A1325" t="s">
        <v>2148</v>
      </c>
      <c r="B1325">
        <v>1</v>
      </c>
    </row>
    <row r="1326" spans="1:2">
      <c r="A1326" t="s">
        <v>1650</v>
      </c>
      <c r="B1326">
        <v>1</v>
      </c>
    </row>
    <row r="1327" spans="1:2">
      <c r="A1327" t="s">
        <v>2185</v>
      </c>
      <c r="B1327">
        <v>1</v>
      </c>
    </row>
    <row r="1328" spans="1:2">
      <c r="A1328" t="s">
        <v>1201</v>
      </c>
      <c r="B1328">
        <v>1</v>
      </c>
    </row>
    <row r="1329" spans="1:2">
      <c r="A1329" t="s">
        <v>1056</v>
      </c>
      <c r="B1329">
        <v>1</v>
      </c>
    </row>
    <row r="1330" spans="1:2">
      <c r="A1330" t="s">
        <v>2666</v>
      </c>
      <c r="B1330">
        <v>1</v>
      </c>
    </row>
    <row r="1331" spans="1:2">
      <c r="A1331" t="s">
        <v>260</v>
      </c>
      <c r="B1331">
        <v>3</v>
      </c>
    </row>
    <row r="1332" spans="1:2">
      <c r="A1332" t="s">
        <v>1685</v>
      </c>
      <c r="B1332">
        <v>1</v>
      </c>
    </row>
    <row r="1333" spans="1:2">
      <c r="A1333" t="s">
        <v>1542</v>
      </c>
      <c r="B1333">
        <v>1</v>
      </c>
    </row>
    <row r="1334" spans="1:2">
      <c r="A1334" s="2" t="s">
        <v>9</v>
      </c>
      <c r="B1334" s="2">
        <v>52</v>
      </c>
    </row>
    <row r="1336" spans="1:2">
      <c r="A1336" s="2" t="s">
        <v>537</v>
      </c>
    </row>
    <row r="1337" spans="1:2">
      <c r="A1337" s="2" t="s">
        <v>0</v>
      </c>
      <c r="B1337" s="2" t="s">
        <v>1</v>
      </c>
    </row>
    <row r="1338" spans="1:2">
      <c r="A1338" t="s">
        <v>189</v>
      </c>
      <c r="B1338">
        <v>2</v>
      </c>
    </row>
    <row r="1339" spans="1:2">
      <c r="A1339" t="s">
        <v>2969</v>
      </c>
      <c r="B1339">
        <v>2</v>
      </c>
    </row>
    <row r="1340" spans="1:2">
      <c r="A1340" t="s">
        <v>1324</v>
      </c>
      <c r="B1340">
        <v>3</v>
      </c>
    </row>
    <row r="1341" spans="1:2">
      <c r="A1341" t="s">
        <v>2654</v>
      </c>
      <c r="B1341">
        <v>2</v>
      </c>
    </row>
    <row r="1342" spans="1:2">
      <c r="A1342" t="s">
        <v>639</v>
      </c>
      <c r="B1342">
        <v>2</v>
      </c>
    </row>
    <row r="1343" spans="1:2">
      <c r="A1343" t="s">
        <v>1862</v>
      </c>
      <c r="B1343">
        <v>2</v>
      </c>
    </row>
    <row r="1344" spans="1:2">
      <c r="A1344" t="s">
        <v>661</v>
      </c>
      <c r="B1344">
        <v>9</v>
      </c>
    </row>
    <row r="1345" spans="1:2">
      <c r="A1345" t="s">
        <v>1539</v>
      </c>
      <c r="B1345">
        <v>1</v>
      </c>
    </row>
    <row r="1346" spans="1:2">
      <c r="A1346" t="s">
        <v>654</v>
      </c>
      <c r="B1346">
        <v>1</v>
      </c>
    </row>
    <row r="1347" spans="1:2">
      <c r="A1347" t="s">
        <v>972</v>
      </c>
      <c r="B1347">
        <v>2</v>
      </c>
    </row>
    <row r="1348" spans="1:2">
      <c r="A1348" t="s">
        <v>173</v>
      </c>
      <c r="B1348">
        <v>9</v>
      </c>
    </row>
    <row r="1349" spans="1:2">
      <c r="A1349" t="s">
        <v>1835</v>
      </c>
      <c r="B1349">
        <v>1</v>
      </c>
    </row>
    <row r="1350" spans="1:2">
      <c r="A1350" s="2" t="s">
        <v>9</v>
      </c>
      <c r="B1350" s="2">
        <v>36</v>
      </c>
    </row>
    <row r="1352" spans="1:2">
      <c r="A1352" s="2" t="s">
        <v>544</v>
      </c>
    </row>
    <row r="1353" spans="1:2">
      <c r="A1353" s="2" t="s">
        <v>0</v>
      </c>
      <c r="B1353" s="2" t="s">
        <v>1</v>
      </c>
    </row>
    <row r="1354" spans="1:2">
      <c r="A1354" t="s">
        <v>2385</v>
      </c>
      <c r="B1354">
        <v>1</v>
      </c>
    </row>
    <row r="1355" spans="1:2">
      <c r="A1355" t="s">
        <v>405</v>
      </c>
      <c r="B1355">
        <v>11</v>
      </c>
    </row>
    <row r="1356" spans="1:2">
      <c r="A1356" t="s">
        <v>876</v>
      </c>
      <c r="B1356">
        <v>2</v>
      </c>
    </row>
    <row r="1357" spans="1:2">
      <c r="A1357" t="s">
        <v>1093</v>
      </c>
      <c r="B1357">
        <v>1</v>
      </c>
    </row>
    <row r="1358" spans="1:2">
      <c r="A1358" t="s">
        <v>971</v>
      </c>
      <c r="B1358">
        <v>4</v>
      </c>
    </row>
    <row r="1359" spans="1:2">
      <c r="A1359" t="s">
        <v>917</v>
      </c>
      <c r="B1359">
        <v>1</v>
      </c>
    </row>
    <row r="1360" spans="1:2">
      <c r="A1360" t="s">
        <v>1112</v>
      </c>
      <c r="B1360">
        <v>1</v>
      </c>
    </row>
    <row r="1361" spans="1:2">
      <c r="A1361" t="s">
        <v>1249</v>
      </c>
      <c r="B1361">
        <v>1</v>
      </c>
    </row>
    <row r="1362" spans="1:2">
      <c r="A1362" t="s">
        <v>2462</v>
      </c>
      <c r="B1362">
        <v>1</v>
      </c>
    </row>
    <row r="1363" spans="1:2">
      <c r="A1363" s="2" t="s">
        <v>9</v>
      </c>
      <c r="B1363" s="2">
        <v>23</v>
      </c>
    </row>
    <row r="1365" spans="1:2">
      <c r="A1365" s="2" t="s">
        <v>530</v>
      </c>
    </row>
    <row r="1366" spans="1:2">
      <c r="A1366" s="2" t="s">
        <v>0</v>
      </c>
      <c r="B1366" s="2" t="s">
        <v>1</v>
      </c>
    </row>
    <row r="1367" spans="1:2">
      <c r="A1367" t="s">
        <v>194</v>
      </c>
      <c r="B1367">
        <v>3</v>
      </c>
    </row>
    <row r="1368" spans="1:2">
      <c r="A1368" t="s">
        <v>228</v>
      </c>
      <c r="B1368">
        <v>2</v>
      </c>
    </row>
    <row r="1369" spans="1:2">
      <c r="A1369" t="s">
        <v>482</v>
      </c>
      <c r="B1369">
        <v>2</v>
      </c>
    </row>
    <row r="1370" spans="1:2">
      <c r="A1370" t="s">
        <v>286</v>
      </c>
      <c r="B1370">
        <v>8</v>
      </c>
    </row>
    <row r="1371" spans="1:2">
      <c r="A1371" t="s">
        <v>862</v>
      </c>
      <c r="B1371">
        <v>1</v>
      </c>
    </row>
    <row r="1372" spans="1:2">
      <c r="A1372" t="s">
        <v>3015</v>
      </c>
      <c r="B1372">
        <v>1</v>
      </c>
    </row>
    <row r="1373" spans="1:2">
      <c r="A1373" t="s">
        <v>1124</v>
      </c>
      <c r="B1373">
        <v>1</v>
      </c>
    </row>
    <row r="1374" spans="1:2">
      <c r="A1374" t="s">
        <v>3016</v>
      </c>
      <c r="B1374">
        <v>1</v>
      </c>
    </row>
    <row r="1375" spans="1:2">
      <c r="A1375" t="s">
        <v>712</v>
      </c>
      <c r="B1375">
        <v>1</v>
      </c>
    </row>
    <row r="1376" spans="1:2">
      <c r="A1376" t="s">
        <v>1756</v>
      </c>
      <c r="B1376">
        <v>1</v>
      </c>
    </row>
    <row r="1377" spans="1:2">
      <c r="A1377" s="2" t="s">
        <v>9</v>
      </c>
      <c r="B1377" s="2">
        <v>21</v>
      </c>
    </row>
    <row r="1379" spans="1:2">
      <c r="A1379" s="2" t="s">
        <v>2953</v>
      </c>
    </row>
    <row r="1380" spans="1:2">
      <c r="A1380" s="2" t="s">
        <v>0</v>
      </c>
      <c r="B1380" s="2" t="s">
        <v>1</v>
      </c>
    </row>
    <row r="1381" spans="1:2">
      <c r="A1381" t="s">
        <v>2966</v>
      </c>
      <c r="B1381">
        <v>5</v>
      </c>
    </row>
    <row r="1382" spans="1:2">
      <c r="A1382" s="2" t="s">
        <v>9</v>
      </c>
      <c r="B1382" s="2">
        <v>5</v>
      </c>
    </row>
    <row r="1384" spans="1:2">
      <c r="A1384" s="2" t="s">
        <v>2933</v>
      </c>
    </row>
    <row r="1385" spans="1:2">
      <c r="A1385" s="2" t="s">
        <v>0</v>
      </c>
      <c r="B1385" s="2" t="s">
        <v>1</v>
      </c>
    </row>
    <row r="1386" spans="1:2">
      <c r="A1386" t="s">
        <v>178</v>
      </c>
      <c r="B1386">
        <v>6</v>
      </c>
    </row>
    <row r="1387" spans="1:2">
      <c r="A1387" t="s">
        <v>470</v>
      </c>
      <c r="B1387">
        <v>2</v>
      </c>
    </row>
    <row r="1388" spans="1:2">
      <c r="A1388" t="s">
        <v>136</v>
      </c>
      <c r="B1388">
        <v>2</v>
      </c>
    </row>
    <row r="1389" spans="1:2">
      <c r="A1389" t="s">
        <v>647</v>
      </c>
      <c r="B1389">
        <v>6</v>
      </c>
    </row>
    <row r="1390" spans="1:2">
      <c r="A1390" t="s">
        <v>139</v>
      </c>
      <c r="B1390">
        <v>13</v>
      </c>
    </row>
    <row r="1391" spans="1:2">
      <c r="A1391" t="s">
        <v>793</v>
      </c>
      <c r="B1391">
        <v>3</v>
      </c>
    </row>
    <row r="1392" spans="1:2">
      <c r="A1392" t="s">
        <v>710</v>
      </c>
      <c r="B1392">
        <v>2</v>
      </c>
    </row>
    <row r="1393" spans="1:2">
      <c r="A1393" t="s">
        <v>2970</v>
      </c>
      <c r="B1393">
        <v>2</v>
      </c>
    </row>
    <row r="1394" spans="1:2">
      <c r="A1394" t="s">
        <v>808</v>
      </c>
      <c r="B1394">
        <v>4</v>
      </c>
    </row>
    <row r="1395" spans="1:2">
      <c r="A1395" t="s">
        <v>94</v>
      </c>
      <c r="B1395">
        <v>8</v>
      </c>
    </row>
    <row r="1396" spans="1:2">
      <c r="A1396" t="s">
        <v>1272</v>
      </c>
      <c r="B1396">
        <v>1</v>
      </c>
    </row>
    <row r="1397" spans="1:2">
      <c r="A1397" t="s">
        <v>3029</v>
      </c>
      <c r="B1397">
        <v>2</v>
      </c>
    </row>
    <row r="1398" spans="1:2">
      <c r="A1398" t="s">
        <v>275</v>
      </c>
      <c r="B1398">
        <v>1</v>
      </c>
    </row>
    <row r="1399" spans="1:2">
      <c r="A1399" t="s">
        <v>3035</v>
      </c>
      <c r="B1399">
        <v>1</v>
      </c>
    </row>
    <row r="1400" spans="1:2">
      <c r="A1400" t="s">
        <v>688</v>
      </c>
      <c r="B1400">
        <v>1</v>
      </c>
    </row>
    <row r="1401" spans="1:2">
      <c r="A1401" t="s">
        <v>3043</v>
      </c>
      <c r="B1401">
        <v>1</v>
      </c>
    </row>
    <row r="1402" spans="1:2">
      <c r="A1402" t="s">
        <v>341</v>
      </c>
      <c r="B1402">
        <v>1</v>
      </c>
    </row>
    <row r="1403" spans="1:2">
      <c r="A1403" s="2" t="s">
        <v>9</v>
      </c>
      <c r="B1403" s="2">
        <v>56</v>
      </c>
    </row>
    <row r="1405" spans="1:2">
      <c r="A1405" s="2" t="s">
        <v>11</v>
      </c>
    </row>
    <row r="1406" spans="1:2">
      <c r="A1406" s="2" t="s">
        <v>0</v>
      </c>
      <c r="B1406" s="2" t="s">
        <v>1</v>
      </c>
    </row>
    <row r="1407" spans="1:2">
      <c r="A1407" t="s">
        <v>2876</v>
      </c>
      <c r="B1407">
        <v>2</v>
      </c>
    </row>
    <row r="1408" spans="1:2">
      <c r="A1408" t="s">
        <v>77</v>
      </c>
      <c r="B1408">
        <v>9</v>
      </c>
    </row>
    <row r="1409" spans="1:2">
      <c r="A1409" t="s">
        <v>235</v>
      </c>
      <c r="B1409">
        <v>2</v>
      </c>
    </row>
    <row r="1410" spans="1:2">
      <c r="A1410" t="s">
        <v>2978</v>
      </c>
      <c r="B1410">
        <v>1</v>
      </c>
    </row>
    <row r="1411" spans="1:2">
      <c r="A1411" t="s">
        <v>3018</v>
      </c>
      <c r="B1411">
        <v>1</v>
      </c>
    </row>
    <row r="1412" spans="1:2">
      <c r="A1412" t="s">
        <v>3019</v>
      </c>
      <c r="B1412">
        <v>1</v>
      </c>
    </row>
    <row r="1413" spans="1:2">
      <c r="A1413" t="s">
        <v>772</v>
      </c>
      <c r="B1413">
        <v>1</v>
      </c>
    </row>
    <row r="1414" spans="1:2">
      <c r="A1414" t="s">
        <v>298</v>
      </c>
      <c r="B1414">
        <v>1</v>
      </c>
    </row>
    <row r="1415" spans="1:2">
      <c r="A1415" t="s">
        <v>3052</v>
      </c>
      <c r="B1415">
        <v>3</v>
      </c>
    </row>
    <row r="1416" spans="1:2">
      <c r="A1416" t="s">
        <v>111</v>
      </c>
      <c r="B1416">
        <v>2</v>
      </c>
    </row>
    <row r="1417" spans="1:2">
      <c r="A1417" t="s">
        <v>3056</v>
      </c>
      <c r="B1417">
        <v>1</v>
      </c>
    </row>
    <row r="1418" spans="1:2">
      <c r="A1418" t="s">
        <v>419</v>
      </c>
      <c r="B1418">
        <v>1</v>
      </c>
    </row>
    <row r="1419" spans="1:2">
      <c r="A1419" s="2" t="s">
        <v>9</v>
      </c>
      <c r="B1419" s="2">
        <v>25</v>
      </c>
    </row>
    <row r="1421" spans="1:2">
      <c r="A1421" s="2" t="s">
        <v>2942</v>
      </c>
    </row>
    <row r="1422" spans="1:2">
      <c r="A1422" s="2" t="s">
        <v>0</v>
      </c>
      <c r="B1422" s="2" t="s">
        <v>1</v>
      </c>
    </row>
    <row r="1423" spans="1:2">
      <c r="A1423" t="s">
        <v>596</v>
      </c>
      <c r="B1423">
        <v>3</v>
      </c>
    </row>
    <row r="1424" spans="1:2">
      <c r="A1424" t="s">
        <v>589</v>
      </c>
      <c r="B1424">
        <v>5</v>
      </c>
    </row>
    <row r="1425" spans="1:2">
      <c r="A1425" t="s">
        <v>588</v>
      </c>
      <c r="B1425">
        <v>2</v>
      </c>
    </row>
    <row r="1426" spans="1:2">
      <c r="A1426" t="s">
        <v>21</v>
      </c>
      <c r="B1426">
        <v>4</v>
      </c>
    </row>
    <row r="1427" spans="1:2">
      <c r="A1427" t="s">
        <v>1038</v>
      </c>
      <c r="B1427">
        <v>2</v>
      </c>
    </row>
    <row r="1428" spans="1:2">
      <c r="A1428" t="s">
        <v>671</v>
      </c>
      <c r="B1428">
        <v>2</v>
      </c>
    </row>
    <row r="1429" spans="1:2">
      <c r="A1429" t="s">
        <v>976</v>
      </c>
      <c r="B1429">
        <v>4</v>
      </c>
    </row>
    <row r="1430" spans="1:2">
      <c r="A1430" t="s">
        <v>2285</v>
      </c>
      <c r="B1430">
        <v>4</v>
      </c>
    </row>
    <row r="1431" spans="1:2">
      <c r="A1431" t="s">
        <v>2101</v>
      </c>
      <c r="B1431">
        <v>4</v>
      </c>
    </row>
    <row r="1432" spans="1:2">
      <c r="A1432" t="s">
        <v>1447</v>
      </c>
      <c r="B1432">
        <v>5</v>
      </c>
    </row>
    <row r="1433" spans="1:2">
      <c r="A1433" t="s">
        <v>2164</v>
      </c>
      <c r="B1433">
        <v>1</v>
      </c>
    </row>
    <row r="1434" spans="1:2">
      <c r="A1434" t="s">
        <v>1445</v>
      </c>
      <c r="B1434">
        <v>1</v>
      </c>
    </row>
    <row r="1435" spans="1:2">
      <c r="A1435" s="2" t="s">
        <v>9</v>
      </c>
      <c r="B1435" s="2">
        <v>37</v>
      </c>
    </row>
    <row r="1437" spans="1:2">
      <c r="A1437" s="2" t="s">
        <v>2945</v>
      </c>
    </row>
    <row r="1438" spans="1:2">
      <c r="A1438" s="2" t="s">
        <v>0</v>
      </c>
      <c r="B1438" s="2" t="s">
        <v>1</v>
      </c>
    </row>
    <row r="1439" spans="1:2">
      <c r="A1439" t="s">
        <v>1817</v>
      </c>
      <c r="B1439">
        <v>5</v>
      </c>
    </row>
    <row r="1440" spans="1:2">
      <c r="A1440" t="s">
        <v>356</v>
      </c>
      <c r="B1440">
        <v>6</v>
      </c>
    </row>
    <row r="1441" spans="1:2">
      <c r="A1441" t="s">
        <v>2379</v>
      </c>
      <c r="B1441">
        <v>1</v>
      </c>
    </row>
    <row r="1442" spans="1:2">
      <c r="A1442" t="s">
        <v>627</v>
      </c>
      <c r="B1442">
        <v>2</v>
      </c>
    </row>
    <row r="1443" spans="1:2">
      <c r="A1443" t="s">
        <v>1315</v>
      </c>
      <c r="B1443">
        <v>1</v>
      </c>
    </row>
    <row r="1444" spans="1:2">
      <c r="A1444" t="s">
        <v>232</v>
      </c>
      <c r="B1444">
        <v>3</v>
      </c>
    </row>
    <row r="1445" spans="1:2">
      <c r="A1445" t="s">
        <v>279</v>
      </c>
      <c r="B1445">
        <v>8</v>
      </c>
    </row>
    <row r="1446" spans="1:2">
      <c r="A1446" t="s">
        <v>2865</v>
      </c>
      <c r="B1446">
        <v>1</v>
      </c>
    </row>
    <row r="1447" spans="1:2">
      <c r="A1447" t="s">
        <v>973</v>
      </c>
      <c r="B1447">
        <v>1</v>
      </c>
    </row>
    <row r="1448" spans="1:2">
      <c r="A1448" t="s">
        <v>234</v>
      </c>
      <c r="B1448">
        <v>8</v>
      </c>
    </row>
    <row r="1449" spans="1:2">
      <c r="A1449" t="s">
        <v>2015</v>
      </c>
      <c r="B1449">
        <v>8</v>
      </c>
    </row>
    <row r="1450" spans="1:2">
      <c r="A1450" t="s">
        <v>285</v>
      </c>
      <c r="B1450">
        <v>6</v>
      </c>
    </row>
    <row r="1451" spans="1:2">
      <c r="A1451" t="s">
        <v>1314</v>
      </c>
      <c r="B1451">
        <v>1</v>
      </c>
    </row>
    <row r="1452" spans="1:2">
      <c r="A1452" t="s">
        <v>893</v>
      </c>
      <c r="B1452">
        <v>1</v>
      </c>
    </row>
    <row r="1453" spans="1:2">
      <c r="A1453" t="s">
        <v>581</v>
      </c>
      <c r="B1453">
        <v>3</v>
      </c>
    </row>
    <row r="1454" spans="1:2">
      <c r="A1454" t="s">
        <v>558</v>
      </c>
      <c r="B1454">
        <v>1</v>
      </c>
    </row>
    <row r="1455" spans="1:2">
      <c r="A1455" t="s">
        <v>486</v>
      </c>
      <c r="B1455">
        <v>1</v>
      </c>
    </row>
    <row r="1456" spans="1:2">
      <c r="A1456" t="s">
        <v>2450</v>
      </c>
      <c r="B1456">
        <v>1</v>
      </c>
    </row>
    <row r="1457" spans="1:2">
      <c r="A1457" t="s">
        <v>873</v>
      </c>
      <c r="B1457">
        <v>1</v>
      </c>
    </row>
    <row r="1458" spans="1:2">
      <c r="A1458" t="s">
        <v>251</v>
      </c>
      <c r="B1458">
        <v>4</v>
      </c>
    </row>
    <row r="1459" spans="1:2">
      <c r="A1459" t="s">
        <v>227</v>
      </c>
      <c r="B1459">
        <v>1</v>
      </c>
    </row>
    <row r="1460" spans="1:2">
      <c r="A1460" t="s">
        <v>656</v>
      </c>
      <c r="B1460">
        <v>1</v>
      </c>
    </row>
    <row r="1461" spans="1:2">
      <c r="A1461" t="s">
        <v>871</v>
      </c>
      <c r="B1461">
        <v>1</v>
      </c>
    </row>
    <row r="1462" spans="1:2">
      <c r="A1462" s="2" t="s">
        <v>9</v>
      </c>
      <c r="B1462" s="2">
        <v>66</v>
      </c>
    </row>
    <row r="1464" spans="1:2">
      <c r="A1464" s="2" t="s">
        <v>3057</v>
      </c>
    </row>
    <row r="1465" spans="1:2">
      <c r="A1465" s="2" t="s">
        <v>0</v>
      </c>
      <c r="B1465" s="2" t="s">
        <v>1</v>
      </c>
    </row>
    <row r="1466" spans="1:2">
      <c r="A1466" t="s">
        <v>196</v>
      </c>
      <c r="B1466">
        <v>4</v>
      </c>
    </row>
    <row r="1467" spans="1:2">
      <c r="A1467" s="2" t="s">
        <v>9</v>
      </c>
      <c r="B1467" s="2">
        <v>4</v>
      </c>
    </row>
    <row r="1469" spans="1:2">
      <c r="A1469" s="2" t="s">
        <v>546</v>
      </c>
    </row>
    <row r="1470" spans="1:2">
      <c r="A1470" s="2" t="s">
        <v>0</v>
      </c>
      <c r="B1470" s="2" t="s">
        <v>1</v>
      </c>
    </row>
    <row r="1471" spans="1:2">
      <c r="A1471" t="s">
        <v>1900</v>
      </c>
      <c r="B1471">
        <v>1</v>
      </c>
    </row>
    <row r="1472" spans="1:2">
      <c r="A1472" t="s">
        <v>662</v>
      </c>
      <c r="B1472">
        <v>3</v>
      </c>
    </row>
    <row r="1473" spans="1:2">
      <c r="A1473" t="s">
        <v>210</v>
      </c>
      <c r="B1473">
        <v>2</v>
      </c>
    </row>
    <row r="1474" spans="1:2">
      <c r="A1474" t="s">
        <v>3027</v>
      </c>
      <c r="B1474">
        <v>1</v>
      </c>
    </row>
    <row r="1475" spans="1:2">
      <c r="A1475" s="2" t="s">
        <v>9</v>
      </c>
      <c r="B1475" s="2">
        <v>7</v>
      </c>
    </row>
    <row r="1477" spans="1:2">
      <c r="A1477" s="2" t="s">
        <v>2946</v>
      </c>
    </row>
    <row r="1478" spans="1:2">
      <c r="A1478" s="2" t="s">
        <v>0</v>
      </c>
      <c r="B1478" s="2" t="s">
        <v>1</v>
      </c>
    </row>
    <row r="1479" spans="1:2">
      <c r="A1479" t="s">
        <v>423</v>
      </c>
      <c r="B1479">
        <v>9</v>
      </c>
    </row>
    <row r="1480" spans="1:2">
      <c r="A1480" t="s">
        <v>2984</v>
      </c>
      <c r="B1480">
        <v>3</v>
      </c>
    </row>
    <row r="1481" spans="1:2">
      <c r="A1481" t="s">
        <v>624</v>
      </c>
      <c r="B1481">
        <v>7</v>
      </c>
    </row>
    <row r="1482" spans="1:2">
      <c r="A1482" t="s">
        <v>1765</v>
      </c>
      <c r="B1482">
        <v>1</v>
      </c>
    </row>
    <row r="1483" spans="1:2">
      <c r="A1483" t="s">
        <v>145</v>
      </c>
      <c r="B1483">
        <v>1</v>
      </c>
    </row>
    <row r="1484" spans="1:2">
      <c r="A1484" t="s">
        <v>749</v>
      </c>
      <c r="B1484">
        <v>2</v>
      </c>
    </row>
    <row r="1485" spans="1:2">
      <c r="A1485" t="s">
        <v>399</v>
      </c>
      <c r="B1485">
        <v>2</v>
      </c>
    </row>
    <row r="1486" spans="1:2">
      <c r="A1486" t="s">
        <v>450</v>
      </c>
      <c r="B1486">
        <v>3</v>
      </c>
    </row>
    <row r="1487" spans="1:2">
      <c r="A1487" t="s">
        <v>736</v>
      </c>
      <c r="B1487">
        <v>2</v>
      </c>
    </row>
    <row r="1488" spans="1:2">
      <c r="A1488" t="s">
        <v>3028</v>
      </c>
      <c r="B1488">
        <v>1</v>
      </c>
    </row>
    <row r="1489" spans="1:2">
      <c r="A1489" t="s">
        <v>2441</v>
      </c>
      <c r="B1489">
        <v>1</v>
      </c>
    </row>
    <row r="1490" spans="1:2">
      <c r="A1490" s="2" t="s">
        <v>9</v>
      </c>
      <c r="B1490" s="2">
        <v>32</v>
      </c>
    </row>
    <row r="1492" spans="1:2">
      <c r="A1492" s="2" t="s">
        <v>51</v>
      </c>
    </row>
    <row r="1493" spans="1:2">
      <c r="A1493" s="2" t="s">
        <v>0</v>
      </c>
      <c r="B1493" s="2" t="s">
        <v>1</v>
      </c>
    </row>
    <row r="1494" spans="1:2">
      <c r="A1494" t="s">
        <v>739</v>
      </c>
      <c r="B1494">
        <v>9</v>
      </c>
    </row>
    <row r="1495" spans="1:2">
      <c r="A1495" t="s">
        <v>766</v>
      </c>
      <c r="B1495">
        <v>1</v>
      </c>
    </row>
    <row r="1496" spans="1:2">
      <c r="A1496" t="s">
        <v>872</v>
      </c>
      <c r="B1496">
        <v>9</v>
      </c>
    </row>
    <row r="1497" spans="1:2">
      <c r="A1497" t="s">
        <v>1195</v>
      </c>
      <c r="B1497">
        <v>1</v>
      </c>
    </row>
    <row r="1498" spans="1:2">
      <c r="A1498" s="2" t="s">
        <v>9</v>
      </c>
      <c r="B1498" s="2">
        <v>20</v>
      </c>
    </row>
    <row r="1500" spans="1:2">
      <c r="A1500" s="2" t="s">
        <v>3058</v>
      </c>
    </row>
    <row r="1501" spans="1:2">
      <c r="A1501" s="2" t="s">
        <v>0</v>
      </c>
      <c r="B1501" s="2" t="s">
        <v>1</v>
      </c>
    </row>
    <row r="1502" spans="1:2">
      <c r="A1502" t="s">
        <v>3030</v>
      </c>
      <c r="B1502">
        <v>1</v>
      </c>
    </row>
    <row r="1503" spans="1:2">
      <c r="A1503" s="2" t="s">
        <v>9</v>
      </c>
      <c r="B1503" s="2">
        <v>1</v>
      </c>
    </row>
    <row r="1505" spans="1:2">
      <c r="A1505" s="2" t="s">
        <v>2950</v>
      </c>
    </row>
    <row r="1506" spans="1:2">
      <c r="A1506" s="2" t="s">
        <v>0</v>
      </c>
      <c r="B1506" s="2" t="s">
        <v>1</v>
      </c>
    </row>
    <row r="1507" spans="1:2">
      <c r="A1507" t="s">
        <v>1388</v>
      </c>
      <c r="B1507">
        <v>1</v>
      </c>
    </row>
    <row r="1508" spans="1:2">
      <c r="A1508" s="2" t="s">
        <v>9</v>
      </c>
      <c r="B1508" s="2">
        <v>1</v>
      </c>
    </row>
    <row r="1510" spans="1:2">
      <c r="A1510" s="2" t="s">
        <v>2935</v>
      </c>
    </row>
    <row r="1511" spans="1:2">
      <c r="A1511" s="2" t="s">
        <v>0</v>
      </c>
      <c r="B1511" s="2" t="s">
        <v>1</v>
      </c>
    </row>
    <row r="1512" spans="1:2">
      <c r="A1512" t="s">
        <v>1680</v>
      </c>
      <c r="B1512">
        <v>1</v>
      </c>
    </row>
    <row r="1513" spans="1:2">
      <c r="A1513" t="s">
        <v>1045</v>
      </c>
      <c r="B1513">
        <v>1</v>
      </c>
    </row>
    <row r="1514" spans="1:2">
      <c r="A1514" t="s">
        <v>3055</v>
      </c>
      <c r="B1514">
        <v>1</v>
      </c>
    </row>
    <row r="1515" spans="1:2">
      <c r="A1515" s="2" t="s">
        <v>9</v>
      </c>
      <c r="B1515" s="2">
        <v>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Vallakati, Jyothirmai</cp:lastModifiedBy>
  <cp:revision/>
  <dcterms:created xsi:type="dcterms:W3CDTF">2024-10-29T01:16:27Z</dcterms:created>
  <dcterms:modified xsi:type="dcterms:W3CDTF">2024-12-03T22:43:01Z</dcterms:modified>
  <cp:category/>
  <cp:contentStatus/>
</cp:coreProperties>
</file>